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hine\OneDrive\Documents\NLP project\"/>
    </mc:Choice>
  </mc:AlternateContent>
  <xr:revisionPtr revIDLastSave="0" documentId="8_{1A5FDBE6-B9FF-4735-98B4-1596A5D281BB}" xr6:coauthVersionLast="47" xr6:coauthVersionMax="47" xr10:uidLastSave="{00000000-0000-0000-0000-000000000000}"/>
  <bookViews>
    <workbookView xWindow="-120" yWindow="-120" windowWidth="29040" windowHeight="15720" activeTab="1" xr2:uid="{C8B177D2-33AC-480D-AC44-62D30BDB7A43}"/>
  </bookViews>
  <sheets>
    <sheet name="Sourse Data" sheetId="1" r:id="rId1"/>
    <sheet name="DashBoard" sheetId="13" r:id="rId2"/>
    <sheet name="Executive Summary" sheetId="5" r:id="rId3"/>
    <sheet name="Sales Performance Anlaysis" sheetId="6" r:id="rId4"/>
    <sheet name="Customer Insights" sheetId="8" r:id="rId5"/>
    <sheet name="Product And Pricing Analysis" sheetId="9" r:id="rId6"/>
    <sheet name="Payment And Time Analysis" sheetId="12" r:id="rId7"/>
  </sheets>
  <definedNames>
    <definedName name="_xlnm._FilterDatabase" localSheetId="0" hidden="1">'Sourse Data'!$A$1:$R$1</definedName>
    <definedName name="Slicer_Months__Date">#N/A</definedName>
    <definedName name="Slicer_Product_Typ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5" l="1"/>
  <c r="L19" i="5"/>
  <c r="J25" i="5"/>
  <c r="J22" i="5"/>
  <c r="J19" i="5"/>
</calcChain>
</file>

<file path=xl/sharedStrings.xml><?xml version="1.0" encoding="utf-8"?>
<sst xmlns="http://schemas.openxmlformats.org/spreadsheetml/2006/main" count="7135" uniqueCount="1066">
  <si>
    <t>Invoice ID</t>
  </si>
  <si>
    <t>Branch</t>
  </si>
  <si>
    <t>City</t>
  </si>
  <si>
    <t>Customer type</t>
  </si>
  <si>
    <t>Gender</t>
  </si>
  <si>
    <t>Unit price</t>
  </si>
  <si>
    <t>Quantity</t>
  </si>
  <si>
    <t>Tax 5%</t>
  </si>
  <si>
    <t>Date</t>
  </si>
  <si>
    <t>Time</t>
  </si>
  <si>
    <t>Payment</t>
  </si>
  <si>
    <t>Rating</t>
  </si>
  <si>
    <t>750-67-8428</t>
  </si>
  <si>
    <t>A</t>
  </si>
  <si>
    <t>Yangon</t>
  </si>
  <si>
    <t>Member</t>
  </si>
  <si>
    <t>Female</t>
  </si>
  <si>
    <t>Health and beauty</t>
  </si>
  <si>
    <t>Ewallet</t>
  </si>
  <si>
    <t>226-31-3081</t>
  </si>
  <si>
    <t>C</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</si>
  <si>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</si>
  <si>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</si>
  <si>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</si>
  <si>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</si>
  <si>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</si>
  <si>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</si>
  <si>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</si>
  <si>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</si>
  <si>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</si>
  <si>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</si>
  <si>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</si>
  <si>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</si>
  <si>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</si>
  <si>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</si>
  <si>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</si>
  <si>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</si>
  <si>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</si>
  <si>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</si>
  <si>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</si>
  <si>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</si>
  <si>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</si>
  <si>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</si>
  <si>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</si>
  <si>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</si>
  <si>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</si>
  <si>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</si>
  <si>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</si>
  <si>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</si>
  <si>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</si>
  <si>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</si>
  <si>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</si>
  <si>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</si>
  <si>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</si>
  <si>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</si>
  <si>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</si>
  <si>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</si>
  <si>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</si>
  <si>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</si>
  <si>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</si>
  <si>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</si>
  <si>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</si>
  <si>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</si>
  <si>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</si>
  <si>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</si>
  <si>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</si>
  <si>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</si>
  <si>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</si>
  <si>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</si>
  <si>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</si>
  <si>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</si>
  <si>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</si>
  <si>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</si>
  <si>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</si>
  <si>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</si>
  <si>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</si>
  <si>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</si>
  <si>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</si>
  <si>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</si>
  <si>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</si>
  <si>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</si>
  <si>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</si>
  <si>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</si>
  <si>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</si>
  <si>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</si>
  <si>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</si>
  <si>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</si>
  <si>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</si>
  <si>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</si>
  <si>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</si>
  <si>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</si>
  <si>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</si>
  <si>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</si>
  <si>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</si>
  <si>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</si>
  <si>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</si>
  <si>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</si>
  <si>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</si>
  <si>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</si>
  <si>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</si>
  <si>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</si>
  <si>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</si>
  <si>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</si>
  <si>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</si>
  <si>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</si>
  <si>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</si>
  <si>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</si>
  <si>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</si>
  <si>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</si>
  <si>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</si>
  <si>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</si>
  <si>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</si>
  <si>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</si>
  <si>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</si>
  <si>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</si>
  <si>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</si>
  <si>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</si>
  <si>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</si>
  <si>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</si>
  <si>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</si>
  <si>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</si>
  <si>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</si>
  <si>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</si>
  <si>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</si>
  <si>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</si>
  <si>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</si>
  <si>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</si>
  <si>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</si>
  <si>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</si>
  <si>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</si>
  <si>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</si>
  <si>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</si>
  <si>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</si>
  <si>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</si>
  <si>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</si>
  <si>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</si>
  <si>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</si>
  <si>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</si>
  <si>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</si>
  <si>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</si>
  <si>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</si>
  <si>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</si>
  <si>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</si>
  <si>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</si>
  <si>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</si>
  <si>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</si>
  <si>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</si>
  <si>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</si>
  <si>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</si>
  <si>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</si>
  <si>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</si>
  <si>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</si>
  <si>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</si>
  <si>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</si>
  <si>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</si>
  <si>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</si>
  <si>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</si>
  <si>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</si>
  <si>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</si>
  <si>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</si>
  <si>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</si>
  <si>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</si>
  <si>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</si>
  <si>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</si>
  <si>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</si>
  <si>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</si>
  <si>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</si>
  <si>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</si>
  <si>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</si>
  <si>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</si>
  <si>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</si>
  <si>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</si>
  <si>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</si>
  <si>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</si>
  <si>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</si>
  <si>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</si>
  <si>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</si>
  <si>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</si>
  <si>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</si>
  <si>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</si>
  <si>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</si>
  <si>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</si>
  <si>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</si>
  <si>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</si>
  <si>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</si>
  <si>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</si>
  <si>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</si>
  <si>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</si>
  <si>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</si>
  <si>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</si>
  <si>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</si>
  <si>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</si>
  <si>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</si>
  <si>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</si>
  <si>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</si>
  <si>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</si>
  <si>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</si>
  <si>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</si>
  <si>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</si>
  <si>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</si>
  <si>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</si>
  <si>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</si>
  <si>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</si>
  <si>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</si>
  <si>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</si>
  <si>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</si>
  <si>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</si>
  <si>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</si>
  <si>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</si>
  <si>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</si>
  <si>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</si>
  <si>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</si>
  <si>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</si>
  <si>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</si>
  <si>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</si>
  <si>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</si>
  <si>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</si>
  <si>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</si>
  <si>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</si>
  <si>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</si>
  <si>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</si>
  <si>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</si>
  <si>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</si>
  <si>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</si>
  <si>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</si>
  <si>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</si>
  <si>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</si>
  <si>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</si>
  <si>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</si>
  <si>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</si>
  <si>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</si>
  <si>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</si>
  <si>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</si>
  <si>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</si>
  <si>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</si>
  <si>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</si>
  <si>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</si>
  <si>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</si>
  <si>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</si>
  <si>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</si>
  <si>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</si>
  <si>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</si>
  <si>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</si>
  <si>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</si>
  <si>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</si>
  <si>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</si>
  <si>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</si>
  <si>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</si>
  <si>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</si>
  <si>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</si>
  <si>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</si>
  <si>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</si>
  <si>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</si>
  <si>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</si>
  <si>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</si>
  <si>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</si>
  <si>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</si>
  <si>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</si>
  <si>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</si>
  <si>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</si>
  <si>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</si>
  <si>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</si>
  <si>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</si>
  <si>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</si>
  <si>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</si>
  <si>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</si>
  <si>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</si>
  <si>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</si>
  <si>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</si>
  <si>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</si>
  <si>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</si>
  <si>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</si>
  <si>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</si>
  <si>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</si>
  <si>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</si>
  <si>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</si>
  <si>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</si>
  <si>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</si>
  <si>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</si>
  <si>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</si>
  <si>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</si>
  <si>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</si>
  <si>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</si>
  <si>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</si>
  <si>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</si>
  <si>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</si>
  <si>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</si>
  <si>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</si>
  <si>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</si>
  <si>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</si>
  <si>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</si>
  <si>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</si>
  <si>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</si>
  <si>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</si>
  <si>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</si>
  <si>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</si>
  <si>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</si>
  <si>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</si>
  <si>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</si>
  <si>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</si>
  <si>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</si>
  <si>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</si>
  <si>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</si>
  <si>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</si>
  <si>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</si>
  <si>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</si>
  <si>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</si>
  <si>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</si>
  <si>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</si>
  <si>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</si>
  <si>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</si>
  <si>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</si>
  <si>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</si>
  <si>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</si>
  <si>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</si>
  <si>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</si>
  <si>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</si>
  <si>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</si>
  <si>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</si>
  <si>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</si>
  <si>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</si>
  <si>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</si>
  <si>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</si>
  <si>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</si>
  <si>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</si>
  <si>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</si>
  <si>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</si>
  <si>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</si>
  <si>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</si>
  <si>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</si>
  <si>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</si>
  <si>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</si>
  <si>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</si>
  <si>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</si>
  <si>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</si>
  <si>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</si>
  <si>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</si>
  <si>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</si>
  <si>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</si>
  <si>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</si>
  <si>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</si>
  <si>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</si>
  <si>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</si>
  <si>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</si>
  <si>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</si>
  <si>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</si>
  <si>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</si>
  <si>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</si>
  <si>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</si>
  <si>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</si>
  <si>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</si>
  <si>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</si>
  <si>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</si>
  <si>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</si>
  <si>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</si>
  <si>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</si>
  <si>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</si>
  <si>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</si>
  <si>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</si>
  <si>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</si>
  <si>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</si>
  <si>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</si>
  <si>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</si>
  <si>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</si>
  <si>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</si>
  <si>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</si>
  <si>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</si>
  <si>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</si>
  <si>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</si>
  <si>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</si>
  <si>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</si>
  <si>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</si>
  <si>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</si>
  <si>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</si>
  <si>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</si>
  <si>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</si>
  <si>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</si>
  <si>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</si>
  <si>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</si>
  <si>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</si>
  <si>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</si>
  <si>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</si>
  <si>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</si>
  <si>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</si>
  <si>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</si>
  <si>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</si>
  <si>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</si>
  <si>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</si>
  <si>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</si>
  <si>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</si>
  <si>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</si>
  <si>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</si>
  <si>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</si>
  <si>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</si>
  <si>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</si>
  <si>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</si>
  <si>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</si>
  <si>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</si>
  <si>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</si>
  <si>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</si>
  <si>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</si>
  <si>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</si>
  <si>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</si>
  <si>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</si>
  <si>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</si>
  <si>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</si>
  <si>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</si>
  <si>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</si>
  <si>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</si>
  <si>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</si>
  <si>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</si>
  <si>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</si>
  <si>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</si>
  <si>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</si>
  <si>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</si>
  <si>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</si>
  <si>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</si>
  <si>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</si>
  <si>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</si>
  <si>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</si>
  <si>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</si>
  <si>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</si>
  <si>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</si>
  <si>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</si>
  <si>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</si>
  <si>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</si>
  <si>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</si>
  <si>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</si>
  <si>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</si>
  <si>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</si>
  <si>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</si>
  <si>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</si>
  <si>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</si>
  <si>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</si>
  <si>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</si>
  <si>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</si>
  <si>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</si>
  <si>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</si>
  <si>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</si>
  <si>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</si>
  <si>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</si>
  <si>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</si>
  <si>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</si>
  <si>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</si>
  <si>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</si>
  <si>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</si>
  <si>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</si>
  <si>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</si>
  <si>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</si>
  <si>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</si>
  <si>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</si>
  <si>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</si>
  <si>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</si>
  <si>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</si>
  <si>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</si>
  <si>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</si>
  <si>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</si>
  <si>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</si>
  <si>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</si>
  <si>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</si>
  <si>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</si>
  <si>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</si>
  <si>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</si>
  <si>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</si>
  <si>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</si>
  <si>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</si>
  <si>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</si>
  <si>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</si>
  <si>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</si>
  <si>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</si>
  <si>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</si>
  <si>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</si>
  <si>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</si>
  <si>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</si>
  <si>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</si>
  <si>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</si>
  <si>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</si>
  <si>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</si>
  <si>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</si>
  <si>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</si>
  <si>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</si>
  <si>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</si>
  <si>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</si>
  <si>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</si>
  <si>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</si>
  <si>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</si>
  <si>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</si>
  <si>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</si>
  <si>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</si>
  <si>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</si>
  <si>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</si>
  <si>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</si>
  <si>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</si>
  <si>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</si>
  <si>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</si>
  <si>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</si>
  <si>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</si>
  <si>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</si>
  <si>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</si>
  <si>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</si>
  <si>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</si>
  <si>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</si>
  <si>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</si>
  <si>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</si>
  <si>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</si>
  <si>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</si>
  <si>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</si>
  <si>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</si>
  <si>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</si>
  <si>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</si>
  <si>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</si>
  <si>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</si>
  <si>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</si>
  <si>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</si>
  <si>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</si>
  <si>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</si>
  <si>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</si>
  <si>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</si>
  <si>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</si>
  <si>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</si>
  <si>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</si>
  <si>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</si>
  <si>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</si>
  <si>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</si>
  <si>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</si>
  <si>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</si>
  <si>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</si>
  <si>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</si>
  <si>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</si>
  <si>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</si>
  <si>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</si>
  <si>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</si>
  <si>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</si>
  <si>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</si>
  <si>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</si>
  <si>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</si>
  <si>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</si>
  <si>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</si>
  <si>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</si>
  <si>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</si>
  <si>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</si>
  <si>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</si>
  <si>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</si>
  <si>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</si>
  <si>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</si>
  <si>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</si>
  <si>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</si>
  <si>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</si>
  <si>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</si>
  <si>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</si>
  <si>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</si>
  <si>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</si>
  <si>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</si>
  <si>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</si>
  <si>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</si>
  <si>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</si>
  <si>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</si>
  <si>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</si>
  <si>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</si>
  <si>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</si>
  <si>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</si>
  <si>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</si>
  <si>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</si>
  <si>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</si>
  <si>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</si>
  <si>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</si>
  <si>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</si>
  <si>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</si>
  <si>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</si>
  <si>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</si>
  <si>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</si>
  <si>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</si>
  <si>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</si>
  <si>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</si>
  <si>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</si>
  <si>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</si>
  <si>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</si>
  <si>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</si>
  <si>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</si>
  <si>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</si>
  <si>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</si>
  <si>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</si>
  <si>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</si>
  <si>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</si>
  <si>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</si>
  <si>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</si>
  <si>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</si>
  <si>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</si>
  <si>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</si>
  <si>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</si>
  <si>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</si>
  <si>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</si>
  <si>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</si>
  <si>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</si>
  <si>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</si>
  <si>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</si>
  <si>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</si>
  <si>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</si>
  <si>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</si>
  <si>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</si>
  <si>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</si>
  <si>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</si>
  <si>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</si>
  <si>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</si>
  <si>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</si>
  <si>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</si>
  <si>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</si>
  <si>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</si>
  <si>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</si>
  <si>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</si>
  <si>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</si>
  <si>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</si>
  <si>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</si>
  <si>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</si>
  <si>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</si>
  <si>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</si>
  <si>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</si>
  <si>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</si>
  <si>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</si>
  <si>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</si>
  <si>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</si>
  <si>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</si>
  <si>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</si>
  <si>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</si>
  <si>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</si>
  <si>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</si>
  <si>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</si>
  <si>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</si>
  <si>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</si>
  <si>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</si>
  <si>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</si>
  <si>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</si>
  <si>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</si>
  <si>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</si>
  <si>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</si>
  <si>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</si>
  <si>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</si>
  <si>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</si>
  <si>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</si>
  <si>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</si>
  <si>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</si>
  <si>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</si>
  <si>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</si>
  <si>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</si>
  <si>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</si>
  <si>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</si>
  <si>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</si>
  <si>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</si>
  <si>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</si>
  <si>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</si>
  <si>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</si>
  <si>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</si>
  <si>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</si>
  <si>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</si>
  <si>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</si>
  <si>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</si>
  <si>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</si>
  <si>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</si>
  <si>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</si>
  <si>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</si>
  <si>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</si>
  <si>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</si>
  <si>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</si>
  <si>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</si>
  <si>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</si>
  <si>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</si>
  <si>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</si>
  <si>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</si>
  <si>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</si>
  <si>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</si>
  <si>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</si>
  <si>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</si>
  <si>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</si>
  <si>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</si>
  <si>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</si>
  <si>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</si>
  <si>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</si>
  <si>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</si>
  <si>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</si>
  <si>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</si>
  <si>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</si>
  <si>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</si>
  <si>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</si>
  <si>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</si>
  <si>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</si>
  <si>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</si>
  <si>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</si>
  <si>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</si>
  <si>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</si>
  <si>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</si>
  <si>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</si>
  <si>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</si>
  <si>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</si>
  <si>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</si>
  <si>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</si>
  <si>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</si>
  <si>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</si>
  <si>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</si>
  <si>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</si>
  <si>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</si>
  <si>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</si>
  <si>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</si>
  <si>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</si>
  <si>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</si>
  <si>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</si>
  <si>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</si>
  <si>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</si>
  <si>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</si>
  <si>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</si>
  <si>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</si>
  <si>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</si>
  <si>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</si>
  <si>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</si>
  <si>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</si>
  <si>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</si>
  <si>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</si>
  <si>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</si>
  <si>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</si>
  <si>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</si>
  <si>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</si>
  <si>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</si>
  <si>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</si>
  <si>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</si>
  <si>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</si>
  <si>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</si>
  <si>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</si>
  <si>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</si>
  <si>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</si>
  <si>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</si>
  <si>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</si>
  <si>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</si>
  <si>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</si>
  <si>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</si>
  <si>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</si>
  <si>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</si>
  <si>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</si>
  <si>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</si>
  <si>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</si>
  <si>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</si>
  <si>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</si>
  <si>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</si>
  <si>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</si>
  <si>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</si>
  <si>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</si>
  <si>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</si>
  <si>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</si>
  <si>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</si>
  <si>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</si>
  <si>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</si>
  <si>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</si>
  <si>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</si>
  <si>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</si>
  <si>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</si>
  <si>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</si>
  <si>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</si>
  <si>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</si>
  <si>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</si>
  <si>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</si>
  <si>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</si>
  <si>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</si>
  <si>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</si>
  <si>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</si>
  <si>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</si>
  <si>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</si>
  <si>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</si>
  <si>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</si>
  <si>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</si>
  <si>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</si>
  <si>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</si>
  <si>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</si>
  <si>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</si>
  <si>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</si>
  <si>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</si>
  <si>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</si>
  <si>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</si>
  <si>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</si>
  <si>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</si>
  <si>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</si>
  <si>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</si>
  <si>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</si>
  <si>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</si>
  <si>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</si>
  <si>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</si>
  <si>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</si>
  <si>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</si>
  <si>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</si>
  <si>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</si>
  <si>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</si>
  <si>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</si>
  <si>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</si>
  <si>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</si>
  <si>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</si>
  <si>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</si>
  <si>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</si>
  <si>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</si>
  <si>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</si>
  <si>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</si>
  <si>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</si>
  <si>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</si>
  <si>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</si>
  <si>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</si>
  <si>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</si>
  <si>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</si>
  <si>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</si>
  <si>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</si>
  <si>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</si>
  <si>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</si>
  <si>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</si>
  <si>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</si>
  <si>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</si>
  <si>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</si>
  <si>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</si>
  <si>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</si>
  <si>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</si>
  <si>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</si>
  <si>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</si>
  <si>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</si>
  <si>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</si>
  <si>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</si>
  <si>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</si>
  <si>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</si>
  <si>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</si>
  <si>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</si>
  <si>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</si>
  <si>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</si>
  <si>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</si>
  <si>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</si>
  <si>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</si>
  <si>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</si>
  <si>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</si>
  <si>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</si>
  <si>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</si>
  <si>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</si>
  <si>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</si>
  <si>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</si>
  <si>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</si>
  <si>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</si>
  <si>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</si>
  <si>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</si>
  <si>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</si>
  <si>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</si>
  <si>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</si>
  <si>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</si>
  <si>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</si>
  <si>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</si>
  <si>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</si>
  <si>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</si>
  <si>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</si>
  <si>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</si>
  <si>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</si>
  <si>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</si>
  <si>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</si>
  <si>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</si>
  <si>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</si>
  <si>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</si>
  <si>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</si>
  <si>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</si>
  <si>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</si>
  <si>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</si>
  <si>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</si>
  <si>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</si>
  <si>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</si>
  <si>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</si>
  <si>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</si>
  <si>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</si>
  <si>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</si>
  <si>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</si>
  <si>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</si>
  <si>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</si>
  <si>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</si>
  <si>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</si>
  <si>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</si>
  <si>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</si>
  <si>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</si>
  <si>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</si>
  <si>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</si>
  <si>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</si>
  <si>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</si>
  <si>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</si>
  <si>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</si>
  <si>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</si>
  <si>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</si>
  <si>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</si>
  <si>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</si>
  <si>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</si>
  <si>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</si>
  <si>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</si>
  <si>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</si>
  <si>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</si>
  <si>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</si>
  <si>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</si>
  <si>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</si>
  <si>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</si>
  <si>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</si>
  <si>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</si>
  <si>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</si>
  <si>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</si>
  <si>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</si>
  <si>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</si>
  <si>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</si>
  <si>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</si>
  <si>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</si>
  <si>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</si>
  <si>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</si>
  <si>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</si>
  <si>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</si>
  <si>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</si>
  <si>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</si>
  <si>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</si>
  <si>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</si>
  <si>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</si>
  <si>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</si>
  <si>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</si>
  <si>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</si>
  <si>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</si>
  <si>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</si>
  <si>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</si>
  <si>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</si>
  <si>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</si>
  <si>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</si>
  <si>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</si>
  <si>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</si>
  <si>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</si>
  <si>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</si>
  <si>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</si>
  <si>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</si>
  <si>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</si>
  <si>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</si>
  <si>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</si>
  <si>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</si>
  <si>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</si>
  <si>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</si>
  <si>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</si>
  <si>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</si>
  <si>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</si>
  <si>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</si>
  <si>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</si>
  <si>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</si>
  <si>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</si>
  <si>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</si>
  <si>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</si>
  <si>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</si>
  <si>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</si>
  <si>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</si>
  <si>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</si>
  <si>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</si>
  <si>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</si>
  <si>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</si>
  <si>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</si>
  <si>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</si>
  <si>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</si>
  <si>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</si>
  <si>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</si>
  <si>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</si>
  <si>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</si>
  <si>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</si>
  <si>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</si>
  <si>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</si>
  <si>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</si>
  <si>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</si>
  <si>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</si>
  <si>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</si>
  <si>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</si>
  <si>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</si>
  <si>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</si>
  <si>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</si>
  <si>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</si>
  <si>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</si>
  <si>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</si>
  <si>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</si>
  <si>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</si>
  <si>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</si>
  <si>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</si>
  <si>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</si>
  <si>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</si>
  <si>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</si>
  <si>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</si>
  <si>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</si>
  <si>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</si>
  <si>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</si>
  <si>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</si>
  <si>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</si>
  <si>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</si>
  <si>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</si>
  <si>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</si>
  <si>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</si>
  <si>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</si>
  <si>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</si>
  <si>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</si>
  <si>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</si>
  <si>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</si>
  <si>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</si>
  <si>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</si>
  <si>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</si>
  <si>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</si>
  <si>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</si>
  <si>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</si>
  <si>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</si>
  <si>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</si>
  <si>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</si>
  <si>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</si>
  <si>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</si>
  <si>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</si>
  <si>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</si>
  <si>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</si>
  <si>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</si>
  <si>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</si>
  <si>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</si>
  <si>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</si>
  <si>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</si>
  <si>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</si>
  <si>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</si>
  <si>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</si>
  <si>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</si>
  <si>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</si>
  <si>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</si>
  <si>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</si>
  <si>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</si>
  <si>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</si>
  <si>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</si>
  <si>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</si>
  <si>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</si>
  <si>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</si>
  <si>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</si>
  <si>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</si>
  <si>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</si>
  <si>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</si>
  <si>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</si>
  <si>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</si>
  <si>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</si>
  <si>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Product Type</t>
  </si>
  <si>
    <t>Cost of Goods Sold(CODS)</t>
  </si>
  <si>
    <t>Gross Margin Percentage</t>
  </si>
  <si>
    <t>Gross Income</t>
  </si>
  <si>
    <t>Naypyidaw</t>
  </si>
  <si>
    <t>Row Labels</t>
  </si>
  <si>
    <t>Grand Total</t>
  </si>
  <si>
    <t>Sum of Total</t>
  </si>
  <si>
    <t>Column Labels</t>
  </si>
  <si>
    <t>Total Sales</t>
  </si>
  <si>
    <t>Sum of Total Sales</t>
  </si>
  <si>
    <t>Average Spending</t>
  </si>
  <si>
    <t>Customer Type</t>
  </si>
  <si>
    <t>Average sales</t>
  </si>
  <si>
    <t>Average Rating</t>
  </si>
  <si>
    <t>Sum of Gross Income</t>
  </si>
  <si>
    <t>Total Unit Price</t>
  </si>
  <si>
    <t>10</t>
  </si>
  <si>
    <t>11</t>
  </si>
  <si>
    <t>12</t>
  </si>
  <si>
    <t>13</t>
  </si>
  <si>
    <t>14</t>
  </si>
  <si>
    <t>15</t>
  </si>
  <si>
    <t>16</t>
  </si>
  <si>
    <t>17</t>
  </si>
  <si>
    <t>18</t>
  </si>
  <si>
    <t>19</t>
  </si>
  <si>
    <t>20</t>
  </si>
  <si>
    <t>Count of Invoice ID</t>
  </si>
  <si>
    <t>Sum of Quantity</t>
  </si>
  <si>
    <t>Average of Rating</t>
  </si>
  <si>
    <t>Mar</t>
  </si>
  <si>
    <t>Feb</t>
  </si>
  <si>
    <t>Jan</t>
  </si>
  <si>
    <t>&lt;01-01-2019</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</si>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</sst>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 #,##0.00_ ;_ * \-#,##0.00_ ;_ * &quot;-&quot;??_ ;_ @_ "/>
    <numFmt numFmtId="164" formatCode="[$-F400]h:mm:ss\ AM/PM"/>
    <numFmt numFmtId="165" formatCode="[$MMK]\ #,##0.00"/>
    <numFmt numFmtId="166" formatCode="0.0"/>
    <numFmt numFmtId="167" formatCode="[$MMK]\ #,##0.00;[$MMK]\ \-#,##0.00"/>
    <numFmt numFmtId="168" formatCode="[$-14009]dd/mm/yyyy;@"/>
    <numFmt numFmtId="169" formatCode="[$MMK]\ #,##0"/>
    <numFmt numFmtId="170"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0" xfId="0" applyAlignment="1">
      <alignment horizontal="left"/>
    </xf>
    <xf numFmtId="164" fontId="0" fillId="0" borderId="0" xfId="0" applyNumberFormat="1" applyAlignment="1">
      <alignment horizontal="center"/>
    </xf>
    <xf numFmtId="164" fontId="0" fillId="0" borderId="0" xfId="0" applyNumberFormat="1" applyAlignment="1">
      <alignment horizontal="left"/>
    </xf>
    <xf numFmtId="2" fontId="0" fillId="0" borderId="0" xfId="0" applyNumberFormat="1" applyAlignment="1">
      <alignment horizontal="center"/>
    </xf>
    <xf numFmtId="2" fontId="0" fillId="0" borderId="0" xfId="0" applyNumberFormat="1" applyAlignment="1">
      <alignment horizontal="left"/>
    </xf>
    <xf numFmtId="49" fontId="0" fillId="0" borderId="0" xfId="0" applyNumberFormat="1" applyAlignment="1">
      <alignment horizontal="center"/>
    </xf>
    <xf numFmtId="49" fontId="0" fillId="0" borderId="0" xfId="0" applyNumberFormat="1" applyAlignment="1">
      <alignment horizontal="left"/>
    </xf>
    <xf numFmtId="165" fontId="0" fillId="0" borderId="0" xfId="0" applyNumberFormat="1" applyAlignment="1">
      <alignment horizontal="center"/>
    </xf>
    <xf numFmtId="165" fontId="0" fillId="0" borderId="0" xfId="0" applyNumberFormat="1" applyAlignment="1">
      <alignment horizontal="left"/>
    </xf>
    <xf numFmtId="166" fontId="0" fillId="0" borderId="0" xfId="0" applyNumberFormat="1" applyAlignment="1">
      <alignment horizontal="center"/>
    </xf>
    <xf numFmtId="166" fontId="0" fillId="0" borderId="0" xfId="0" applyNumberFormat="1" applyAlignment="1">
      <alignment horizontal="left"/>
    </xf>
    <xf numFmtId="1" fontId="0" fillId="0" borderId="0" xfId="0" applyNumberFormat="1" applyAlignment="1">
      <alignment horizontal="center"/>
    </xf>
    <xf numFmtId="1" fontId="0" fillId="0" borderId="0" xfId="0" applyNumberFormat="1" applyAlignment="1">
      <alignment horizontal="left"/>
    </xf>
    <xf numFmtId="43" fontId="0" fillId="0" borderId="0" xfId="1" applyFont="1" applyAlignment="1">
      <alignment horizontal="center"/>
    </xf>
    <xf numFmtId="43" fontId="0" fillId="0" borderId="0" xfId="1" applyFont="1" applyAlignment="1">
      <alignment horizontal="left"/>
    </xf>
    <xf numFmtId="165" fontId="0" fillId="0" borderId="0" xfId="0" applyNumberFormat="1" applyAlignment="1">
      <alignment horizontal="center" readingOrder="1"/>
    </xf>
    <xf numFmtId="165" fontId="0" fillId="0" borderId="0" xfId="0" applyNumberFormat="1" applyAlignment="1">
      <alignment horizontal="left" readingOrder="1"/>
    </xf>
    <xf numFmtId="167" fontId="0" fillId="0" borderId="0" xfId="0" applyNumberFormat="1" applyAlignment="1">
      <alignment horizontal="center"/>
    </xf>
    <xf numFmtId="167" fontId="0" fillId="0" borderId="0" xfId="0" applyNumberFormat="1" applyAlignment="1">
      <alignment horizontal="left"/>
    </xf>
    <xf numFmtId="168" fontId="0" fillId="0" borderId="0" xfId="0" applyNumberFormat="1" applyAlignment="1" applyProtection="1">
      <alignment horizontal="center"/>
      <protection locked="0" hidden="1"/>
    </xf>
    <xf numFmtId="168" fontId="0" fillId="0" borderId="0" xfId="0" applyNumberFormat="1" applyAlignment="1" applyProtection="1">
      <alignment horizontal="left"/>
      <protection locked="0" hidden="1"/>
    </xf>
    <xf numFmtId="0" fontId="0" fillId="0" borderId="0" xfId="0" pivotButton="1"/>
    <xf numFmtId="165" fontId="0" fillId="0" borderId="0" xfId="0" applyNumberFormat="1"/>
    <xf numFmtId="169" fontId="0" fillId="0" borderId="0" xfId="0" applyNumberFormat="1"/>
    <xf numFmtId="166" fontId="0" fillId="0" borderId="0" xfId="0" applyNumberFormat="1"/>
    <xf numFmtId="170" fontId="0" fillId="0" borderId="0" xfId="0" applyNumberFormat="1"/>
    <xf numFmtId="0" fontId="0" fillId="33" borderId="0" xfId="0" applyFill="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7">
    <dxf>
      <numFmt numFmtId="169" formatCode="[$MMK]\ #,##0"/>
    </dxf>
    <dxf>
      <numFmt numFmtId="170" formatCode="_ * #,##0_ ;_ * \-#,##0_ ;_ * &quot;-&quot;??_ ;_ @_ "/>
    </dxf>
    <dxf>
      <numFmt numFmtId="169" formatCode="[$MMK]\ #,##0"/>
    </dxf>
    <dxf>
      <numFmt numFmtId="169" formatCode="[$MMK]\ #,##0"/>
    </dxf>
    <dxf>
      <numFmt numFmtId="169" formatCode="[$MMK]\ #,##0"/>
    </dxf>
    <dxf>
      <numFmt numFmtId="169" formatCode="[$MMK]\ #,##0"/>
    </dxf>
    <dxf>
      <numFmt numFmtId="169" formatCode="[$MMK]\ #,##0"/>
    </dxf>
    <dxf>
      <numFmt numFmtId="169" formatCode="[$MMK]\ #,##0"/>
    </dxf>
    <dxf>
      <numFmt numFmtId="169" formatCode="[$MMK]\ #,##0"/>
    </dxf>
    <dxf>
      <numFmt numFmtId="169" formatCode="[$MMK]\ #,##0"/>
    </dxf>
    <dxf>
      <numFmt numFmtId="169" formatCode="[$MMK]\ #,##0"/>
    </dxf>
    <dxf>
      <numFmt numFmtId="169" formatCode="[$MMK]\ #,##0"/>
    </dxf>
    <dxf>
      <numFmt numFmtId="169" formatCode="[$MMK]\ #,##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0.0"/>
      <alignment horizontal="left" vertical="bottom" textRotation="0" wrapText="0" indent="0" justifyLastLine="0" shrinkToFit="0" readingOrder="0"/>
    </dxf>
    <dxf>
      <numFmt numFmtId="166" formatCode="0.0"/>
      <alignment horizontal="left" vertical="bottom" textRotation="0" wrapText="0" indent="0" justifyLastLine="0" shrinkToFit="0" readingOrder="0"/>
    </dxf>
    <dxf>
      <alignment horizontal="left" vertical="bottom" textRotation="0" wrapText="0" indent="0" justifyLastLine="0" shrinkToFit="0" readingOrder="0"/>
    </dxf>
    <dxf>
      <numFmt numFmtId="165" formatCode="[$MMK]\ #,##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numFmt numFmtId="167" formatCode="[$MMK]\ #,##0.00;[$MMK]\ \-#,##0.00"/>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164" formatCode="[$-F400]h:mm:ss\ AM/PM"/>
      <alignment horizontal="left" vertical="bottom" textRotation="0" wrapText="0" indent="0" justifyLastLine="0" shrinkToFit="0" readingOrder="0"/>
    </dxf>
    <dxf>
      <alignment horizontal="left" vertical="bottom" textRotation="0" wrapText="0" indent="0" justifyLastLine="0" shrinkToFit="0" readingOrder="0"/>
      <protection locked="0" hidden="1"/>
    </dxf>
    <dxf>
      <numFmt numFmtId="168" formatCode="[$-14009]dd/mm/yyyy;@"/>
      <alignment horizontal="left" vertical="bottom" textRotation="0" wrapText="0" indent="0" justifyLastLine="0" shrinkToFit="0" readingOrder="0"/>
      <protection locked="0" hidden="1"/>
    </dxf>
    <dxf>
      <alignment horizontal="left" vertical="bottom" textRotation="0" wrapText="0" indent="0" justifyLastLine="0" shrinkToFit="0" readingOrder="0"/>
    </dxf>
    <dxf>
      <numFmt numFmtId="165" formatCode="[$MMK]\ #,##0.00"/>
      <alignment horizontal="left" vertical="bottom" textRotation="0" wrapText="0" indent="0" justifyLastLine="0" shrinkToFit="0" readingOrder="0"/>
    </dxf>
    <dxf>
      <alignment horizontal="left" vertical="bottom" textRotation="0" wrapText="0" indent="0" justifyLastLine="0" shrinkToFit="0" readingOrder="1"/>
    </dxf>
    <dxf>
      <numFmt numFmtId="165" formatCode="[$MMK]\ #,##0.00"/>
      <alignment horizontal="left" vertical="bottom" textRotation="0" wrapText="0" indent="0" justifyLastLine="0" shrinkToFit="0" readingOrder="1"/>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65" formatCode="[$MMK]\ #,##0.00"/>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font>
        <sz val="16"/>
        <color rgb="FFFF0000"/>
        <name val="Calibri"/>
        <family val="2"/>
        <scheme val="minor"/>
      </font>
    </dxf>
    <dxf>
      <font>
        <b/>
        <i val="0"/>
        <sz val="20"/>
        <color rgb="FFFF0000"/>
        <name val="Agency FB"/>
        <family val="2"/>
        <scheme val="none"/>
      </font>
      <fill>
        <patternFill patternType="solid">
          <fgColor theme="0"/>
          <bgColor rgb="FF6699FF"/>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name val="Calibri Light"/>
        <family val="2"/>
        <scheme val="major"/>
      </font>
      <fill>
        <patternFill>
          <bgColor rgb="FF00B050"/>
        </patternFill>
      </fill>
    </dxf>
    <dxf>
      <font>
        <sz val="14"/>
        <color theme="0"/>
      </font>
      <fill>
        <patternFill>
          <bgColor rgb="FF00B050"/>
        </patternFill>
      </fill>
    </dxf>
    <dxf>
      <fill>
        <patternFill>
          <bgColor theme="0"/>
        </patternFill>
      </fill>
    </dxf>
    <dxf>
      <fill>
        <patternFill>
          <bgColor rgb="FF00B050"/>
        </patternFill>
      </fill>
    </dxf>
  </dxfs>
  <tableStyles count="4" defaultTableStyle="TableStyleMedium2" defaultPivotStyle="PivotStyleLight16">
    <tableStyle name="Slicer Style 1" pivot="0" table="0" count="1" xr9:uid="{68995BD2-D051-459D-B31A-550493C9ACCA}">
      <tableStyleElement type="wholeTable" dxfId="86"/>
    </tableStyle>
    <tableStyle name="Slicer Style 2" pivot="0" table="0" count="1" xr9:uid="{AA78297D-916A-49F6-83B7-2391F702AA43}">
      <tableStyleElement type="wholeTable" dxfId="85"/>
    </tableStyle>
    <tableStyle name="Slicer Style 3" pivot="0" table="0" count="8" xr9:uid="{3CABD708-F41A-4D3F-AF8A-788F3B1F9A65}">
      <tableStyleElement type="wholeTable" dxfId="84"/>
      <tableStyleElement type="headerRow" dxfId="83"/>
    </tableStyle>
    <tableStyle name="Timeline Style 1" pivot="0" table="0" count="9" xr9:uid="{2565CF5C-836D-4138-9853-EA4E32E5609E}">
      <tableStyleElement type="wholeTable" dxfId="82"/>
      <tableStyleElement type="headerRow" dxfId="81"/>
    </tableStyle>
  </tableStyles>
  <colors>
    <mruColors>
      <color rgb="FF0F172A"/>
      <color rgb="FF0B1220"/>
      <color rgb="FF6699FF"/>
      <color rgb="FF60A5FA"/>
      <color rgb="FF38BDF8"/>
      <color rgb="FF111827"/>
    </mruColors>
  </colors>
  <extLst>
    <ext xmlns:x14="http://schemas.microsoft.com/office/spreadsheetml/2009/9/main" uri="{46F421CA-312F-682f-3DD2-61675219B42D}">
      <x14:dxfs count="6">
        <dxf>
          <font>
            <color rgb="FF92D050"/>
          </font>
          <fill>
            <patternFill>
              <fgColor theme="0"/>
              <bgColor rgb="FF00B050"/>
            </patternFill>
          </fill>
        </dxf>
        <dxf>
          <font>
            <color theme="1"/>
          </font>
          <fill>
            <patternFill>
              <bgColor rgb="FF92D050"/>
            </patternFill>
          </fill>
        </dxf>
        <dxf>
          <font>
            <color rgb="FF00B050"/>
          </font>
          <fill>
            <patternFill>
              <fgColor theme="0"/>
              <bgColor theme="0"/>
            </patternFill>
          </fill>
        </dxf>
        <dxf>
          <font>
            <color theme="0"/>
          </font>
          <fill>
            <patternFill>
              <bgColor rgb="FF92D050"/>
            </patternFill>
          </fill>
        </dxf>
        <dxf>
          <font>
            <color theme="0"/>
          </font>
          <fill>
            <patternFill>
              <bgColor rgb="FF00B050"/>
            </patternFill>
          </fill>
        </dxf>
        <dxf>
          <font>
            <color rgb="FF00B050"/>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rgb="FF0070C0"/>
            </patternFill>
          </fill>
        </dxf>
        <dxf>
          <fill>
            <patternFill patternType="solid">
              <fgColor theme="0" tint="-0.14993743705557422"/>
              <bgColor theme="8" tint="0.79998168889431442"/>
            </patternFill>
          </fill>
        </dxf>
        <dxf>
          <fill>
            <patternFill patternType="solid">
              <fgColor theme="0"/>
              <bgColor rgb="FFFFC000"/>
            </patternFill>
          </fill>
        </dxf>
        <dxf>
          <font>
            <sz val="9"/>
            <color theme="1" tint="0.499984740745262"/>
          </font>
        </dxf>
        <dxf>
          <font>
            <sz val="9"/>
            <color theme="1" tint="0.499984740745262"/>
          </font>
        </dxf>
        <dxf>
          <font>
            <sz val="16"/>
            <color rgb="FFFF0000"/>
            <name val="Calibri"/>
            <family val="2"/>
            <scheme val="minor"/>
          </font>
        </dxf>
        <dxf>
          <font>
            <sz val="16"/>
            <color rgb="FFFF000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[supermarket_salesdata_inExceldash1.xlsx]Customer Insights!PivotTable12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ln>
                    <a:noFill/>
                  </a:ln>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1200" b="0" i="0" u="none" strike="noStrike" kern="1200" baseline="0">
                  <a:ln>
                    <a:noFill/>
                  </a:ln>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522579440415791"/>
                  <c:h val="0.24335039058294866"/>
                </c:manualLayout>
              </c15:layout>
            </c:ext>
          </c:extLst>
        </c:dLbl>
      </c:pivotFmt>
      <c:pivotFmt>
        <c:idx val="14"/>
        <c:spPr>
          <a:solidFill>
            <a:srgbClr val="FFFF00"/>
          </a:solidFill>
          <a:ln w="19050">
            <a:solidFill>
              <a:schemeClr val="lt1"/>
            </a:solidFill>
          </a:ln>
          <a:effectLst/>
        </c:spPr>
        <c:dLbl>
          <c:idx val="0"/>
          <c:layout>
            <c:manualLayout>
              <c:x val="5.7971278933076853E-2"/>
              <c:y val="0"/>
            </c:manualLayout>
          </c:layout>
          <c:spPr>
            <a:noFill/>
            <a:ln>
              <a:noFill/>
            </a:ln>
            <a:effectLst/>
          </c:spPr>
          <c:txPr>
            <a:bodyPr rot="0" spcFirstLastPara="1" vertOverflow="ellipsis" vert="horz" wrap="square" anchor="ctr" anchorCtr="1"/>
            <a:lstStyle/>
            <a:p>
              <a:pPr>
                <a:defRPr sz="1200" b="0" i="0" u="none" strike="noStrike" kern="1200" baseline="0">
                  <a:ln>
                    <a:noFill/>
                  </a:ln>
                  <a:solidFill>
                    <a:srgbClr val="0F172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01212743663959"/>
                  <c:h val="0.24335039058294866"/>
                </c:manualLayout>
              </c15:layout>
            </c:ext>
          </c:extLst>
        </c:dLbl>
      </c:pivotFmt>
    </c:pivotFmts>
    <c:plotArea>
      <c:layout>
        <c:manualLayout>
          <c:layoutTarget val="inner"/>
          <c:xMode val="edge"/>
          <c:yMode val="edge"/>
          <c:x val="2.4469411679271316E-2"/>
          <c:y val="0.13788979687981301"/>
          <c:w val="0.55864927951199772"/>
          <c:h val="0.7174527532660494"/>
        </c:manualLayout>
      </c:layout>
      <c:doughnutChart>
        <c:varyColors val="0"/>
        <c:ser>
          <c:idx val="0"/>
          <c:order val="0"/>
          <c:tx>
            <c:strRef>
              <c:f>'Customer Insights'!$F$7</c:f>
              <c:strCache>
                <c:ptCount val="1"/>
                <c:pt idx="0">
                  <c:v>Total</c:v>
                </c:pt>
              </c:strCache>
            </c:strRef>
          </c:tx>
          <c:spPr>
            <a:solidFill>
              <a:schemeClr val="accent1"/>
            </a:solidFill>
            <a:ln w="19050">
              <a:solidFill>
                <a:schemeClr val="lt1"/>
              </a:solidFill>
            </a:ln>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6D-4CE1-9190-1D1BD0382474}"/>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46D-4CE1-9190-1D1BD0382474}"/>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35522579440415791"/>
                      <c:h val="0.24335039058294866"/>
                    </c:manualLayout>
                  </c15:layout>
                </c:ext>
                <c:ext xmlns:c16="http://schemas.microsoft.com/office/drawing/2014/chart" uri="{C3380CC4-5D6E-409C-BE32-E72D297353CC}">
                  <c16:uniqueId val="{00000001-046D-4CE1-9190-1D1BD0382474}"/>
                </c:ext>
              </c:extLst>
            </c:dLbl>
            <c:dLbl>
              <c:idx val="1"/>
              <c:layout>
                <c:manualLayout>
                  <c:x val="5.7971278933076853E-2"/>
                  <c:y val="0"/>
                </c:manualLayout>
              </c:layout>
              <c:showLegendKey val="0"/>
              <c:showVal val="1"/>
              <c:showCatName val="0"/>
              <c:showSerName val="0"/>
              <c:showPercent val="0"/>
              <c:showBubbleSize val="0"/>
              <c:extLst>
                <c:ext xmlns:c15="http://schemas.microsoft.com/office/drawing/2012/chart" uri="{CE6537A1-D6FC-4f65-9D91-7224C49458BB}">
                  <c15:layout>
                    <c:manualLayout>
                      <c:w val="0.3501212743663959"/>
                      <c:h val="0.24335039058294866"/>
                    </c:manualLayout>
                  </c15:layout>
                </c:ext>
                <c:ext xmlns:c16="http://schemas.microsoft.com/office/drawing/2014/chart" uri="{C3380CC4-5D6E-409C-BE32-E72D297353CC}">
                  <c16:uniqueId val="{00000003-046D-4CE1-9190-1D1BD0382474}"/>
                </c:ext>
              </c:extLst>
            </c:dLbl>
            <c:spPr>
              <a:noFill/>
              <a:ln>
                <a:noFill/>
              </a:ln>
              <a:effectLst/>
            </c:spPr>
            <c:txPr>
              <a:bodyPr rot="0" spcFirstLastPara="1" vertOverflow="ellipsis" vert="horz" wrap="square" anchor="ctr" anchorCtr="1"/>
              <a:lstStyle/>
              <a:p>
                <a:pPr>
                  <a:defRPr sz="1200" b="0" i="0" u="none" strike="noStrike" kern="1200" baseline="0">
                    <a:ln>
                      <a:noFill/>
                    </a:ln>
                    <a:solidFill>
                      <a:srgbClr val="0F172A"/>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Insights'!$E$8:$E$10</c:f>
              <c:strCache>
                <c:ptCount val="2"/>
                <c:pt idx="0">
                  <c:v>Member</c:v>
                </c:pt>
                <c:pt idx="1">
                  <c:v>Normal</c:v>
                </c:pt>
              </c:strCache>
            </c:strRef>
          </c:cat>
          <c:val>
            <c:numRef>
              <c:f>'Customer Insights'!$F$8:$F$10</c:f>
              <c:numCache>
                <c:formatCode>[$MMK]\ #,##0.00</c:formatCode>
                <c:ptCount val="2"/>
                <c:pt idx="0">
                  <c:v>164223.44400000002</c:v>
                </c:pt>
                <c:pt idx="1">
                  <c:v>158743.30500000005</c:v>
                </c:pt>
              </c:numCache>
            </c:numRef>
          </c:val>
          <c:extLst>
            <c:ext xmlns:c16="http://schemas.microsoft.com/office/drawing/2014/chart" uri="{C3380CC4-5D6E-409C-BE32-E72D297353CC}">
              <c16:uniqueId val="{00000004-046D-4CE1-9190-1D1BD03824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93856400361026"/>
          <c:y val="0.36799639314313493"/>
          <c:w val="0.36606143599638979"/>
          <c:h val="0.43321186127244032"/>
        </c:manualLayout>
      </c:layout>
      <c:overlay val="0"/>
      <c:spPr>
        <a:noFill/>
        <a:ln>
          <a:noFill/>
        </a:ln>
        <a:effectLst/>
      </c:spPr>
      <c:txPr>
        <a:bodyPr rot="0" spcFirstLastPara="1" vertOverflow="ellipsis" vert="horz" wrap="square" anchor="ctr" anchorCtr="1"/>
        <a:lstStyle/>
        <a:p>
          <a:pPr>
            <a:defRPr sz="12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[supermarket_salesdata_inExceldash1.xlsx]Executive Summary!PivotTable1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61270207466106"/>
          <c:y val="7.0914241446691409E-2"/>
          <c:w val="0.79376304706097789"/>
          <c:h val="0.81464345630602242"/>
        </c:manualLayout>
      </c:layout>
      <c:barChart>
        <c:barDir val="col"/>
        <c:grouping val="stacked"/>
        <c:varyColors val="0"/>
        <c:ser>
          <c:idx val="0"/>
          <c:order val="0"/>
          <c:tx>
            <c:strRef>
              <c:f>'Executive Summary'!$D$2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Summary'!$C$3:$C$6</c:f>
              <c:strCache>
                <c:ptCount val="3"/>
                <c:pt idx="0">
                  <c:v>A</c:v>
                </c:pt>
                <c:pt idx="1">
                  <c:v>B</c:v>
                </c:pt>
                <c:pt idx="2">
                  <c:v>C</c:v>
                </c:pt>
              </c:strCache>
            </c:strRef>
          </c:cat>
          <c:val>
            <c:numRef>
              <c:f>'Executive Summary'!$D$3:$D$6</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515E-46DA-9865-2758C5359D84}"/>
            </c:ext>
          </c:extLst>
        </c:ser>
        <c:dLbls>
          <c:showLegendKey val="0"/>
          <c:showVal val="0"/>
          <c:showCatName val="0"/>
          <c:showSerName val="0"/>
          <c:showPercent val="0"/>
          <c:showBubbleSize val="0"/>
        </c:dLbls>
        <c:gapWidth val="150"/>
        <c:overlap val="100"/>
        <c:axId val="1811789840"/>
        <c:axId val="1811794640"/>
      </c:barChart>
      <c:catAx>
        <c:axId val="1811789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794640"/>
        <c:crosses val="autoZero"/>
        <c:auto val="1"/>
        <c:lblAlgn val="ctr"/>
        <c:lblOffset val="100"/>
        <c:noMultiLvlLbl val="0"/>
      </c:catAx>
      <c:valAx>
        <c:axId val="18117946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78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[supermarket_salesdata_inExceldash1.xlsx]Sales Performance Anlaysis!PivotTable9</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0100869744225"/>
          <c:y val="0.11582749784735406"/>
          <c:w val="0.79533987599376166"/>
          <c:h val="0.75860553466852676"/>
        </c:manualLayout>
      </c:layout>
      <c:lineChart>
        <c:grouping val="stacked"/>
        <c:varyColors val="0"/>
        <c:ser>
          <c:idx val="0"/>
          <c:order val="0"/>
          <c:tx>
            <c:strRef>
              <c:f>'Sales Performance Anlaysis'!$L$3</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Anlaysis'!$K$4:$K$8</c:f>
              <c:strCache>
                <c:ptCount val="4"/>
                <c:pt idx="0">
                  <c:v>&lt;01-01-2019</c:v>
                </c:pt>
                <c:pt idx="1">
                  <c:v>Jan</c:v>
                </c:pt>
                <c:pt idx="2">
                  <c:v>Feb</c:v>
                </c:pt>
                <c:pt idx="3">
                  <c:v>Mar</c:v>
                </c:pt>
              </c:strCache>
            </c:strRef>
          </c:cat>
          <c:val>
            <c:numRef>
              <c:f>'Sales Performance Anlaysis'!$L$4:$L$8</c:f>
              <c:numCache>
                <c:formatCode>General</c:formatCode>
                <c:ptCount val="4"/>
                <c:pt idx="1">
                  <c:v>116291.86800000005</c:v>
                </c:pt>
                <c:pt idx="2">
                  <c:v>97219.373999999967</c:v>
                </c:pt>
                <c:pt idx="3">
                  <c:v>109455.50700000004</c:v>
                </c:pt>
              </c:numCache>
            </c:numRef>
          </c:val>
          <c:smooth val="0"/>
          <c:extLst>
            <c:ext xmlns:c16="http://schemas.microsoft.com/office/drawing/2014/chart" uri="{C3380CC4-5D6E-409C-BE32-E72D297353CC}">
              <c16:uniqueId val="{00000000-FBAF-4A67-B7B2-43A56551040D}"/>
            </c:ext>
          </c:extLst>
        </c:ser>
        <c:dLbls>
          <c:dLblPos val="t"/>
          <c:showLegendKey val="0"/>
          <c:showVal val="1"/>
          <c:showCatName val="0"/>
          <c:showSerName val="0"/>
          <c:showPercent val="0"/>
          <c:showBubbleSize val="0"/>
        </c:dLbls>
        <c:marker val="1"/>
        <c:smooth val="0"/>
        <c:axId val="1811797040"/>
        <c:axId val="1811793680"/>
      </c:lineChart>
      <c:catAx>
        <c:axId val="1811797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811793680"/>
        <c:crosses val="autoZero"/>
        <c:auto val="1"/>
        <c:lblAlgn val="ctr"/>
        <c:lblOffset val="100"/>
        <c:noMultiLvlLbl val="0"/>
      </c:catAx>
      <c:valAx>
        <c:axId val="1811793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81179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[supermarket_salesdata_inExceldash1.xlsx]Payment And Time Analysis!PivotTable21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 And Time Analysis'!$F$12</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'Payment And Time Analysis'!$E$13:$E$24</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'Payment And Time Analysis'!$F$13:$F$24</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4207-4890-90AA-72B4481A07A7}"/>
            </c:ext>
          </c:extLst>
        </c:ser>
        <c:dLbls>
          <c:showLegendKey val="0"/>
          <c:showVal val="0"/>
          <c:showCatName val="0"/>
          <c:showSerName val="0"/>
          <c:showPercent val="0"/>
          <c:showBubbleSize val="0"/>
        </c:dLbls>
        <c:marker val="1"/>
        <c:smooth val="0"/>
        <c:axId val="1667906704"/>
        <c:axId val="1667921584"/>
      </c:lineChart>
      <c:catAx>
        <c:axId val="1667906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667921584"/>
        <c:crosses val="autoZero"/>
        <c:auto val="1"/>
        <c:lblAlgn val="ctr"/>
        <c:lblOffset val="100"/>
        <c:noMultiLvlLbl val="0"/>
      </c:catAx>
      <c:valAx>
        <c:axId val="1667921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6679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[supermarket_salesdata_inExceldash1.xlsx]Customer Insights!PivotTable13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7030A0"/>
          </a:solidFill>
          <a:ln>
            <a:noFill/>
          </a:ln>
          <a:effectLst/>
        </c:spPr>
        <c:dLbl>
          <c:idx val="0"/>
          <c:layout>
            <c:manualLayout>
              <c:x val="0.23899354561811842"/>
              <c:y val="0.19314666274192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1978573433037"/>
                  <c:h val="0.31278239752741183"/>
                </c:manualLayout>
              </c15:layout>
            </c:ext>
          </c:extLst>
        </c:dLbl>
      </c:pivotFmt>
      <c:pivotFmt>
        <c:idx val="4"/>
        <c:spPr>
          <a:solidFill>
            <a:srgbClr val="7030A0"/>
          </a:solidFill>
          <a:ln>
            <a:noFill/>
          </a:ln>
          <a:effectLst/>
        </c:spPr>
        <c:dLbl>
          <c:idx val="0"/>
          <c:layout>
            <c:manualLayout>
              <c:x val="0.32285131811353768"/>
              <c:y val="0.211838006230529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911503986529977"/>
                  <c:h val="0.27539921995731842"/>
                </c:manualLayout>
              </c15:layout>
            </c:ext>
          </c:extLst>
        </c:dLbl>
      </c:pivotFmt>
    </c:pivotFmts>
    <c:plotArea>
      <c:layout>
        <c:manualLayout>
          <c:layoutTarget val="inner"/>
          <c:xMode val="edge"/>
          <c:yMode val="edge"/>
          <c:x val="0.16349498796310591"/>
          <c:y val="8.1171717171717173E-2"/>
          <c:w val="0.7379434619852846"/>
          <c:h val="0.75641103952914979"/>
        </c:manualLayout>
      </c:layout>
      <c:barChart>
        <c:barDir val="bar"/>
        <c:grouping val="stacked"/>
        <c:varyColors val="0"/>
        <c:ser>
          <c:idx val="0"/>
          <c:order val="0"/>
          <c:tx>
            <c:strRef>
              <c:f>'Customer Insights'!$K$2</c:f>
              <c:strCache>
                <c:ptCount val="1"/>
                <c:pt idx="0">
                  <c:v>Total</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049F-4FCE-AF53-DBFC29415E4E}"/>
              </c:ext>
            </c:extLst>
          </c:dPt>
          <c:dPt>
            <c:idx val="1"/>
            <c:invertIfNegative val="0"/>
            <c:bubble3D val="0"/>
            <c:spPr>
              <a:solidFill>
                <a:srgbClr val="7030A0"/>
              </a:solidFill>
              <a:ln>
                <a:noFill/>
              </a:ln>
              <a:effectLst/>
            </c:spPr>
            <c:extLst>
              <c:ext xmlns:c16="http://schemas.microsoft.com/office/drawing/2014/chart" uri="{C3380CC4-5D6E-409C-BE32-E72D297353CC}">
                <c16:uniqueId val="{00000002-049F-4FCE-AF53-DBFC29415E4E}"/>
              </c:ext>
            </c:extLst>
          </c:dPt>
          <c:dLbls>
            <c:dLbl>
              <c:idx val="0"/>
              <c:layout>
                <c:manualLayout>
                  <c:x val="0.23899354561811842"/>
                  <c:y val="0.19314666274192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1978573433037"/>
                      <c:h val="0.31278239752741183"/>
                    </c:manualLayout>
                  </c15:layout>
                </c:ext>
                <c:ext xmlns:c16="http://schemas.microsoft.com/office/drawing/2014/chart" uri="{C3380CC4-5D6E-409C-BE32-E72D297353CC}">
                  <c16:uniqueId val="{00000001-049F-4FCE-AF53-DBFC29415E4E}"/>
                </c:ext>
              </c:extLst>
            </c:dLbl>
            <c:dLbl>
              <c:idx val="1"/>
              <c:layout>
                <c:manualLayout>
                  <c:x val="0.32285131811353768"/>
                  <c:y val="0.211838006230529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911503986529977"/>
                      <c:h val="0.27539921995731842"/>
                    </c:manualLayout>
                  </c15:layout>
                </c:ext>
                <c:ext xmlns:c16="http://schemas.microsoft.com/office/drawing/2014/chart" uri="{C3380CC4-5D6E-409C-BE32-E72D297353CC}">
                  <c16:uniqueId val="{00000002-049F-4FCE-AF53-DBFC29415E4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'Customer Insights'!$J$3:$J$5</c:f>
              <c:strCache>
                <c:ptCount val="2"/>
                <c:pt idx="0">
                  <c:v>Female</c:v>
                </c:pt>
                <c:pt idx="1">
                  <c:v>Male</c:v>
                </c:pt>
              </c:strCache>
            </c:strRef>
          </c:cat>
          <c:val>
            <c:numRef>
              <c:f>'Customer Insights'!$K$3:$K$5</c:f>
              <c:numCache>
                <c:formatCode>[$MMK]\ #,##0</c:formatCode>
                <c:ptCount val="2"/>
                <c:pt idx="0">
                  <c:v>167882.92500000002</c:v>
                </c:pt>
                <c:pt idx="1">
                  <c:v>155083.82400000014</c:v>
                </c:pt>
              </c:numCache>
            </c:numRef>
          </c:val>
          <c:extLst>
            <c:ext xmlns:c16="http://schemas.microsoft.com/office/drawing/2014/chart" uri="{C3380CC4-5D6E-409C-BE32-E72D297353CC}">
              <c16:uniqueId val="{00000000-049F-4FCE-AF53-DBFC29415E4E}"/>
            </c:ext>
          </c:extLst>
        </c:ser>
        <c:dLbls>
          <c:showLegendKey val="0"/>
          <c:showVal val="0"/>
          <c:showCatName val="0"/>
          <c:showSerName val="0"/>
          <c:showPercent val="0"/>
          <c:showBubbleSize val="0"/>
        </c:dLbls>
        <c:gapWidth val="150"/>
        <c:overlap val="100"/>
        <c:axId val="1888135360"/>
        <c:axId val="1888135840"/>
      </c:barChart>
      <c:catAx>
        <c:axId val="188813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888135840"/>
        <c:crosses val="autoZero"/>
        <c:auto val="1"/>
        <c:lblAlgn val="ctr"/>
        <c:lblOffset val="100"/>
        <c:noMultiLvlLbl val="0"/>
      </c:catAx>
      <c:valAx>
        <c:axId val="1888135840"/>
        <c:scaling>
          <c:orientation val="minMax"/>
        </c:scaling>
        <c:delete val="1"/>
        <c:axPos val="b"/>
        <c:numFmt formatCode="[$MMK]\ #,##0" sourceLinked="1"/>
        <c:majorTickMark val="none"/>
        <c:minorTickMark val="none"/>
        <c:tickLblPos val="nextTo"/>
        <c:crossAx val="188813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[supermarket_salesdata_inExceldash1.xlsx]Sales Performance Anlaysis!PivotTable8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19445885927358"/>
          <c:y val="0.12521215284080595"/>
          <c:w val="0.61812088051026648"/>
          <c:h val="0.84499909239426396"/>
        </c:manualLayout>
      </c:layout>
      <c:barChart>
        <c:barDir val="bar"/>
        <c:grouping val="stacked"/>
        <c:varyColors val="0"/>
        <c:ser>
          <c:idx val="0"/>
          <c:order val="0"/>
          <c:tx>
            <c:strRef>
              <c:f>'Sales Performance Anlaysis'!$D$2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Anlaysis'!$C$3:$C$10</c:f>
              <c:strCache>
                <c:ptCount val="7"/>
                <c:pt idx="0">
                  <c:v>Electronic accessories</c:v>
                </c:pt>
                <c:pt idx="1">
                  <c:v>Fashion accessories</c:v>
                </c:pt>
                <c:pt idx="2">
                  <c:v>Food and beverages</c:v>
                </c:pt>
                <c:pt idx="3">
                  <c:v>Health and beauty</c:v>
                </c:pt>
                <c:pt idx="4">
                  <c:v>Home and lifestyle</c:v>
                </c:pt>
                <c:pt idx="5">
                  <c:v>Sports and travel</c:v>
                </c:pt>
                <c:pt idx="6">
                  <c:v>(blank)</c:v>
                </c:pt>
              </c:strCache>
            </c:strRef>
          </c:cat>
          <c:val>
            <c:numRef>
              <c:f>'Sales Performance Anlaysis'!$D$3:$D$10</c:f>
              <c:numCache>
                <c:formatCode>[$MMK]\ #,##0</c:formatCode>
                <c:ptCount val="7"/>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8D92-4B45-90F6-3E74102F258F}"/>
            </c:ext>
          </c:extLst>
        </c:ser>
        <c:dLbls>
          <c:dLblPos val="ctr"/>
          <c:showLegendKey val="0"/>
          <c:showVal val="1"/>
          <c:showCatName val="0"/>
          <c:showSerName val="0"/>
          <c:showPercent val="0"/>
          <c:showBubbleSize val="0"/>
        </c:dLbls>
        <c:gapWidth val="150"/>
        <c:overlap val="100"/>
        <c:axId val="1908135920"/>
        <c:axId val="1908137360"/>
      </c:barChart>
      <c:catAx>
        <c:axId val="190813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908137360"/>
        <c:crosses val="autoZero"/>
        <c:auto val="1"/>
        <c:lblAlgn val="ctr"/>
        <c:lblOffset val="100"/>
        <c:noMultiLvlLbl val="0"/>
      </c:catAx>
      <c:valAx>
        <c:axId val="1908137360"/>
        <c:scaling>
          <c:orientation val="minMax"/>
        </c:scaling>
        <c:delete val="1"/>
        <c:axPos val="b"/>
        <c:numFmt formatCode="[$MMK]\ #,##0" sourceLinked="1"/>
        <c:majorTickMark val="none"/>
        <c:minorTickMark val="none"/>
        <c:tickLblPos val="nextTo"/>
        <c:crossAx val="190813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[supermarket_salesdata_inExceldash1.xlsx]Executive Summary!PivotTable1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'Executive Summary'!$D$2</c:f>
              <c:strCache>
                <c:ptCount val="1"/>
                <c:pt idx="0">
                  <c:v>Total</c:v>
                </c:pt>
              </c:strCache>
            </c:strRef>
          </c:tx>
          <c:spPr>
            <a:solidFill>
              <a:schemeClr val="accent1"/>
            </a:solidFill>
            <a:ln>
              <a:noFill/>
            </a:ln>
            <a:effectLst/>
          </c:spPr>
          <c:invertIfNegative val="0"/>
          <c:cat>
            <c:strRef>
              <c:f>'Executive Summary'!$C$3:$C$6</c:f>
              <c:strCache>
                <c:ptCount val="3"/>
                <c:pt idx="0">
                  <c:v>A</c:v>
                </c:pt>
                <c:pt idx="1">
                  <c:v>B</c:v>
                </c:pt>
                <c:pt idx="2">
                  <c:v>C</c:v>
                </c:pt>
              </c:strCache>
            </c:strRef>
          </c:cat>
          <c:val>
            <c:numRef>
              <c:f>'Executive Summary'!$D$3:$D$6</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4273-4339-99C3-9424BF4AF4EE}"/>
            </c:ext>
          </c:extLst>
        </c:ser>
        <c:dLbls>
          <c:showLegendKey val="0"/>
          <c:showVal val="0"/>
          <c:showCatName val="0"/>
          <c:showSerName val="0"/>
          <c:showPercent val="0"/>
          <c:showBubbleSize val="0"/>
        </c:dLbls>
        <c:gapWidth val="150"/>
        <c:overlap val="100"/>
        <c:axId val="1811789840"/>
        <c:axId val="1811794640"/>
      </c:barChart>
      <c:catAx>
        <c:axId val="181178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94640"/>
        <c:crosses val="autoZero"/>
        <c:auto val="1"/>
        <c:lblAlgn val="ctr"/>
        <c:lblOffset val="100"/>
        <c:noMultiLvlLbl val="0"/>
      </c:catAx>
      <c:valAx>
        <c:axId val="181179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[supermarket_salesdata_inExceldash1.xlsx]Executive Summary!PivotTable2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675334485628322"/>
          <c:y val="0.15266435986159171"/>
          <c:w val="0.54848780487804882"/>
          <c:h val="0.77813148788927333"/>
        </c:manualLayout>
      </c:layout>
      <c:doughnutChart>
        <c:varyColors val="1"/>
        <c:ser>
          <c:idx val="0"/>
          <c:order val="0"/>
          <c:tx>
            <c:strRef>
              <c:f>'Executive Summary'!$D$17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2E-41C8-A559-EDA57D2BC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2E-41C8-A559-EDA57D2BC0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2E-41C8-A559-EDA57D2BC00B}"/>
              </c:ext>
            </c:extLst>
          </c:dPt>
          <c:cat>
            <c:strRef>
              <c:f>'Executive Summary'!$C$18:$C$21</c:f>
              <c:strCache>
                <c:ptCount val="3"/>
                <c:pt idx="0">
                  <c:v>Cash</c:v>
                </c:pt>
                <c:pt idx="1">
                  <c:v>Credit card</c:v>
                </c:pt>
                <c:pt idx="2">
                  <c:v>Ewallet</c:v>
                </c:pt>
              </c:strCache>
            </c:strRef>
          </c:cat>
          <c:val>
            <c:numRef>
              <c:f>'Executive Summary'!$D$18:$D$21</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2FAD-4FB6-890A-777BF91C27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[supermarket_salesdata_inExceldash1.xlsx]Executive Summary!PivotTable3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91469816272967"/>
          <c:y val="0.24939596092155147"/>
          <c:w val="0.5403444881889764"/>
          <c:h val="0.6293157626130067"/>
        </c:manualLayout>
      </c:layout>
      <c:barChart>
        <c:barDir val="bar"/>
        <c:grouping val="stacked"/>
        <c:varyColors val="0"/>
        <c:ser>
          <c:idx val="0"/>
          <c:order val="0"/>
          <c:tx>
            <c:strRef>
              <c:f>'Executive Summary'!$J$2</c:f>
              <c:strCache>
                <c:ptCount val="1"/>
                <c:pt idx="0">
                  <c:v>Total</c:v>
                </c:pt>
              </c:strCache>
            </c:strRef>
          </c:tx>
          <c:spPr>
            <a:solidFill>
              <a:schemeClr val="accent1"/>
            </a:solidFill>
            <a:ln>
              <a:noFill/>
            </a:ln>
            <a:effectLst/>
          </c:spPr>
          <c:invertIfNegative val="0"/>
          <c:cat>
            <c:strRef>
              <c:f>'Executive Summary'!$I$3:$I$6</c:f>
              <c:strCache>
                <c:ptCount val="3"/>
                <c:pt idx="0">
                  <c:v>Mandalay</c:v>
                </c:pt>
                <c:pt idx="1">
                  <c:v>Naypyidaw</c:v>
                </c:pt>
                <c:pt idx="2">
                  <c:v>Yangon</c:v>
                </c:pt>
              </c:strCache>
            </c:strRef>
          </c:cat>
          <c:val>
            <c:numRef>
              <c:f>'Executive Summary'!$J$3:$J$6</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A772-4692-89CE-DDFA23A5A4B8}"/>
            </c:ext>
          </c:extLst>
        </c:ser>
        <c:dLbls>
          <c:showLegendKey val="0"/>
          <c:showVal val="0"/>
          <c:showCatName val="0"/>
          <c:showSerName val="0"/>
          <c:showPercent val="0"/>
          <c:showBubbleSize val="0"/>
        </c:dLbls>
        <c:gapWidth val="150"/>
        <c:overlap val="100"/>
        <c:axId val="1815411392"/>
        <c:axId val="1815407072"/>
      </c:barChart>
      <c:catAx>
        <c:axId val="181541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07072"/>
        <c:crosses val="autoZero"/>
        <c:auto val="1"/>
        <c:lblAlgn val="ctr"/>
        <c:lblOffset val="100"/>
        <c:noMultiLvlLbl val="0"/>
      </c:catAx>
      <c:valAx>
        <c:axId val="181540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[supermarket_salesdata_inExceldash1.xlsx]Sales Performance Anlaysis!PivotTable8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7686517139215"/>
          <c:y val="0.15454166666666666"/>
          <c:w val="0.69662362259681809"/>
          <c:h val="0.69611404957359058"/>
        </c:manualLayout>
      </c:layout>
      <c:barChart>
        <c:barDir val="bar"/>
        <c:grouping val="stacked"/>
        <c:varyColors val="0"/>
        <c:ser>
          <c:idx val="0"/>
          <c:order val="0"/>
          <c:tx>
            <c:strRef>
              <c:f>'Sales Performance Anlaysis'!$D$2</c:f>
              <c:strCache>
                <c:ptCount val="1"/>
                <c:pt idx="0">
                  <c:v>Total</c:v>
                </c:pt>
              </c:strCache>
            </c:strRef>
          </c:tx>
          <c:spPr>
            <a:solidFill>
              <a:schemeClr val="accent1"/>
            </a:solidFill>
            <a:ln>
              <a:noFill/>
            </a:ln>
            <a:effectLst/>
          </c:spPr>
          <c:invertIfNegative val="0"/>
          <c:cat>
            <c:strRef>
              <c:f>'Sales Performance Anlaysis'!$C$3:$C$10</c:f>
              <c:strCache>
                <c:ptCount val="7"/>
                <c:pt idx="0">
                  <c:v>Electronic accessories</c:v>
                </c:pt>
                <c:pt idx="1">
                  <c:v>Fashion accessories</c:v>
                </c:pt>
                <c:pt idx="2">
                  <c:v>Food and beverages</c:v>
                </c:pt>
                <c:pt idx="3">
                  <c:v>Health and beauty</c:v>
                </c:pt>
                <c:pt idx="4">
                  <c:v>Home and lifestyle</c:v>
                </c:pt>
                <c:pt idx="5">
                  <c:v>Sports and travel</c:v>
                </c:pt>
                <c:pt idx="6">
                  <c:v>(blank)</c:v>
                </c:pt>
              </c:strCache>
            </c:strRef>
          </c:cat>
          <c:val>
            <c:numRef>
              <c:f>'Sales Performance Anlaysis'!$D$3:$D$10</c:f>
              <c:numCache>
                <c:formatCode>[$MMK]\ #,##0</c:formatCode>
                <c:ptCount val="7"/>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BC04-4B67-A39A-98E5D2FACA11}"/>
            </c:ext>
          </c:extLst>
        </c:ser>
        <c:dLbls>
          <c:showLegendKey val="0"/>
          <c:showVal val="0"/>
          <c:showCatName val="0"/>
          <c:showSerName val="0"/>
          <c:showPercent val="0"/>
          <c:showBubbleSize val="0"/>
        </c:dLbls>
        <c:gapWidth val="150"/>
        <c:overlap val="100"/>
        <c:axId val="1908135920"/>
        <c:axId val="1908137360"/>
      </c:barChart>
      <c:catAx>
        <c:axId val="190813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137360"/>
        <c:crosses val="autoZero"/>
        <c:auto val="1"/>
        <c:lblAlgn val="ctr"/>
        <c:lblOffset val="100"/>
        <c:noMultiLvlLbl val="0"/>
      </c:catAx>
      <c:valAx>
        <c:axId val="1908137360"/>
        <c:scaling>
          <c:orientation val="minMax"/>
        </c:scaling>
        <c:delete val="0"/>
        <c:axPos val="b"/>
        <c:majorGridlines>
          <c:spPr>
            <a:ln w="9525" cap="flat" cmpd="sng" algn="ctr">
              <a:solidFill>
                <a:schemeClr val="tx1">
                  <a:lumMod val="15000"/>
                  <a:lumOff val="85000"/>
                </a:schemeClr>
              </a:solidFill>
              <a:round/>
            </a:ln>
            <a:effectLst/>
          </c:spPr>
        </c:majorGridlines>
        <c:numFmt formatCode="[$MMK]\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1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[supermarket_salesdata_inExceldash1.xlsx]Sales Performance Anlaysis!PivotTable9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77134923351976E-2"/>
          <c:y val="0.16852852852852854"/>
          <c:w val="0.79533987599376166"/>
          <c:h val="0.75860553466852676"/>
        </c:manualLayout>
      </c:layout>
      <c:lineChart>
        <c:grouping val="stacked"/>
        <c:varyColors val="0"/>
        <c:ser>
          <c:idx val="0"/>
          <c:order val="0"/>
          <c:tx>
            <c:strRef>
              <c:f>'Sales Performance Anlaysis'!$L$3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Performance Anlaysis'!$K$4:$K$8</c:f>
              <c:strCache>
                <c:ptCount val="4"/>
                <c:pt idx="0">
                  <c:v>&lt;01-01-2019</c:v>
                </c:pt>
                <c:pt idx="1">
                  <c:v>Jan</c:v>
                </c:pt>
                <c:pt idx="2">
                  <c:v>Feb</c:v>
                </c:pt>
                <c:pt idx="3">
                  <c:v>Mar</c:v>
                </c:pt>
              </c:strCache>
            </c:strRef>
          </c:cat>
          <c:val>
            <c:numRef>
              <c:f>'Sales Performance Anlaysis'!$L$4:$L$8</c:f>
              <c:numCache>
                <c:formatCode>General</c:formatCode>
                <c:ptCount val="4"/>
                <c:pt idx="1">
                  <c:v>116291.86800000005</c:v>
                </c:pt>
                <c:pt idx="2">
                  <c:v>97219.373999999967</c:v>
                </c:pt>
                <c:pt idx="3">
                  <c:v>109455.50700000004</c:v>
                </c:pt>
              </c:numCache>
            </c:numRef>
          </c:val>
          <c:smooth val="0"/>
          <c:extLst>
            <c:ext xmlns:c16="http://schemas.microsoft.com/office/drawing/2014/chart" uri="{C3380CC4-5D6E-409C-BE32-E72D297353CC}">
              <c16:uniqueId val="{00000000-636A-44D8-AD3C-F0A1B77053DB}"/>
            </c:ext>
          </c:extLst>
        </c:ser>
        <c:dLbls>
          <c:showLegendKey val="0"/>
          <c:showVal val="0"/>
          <c:showCatName val="0"/>
          <c:showSerName val="0"/>
          <c:showPercent val="0"/>
          <c:showBubbleSize val="0"/>
        </c:dLbls>
        <c:marker val="1"/>
        <c:smooth val="0"/>
        <c:axId val="1811797040"/>
        <c:axId val="1811793680"/>
      </c:lineChart>
      <c:catAx>
        <c:axId val="181179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93680"/>
        <c:crosses val="autoZero"/>
        <c:auto val="1"/>
        <c:lblAlgn val="ctr"/>
        <c:lblOffset val="100"/>
        <c:noMultiLvlLbl val="0"/>
      </c:catAx>
      <c:valAx>
        <c:axId val="181179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9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[supermarket_salesdata_inExceldash1.xlsx]Customer Insights!PivotTable12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'Customer Insights'!$F$7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6E-4DD3-AFB4-D05ABB0EAD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6E-4DD3-AFB4-D05ABB0EAD82}"/>
              </c:ext>
            </c:extLst>
          </c:dPt>
          <c:cat>
            <c:strRef>
              <c:f>'Customer Insights'!$E$8:$E$10</c:f>
              <c:strCache>
                <c:ptCount val="2"/>
                <c:pt idx="0">
                  <c:v>Member</c:v>
                </c:pt>
                <c:pt idx="1">
                  <c:v>Normal</c:v>
                </c:pt>
              </c:strCache>
            </c:strRef>
          </c:cat>
          <c:val>
            <c:numRef>
              <c:f>'Customer Insights'!$F$8:$F$10</c:f>
              <c:numCache>
                <c:formatCode>[$MMK]\ #,##0.00</c:formatCode>
                <c:ptCount val="2"/>
                <c:pt idx="0">
                  <c:v>164223.44400000002</c:v>
                </c:pt>
                <c:pt idx="1">
                  <c:v>158743.30500000005</c:v>
                </c:pt>
              </c:numCache>
            </c:numRef>
          </c:val>
          <c:extLst>
            <c:ext xmlns:c16="http://schemas.microsoft.com/office/drawing/2014/chart" uri="{C3380CC4-5D6E-409C-BE32-E72D297353CC}">
              <c16:uniqueId val="{00000000-21E2-47AA-8132-1BE96922F7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[supermarket_salesdata_inExceldash1.xlsx]Customer Insights!PivotTable13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9498796310591"/>
          <c:y val="8.1171717171717173E-2"/>
          <c:w val="0.7379434619852846"/>
          <c:h val="0.75641103952914979"/>
        </c:manualLayout>
      </c:layout>
      <c:barChart>
        <c:barDir val="bar"/>
        <c:grouping val="stacked"/>
        <c:varyColors val="0"/>
        <c:ser>
          <c:idx val="0"/>
          <c:order val="0"/>
          <c:tx>
            <c:strRef>
              <c:f>'Customer Insights'!$K$2</c:f>
              <c:strCache>
                <c:ptCount val="1"/>
                <c:pt idx="0">
                  <c:v>Total</c:v>
                </c:pt>
              </c:strCache>
            </c:strRef>
          </c:tx>
          <c:spPr>
            <a:solidFill>
              <a:schemeClr val="accent1"/>
            </a:solidFill>
            <a:ln>
              <a:noFill/>
            </a:ln>
            <a:effectLst/>
          </c:spPr>
          <c:invertIfNegative val="0"/>
          <c:cat>
            <c:strRef>
              <c:f>'Customer Insights'!$J$3:$J$5</c:f>
              <c:strCache>
                <c:ptCount val="2"/>
                <c:pt idx="0">
                  <c:v>Female</c:v>
                </c:pt>
                <c:pt idx="1">
                  <c:v>Male</c:v>
                </c:pt>
              </c:strCache>
            </c:strRef>
          </c:cat>
          <c:val>
            <c:numRef>
              <c:f>'Customer Insights'!$K$3:$K$5</c:f>
              <c:numCache>
                <c:formatCode>[$MMK]\ #,##0</c:formatCode>
                <c:ptCount val="2"/>
                <c:pt idx="0">
                  <c:v>167882.92500000002</c:v>
                </c:pt>
                <c:pt idx="1">
                  <c:v>155083.82400000014</c:v>
                </c:pt>
              </c:numCache>
            </c:numRef>
          </c:val>
          <c:extLst>
            <c:ext xmlns:c16="http://schemas.microsoft.com/office/drawing/2014/chart" uri="{C3380CC4-5D6E-409C-BE32-E72D297353CC}">
              <c16:uniqueId val="{00000000-CAE4-401E-B38C-9B8D2296263B}"/>
            </c:ext>
          </c:extLst>
        </c:ser>
        <c:dLbls>
          <c:showLegendKey val="0"/>
          <c:showVal val="0"/>
          <c:showCatName val="0"/>
          <c:showSerName val="0"/>
          <c:showPercent val="0"/>
          <c:showBubbleSize val="0"/>
        </c:dLbls>
        <c:gapWidth val="150"/>
        <c:overlap val="100"/>
        <c:axId val="1888135360"/>
        <c:axId val="1888135840"/>
      </c:barChart>
      <c:catAx>
        <c:axId val="188813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35840"/>
        <c:crosses val="autoZero"/>
        <c:auto val="1"/>
        <c:lblAlgn val="ctr"/>
        <c:lblOffset val="100"/>
        <c:noMultiLvlLbl val="0"/>
      </c:catAx>
      <c:valAx>
        <c:axId val="1888135840"/>
        <c:scaling>
          <c:orientation val="minMax"/>
        </c:scaling>
        <c:delete val="0"/>
        <c:axPos val="b"/>
        <c:majorGridlines>
          <c:spPr>
            <a:ln w="9525" cap="flat" cmpd="sng" algn="ctr">
              <a:solidFill>
                <a:schemeClr val="tx1">
                  <a:lumMod val="15000"/>
                  <a:lumOff val="85000"/>
                </a:schemeClr>
              </a:solidFill>
              <a:round/>
            </a:ln>
            <a:effectLst/>
          </c:spPr>
        </c:majorGridlines>
        <c:numFmt formatCode="[$MMK]\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3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[supermarket_salesdata_inExceldash1.xlsx]Customer Insights!PivotTable14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Insights'!$P$2</c:f>
              <c:strCache>
                <c:ptCount val="1"/>
                <c:pt idx="0">
                  <c:v>Total</c:v>
                </c:pt>
              </c:strCache>
            </c:strRef>
          </c:tx>
          <c:spPr>
            <a:solidFill>
              <a:schemeClr val="accent1"/>
            </a:solidFill>
            <a:ln>
              <a:noFill/>
            </a:ln>
            <a:effectLst/>
          </c:spPr>
          <c:invertIfNegative val="0"/>
          <c:cat>
            <c:strRef>
              <c:f>'Customer Insights'!$O$3:$O$5</c:f>
              <c:strCache>
                <c:ptCount val="2"/>
                <c:pt idx="0">
                  <c:v>Member</c:v>
                </c:pt>
                <c:pt idx="1">
                  <c:v>Normal</c:v>
                </c:pt>
              </c:strCache>
            </c:strRef>
          </c:cat>
          <c:val>
            <c:numRef>
              <c:f>'Customer Insights'!$P$3:$P$5</c:f>
              <c:numCache>
                <c:formatCode>[$MMK]\ #,##0.00</c:formatCode>
                <c:ptCount val="2"/>
                <c:pt idx="0">
                  <c:v>327.79130538922158</c:v>
                </c:pt>
                <c:pt idx="1">
                  <c:v>318.12285571142297</c:v>
                </c:pt>
              </c:numCache>
            </c:numRef>
          </c:val>
          <c:extLst>
            <c:ext xmlns:c16="http://schemas.microsoft.com/office/drawing/2014/chart" uri="{C3380CC4-5D6E-409C-BE32-E72D297353CC}">
              <c16:uniqueId val="{00000000-FDC8-4198-BD76-93A79E970CCD}"/>
            </c:ext>
          </c:extLst>
        </c:ser>
        <c:dLbls>
          <c:showLegendKey val="0"/>
          <c:showVal val="0"/>
          <c:showCatName val="0"/>
          <c:showSerName val="0"/>
          <c:showPercent val="0"/>
          <c:showBubbleSize val="0"/>
        </c:dLbls>
        <c:gapWidth val="219"/>
        <c:overlap val="-27"/>
        <c:axId val="1792617824"/>
        <c:axId val="1792624064"/>
      </c:barChart>
      <c:catAx>
        <c:axId val="179261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24064"/>
        <c:crosses val="autoZero"/>
        <c:auto val="1"/>
        <c:lblAlgn val="ctr"/>
        <c:lblOffset val="100"/>
        <c:noMultiLvlLbl val="0"/>
      </c:catAx>
      <c:valAx>
        <c:axId val="1792624064"/>
        <c:scaling>
          <c:orientation val="minMax"/>
        </c:scaling>
        <c:delete val="0"/>
        <c:axPos val="l"/>
        <c:majorGridlines>
          <c:spPr>
            <a:ln w="9525" cap="flat" cmpd="sng" algn="ctr">
              <a:solidFill>
                <a:schemeClr val="tx1">
                  <a:lumMod val="15000"/>
                  <a:lumOff val="85000"/>
                </a:schemeClr>
              </a:solidFill>
              <a:round/>
            </a:ln>
            <a:effectLst/>
          </c:spPr>
        </c:majorGridlines>
        <c:numFmt formatCode="[$MMK]\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[supermarket_salesdata_inExceldash1.xlsx]Product And Pricing Analysis!PivotTable17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06352121004638"/>
          <c:y val="0.17171296296296296"/>
          <c:w val="0.68286356721333397"/>
          <c:h val="0.72088764946048411"/>
        </c:manualLayout>
      </c:layout>
      <c:barChart>
        <c:barDir val="bar"/>
        <c:grouping val="clustered"/>
        <c:varyColors val="0"/>
        <c:ser>
          <c:idx val="0"/>
          <c:order val="0"/>
          <c:tx>
            <c:strRef>
              <c:f>'Product And Pricing Analysis'!$J$2</c:f>
              <c:strCache>
                <c:ptCount val="1"/>
                <c:pt idx="0">
                  <c:v>Total</c:v>
                </c:pt>
              </c:strCache>
            </c:strRef>
          </c:tx>
          <c:spPr>
            <a:solidFill>
              <a:schemeClr val="accent1"/>
            </a:solidFill>
            <a:ln>
              <a:noFill/>
            </a:ln>
            <a:effectLst/>
          </c:spPr>
          <c:invertIfNegative val="0"/>
          <c:cat>
            <c:strRef>
              <c:f>'Product And Pricing Analysis'!$I$3:$I$9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And Pricing Analysis'!$J$3:$J$9</c:f>
              <c:numCache>
                <c:formatCode>[$MMK]\ #,##0</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5796-4EA1-9485-047F940629D9}"/>
            </c:ext>
          </c:extLst>
        </c:ser>
        <c:dLbls>
          <c:showLegendKey val="0"/>
          <c:showVal val="0"/>
          <c:showCatName val="0"/>
          <c:showSerName val="0"/>
          <c:showPercent val="0"/>
          <c:showBubbleSize val="0"/>
        </c:dLbls>
        <c:gapWidth val="182"/>
        <c:axId val="1870950144"/>
        <c:axId val="1870932384"/>
      </c:barChart>
      <c:catAx>
        <c:axId val="18709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32384"/>
        <c:crosses val="autoZero"/>
        <c:auto val="1"/>
        <c:lblAlgn val="ctr"/>
        <c:lblOffset val="100"/>
        <c:noMultiLvlLbl val="0"/>
      </c:catAx>
      <c:valAx>
        <c:axId val="1870932384"/>
        <c:scaling>
          <c:orientation val="minMax"/>
        </c:scaling>
        <c:delete val="0"/>
        <c:axPos val="b"/>
        <c:majorGridlines>
          <c:spPr>
            <a:ln w="9525" cap="flat" cmpd="sng" algn="ctr">
              <a:solidFill>
                <a:schemeClr val="tx1">
                  <a:lumMod val="15000"/>
                  <a:lumOff val="85000"/>
                </a:schemeClr>
              </a:solidFill>
              <a:round/>
            </a:ln>
            <a:effectLst/>
          </c:spPr>
        </c:majorGridlines>
        <c:numFmt formatCode="[$MMK]\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Price VS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'Product And Pricing Analysis'!$E$11</c:f>
              <c:strCache>
                <c:ptCount val="1"/>
                <c:pt idx="0">
                  <c:v>Total Unit Price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'Product And Pricing Analysis'!$D$12:$D$22</c:f>
              <c:strCache>
                <c:ptCount val="11"/>
                <c:pt idx="0">
                  <c:v>1</c:v>
                </c:pt>
                <c:pt idx="1">
                  <c:v>2</c:v>
                </c:pt>
                <c:pt idx="2">
                  <c:v>3</c:v>
                </c:pt>
                <c:pt idx="3">
                  <c:v>4</c:v>
                </c:pt>
                <c:pt idx="4">
                  <c:v>5</c:v>
                </c:pt>
                <c:pt idx="5">
                  <c:v>6</c:v>
                </c:pt>
                <c:pt idx="6">
                  <c:v>7</c:v>
                </c:pt>
                <c:pt idx="7">
                  <c:v>8</c:v>
                </c:pt>
                <c:pt idx="8">
                  <c:v>9</c:v>
                </c:pt>
                <c:pt idx="9">
                  <c:v>10</c:v>
                </c:pt>
                <c:pt idx="10">
                  <c:v>Grand Total</c:v>
                </c:pt>
              </c:strCache>
            </c:strRef>
          </c:xVal>
          <c:yVal>
            <c:numRef>
              <c:f>'Product And Pricing Analysis'!$E$12:$E$22</c:f>
              <c:numCache>
                <c:formatCode>[$MMK]\ #,##0.00</c:formatCode>
                <c:ptCount val="11"/>
                <c:pt idx="0">
                  <c:v>6135.57</c:v>
                </c:pt>
                <c:pt idx="1">
                  <c:v>5235.6200000000008</c:v>
                </c:pt>
                <c:pt idx="2">
                  <c:v>5105.2999999999993</c:v>
                </c:pt>
                <c:pt idx="3">
                  <c:v>6011.4100000000008</c:v>
                </c:pt>
                <c:pt idx="4">
                  <c:v>5152.6499999999978</c:v>
                </c:pt>
                <c:pt idx="5">
                  <c:v>5469.0800000000017</c:v>
                </c:pt>
                <c:pt idx="6">
                  <c:v>5940.7699999999977</c:v>
                </c:pt>
                <c:pt idx="7">
                  <c:v>4799.5599999999995</c:v>
                </c:pt>
                <c:pt idx="8">
                  <c:v>5162.2699999999986</c:v>
                </c:pt>
                <c:pt idx="9">
                  <c:v>6659.9000000000024</c:v>
                </c:pt>
                <c:pt idx="10">
                  <c:v>55672.12999999999</c:v>
                </c:pt>
              </c:numCache>
            </c:numRef>
          </c:yVal>
          <c:smooth val="0"/>
          <c:extLst>
            <c:ext xmlns:c16="http://schemas.microsoft.com/office/drawing/2014/chart" uri="{C3380CC4-5D6E-409C-BE32-E72D297353CC}">
              <c16:uniqueId val="{00000000-F66C-46C0-983C-0736B580F89C}"/>
            </c:ext>
          </c:extLst>
        </c:ser>
        <c:dLbls>
          <c:showLegendKey val="0"/>
          <c:showVal val="0"/>
          <c:showCatName val="0"/>
          <c:showSerName val="0"/>
          <c:showPercent val="0"/>
          <c:showBubbleSize val="0"/>
        </c:dLbls>
        <c:axId val="1576743296"/>
        <c:axId val="1576743776"/>
      </c:scatterChart>
      <c:valAx>
        <c:axId val="1576743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743776"/>
        <c:crosses val="autoZero"/>
        <c:crossBetween val="midCat"/>
      </c:valAx>
      <c:valAx>
        <c:axId val="1576743776"/>
        <c:scaling>
          <c:orientation val="minMax"/>
        </c:scaling>
        <c:delete val="0"/>
        <c:axPos val="l"/>
        <c:majorGridlines>
          <c:spPr>
            <a:ln w="9525" cap="flat" cmpd="sng" algn="ctr">
              <a:solidFill>
                <a:schemeClr val="tx1">
                  <a:lumMod val="15000"/>
                  <a:lumOff val="85000"/>
                </a:schemeClr>
              </a:solidFill>
              <a:round/>
            </a:ln>
            <a:effectLst/>
          </c:spPr>
        </c:majorGridlines>
        <c:numFmt formatCode="[$MMK]\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743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[supermarket_salesdata_inExceldash1.xlsx]Payment And Time Analysis!PivotTable20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'Payment And Time Analysis'!$N$4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C8-46F0-90FC-64DFF5B442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C8-46F0-90FC-64DFF5B442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C8-46F0-90FC-64DFF5B442E2}"/>
              </c:ext>
            </c:extLst>
          </c:dPt>
          <c:cat>
            <c:strRef>
              <c:f>'Payment And Time Analysis'!$M$5:$M$8</c:f>
              <c:strCache>
                <c:ptCount val="3"/>
                <c:pt idx="0">
                  <c:v>Cash</c:v>
                </c:pt>
                <c:pt idx="1">
                  <c:v>Credit card</c:v>
                </c:pt>
                <c:pt idx="2">
                  <c:v>Ewallet</c:v>
                </c:pt>
              </c:strCache>
            </c:strRef>
          </c:cat>
          <c:val>
            <c:numRef>
              <c:f>'Payment And Time Analysis'!$N$5:$N$8</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A9CD-45B3-8F11-D3DABAEA7E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[supermarket_salesdata_inExceldash1.xlsx]Payment And Time Analysis!PivotTable21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'Payment And Time Analysis'!$F$12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 And Time Analysis'!$E$13:$E$24</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'Payment And Time Analysis'!$F$13:$F$24</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FC86-401B-8EB1-37D2090052EB}"/>
            </c:ext>
          </c:extLst>
        </c:ser>
        <c:dLbls>
          <c:showLegendKey val="0"/>
          <c:showVal val="0"/>
          <c:showCatName val="0"/>
          <c:showSerName val="0"/>
          <c:showPercent val="0"/>
          <c:showBubbleSize val="0"/>
        </c:dLbls>
        <c:marker val="1"/>
        <c:smooth val="0"/>
        <c:axId val="1667906704"/>
        <c:axId val="1667921584"/>
      </c:lineChart>
      <c:catAx>
        <c:axId val="16679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21584"/>
        <c:crosses val="autoZero"/>
        <c:auto val="1"/>
        <c:lblAlgn val="ctr"/>
        <c:lblOffset val="100"/>
        <c:noMultiLvlLbl val="0"/>
      </c:catAx>
      <c:valAx>
        <c:axId val="166792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0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ourse Data'!A1"/><Relationship Id="rId13" Type="http://schemas.openxmlformats.org/officeDocument/2006/relationships/image" Target="../media/image6.png"/><Relationship Id="rId18" Type="http://schemas.openxmlformats.org/officeDocument/2006/relationships/chart" Target="../charts/chart3.xml"/><Relationship Id="rId26" Type="http://schemas.openxmlformats.org/officeDocument/2006/relationships/chart" Target="../charts/chart6.xml"/><Relationship Id="rId3" Type="http://schemas.openxmlformats.org/officeDocument/2006/relationships/hyperlink" Target="#'Product And Pricing Analysis'!A1"/><Relationship Id="rId21" Type="http://schemas.openxmlformats.org/officeDocument/2006/relationships/image" Target="../media/image9.png"/><Relationship Id="rId7" Type="http://schemas.openxmlformats.org/officeDocument/2006/relationships/image" Target="../media/image1.png"/><Relationship Id="rId12" Type="http://schemas.openxmlformats.org/officeDocument/2006/relationships/image" Target="../media/image5.png"/><Relationship Id="rId17" Type="http://schemas.openxmlformats.org/officeDocument/2006/relationships/chart" Target="../charts/chart2.xml"/><Relationship Id="rId25" Type="http://schemas.openxmlformats.org/officeDocument/2006/relationships/image" Target="../media/image13.png"/><Relationship Id="rId2" Type="http://schemas.openxmlformats.org/officeDocument/2006/relationships/hyperlink" Target="#'Executive Summary'!A1"/><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hyperlink" Target="#DashBoard!A1"/><Relationship Id="rId6" Type="http://schemas.openxmlformats.org/officeDocument/2006/relationships/hyperlink" Target="#'Payment And Time Analysis'!A1"/><Relationship Id="rId11" Type="http://schemas.openxmlformats.org/officeDocument/2006/relationships/image" Target="../media/image4.png"/><Relationship Id="rId24" Type="http://schemas.openxmlformats.org/officeDocument/2006/relationships/image" Target="../media/image12.png"/><Relationship Id="rId5" Type="http://schemas.openxmlformats.org/officeDocument/2006/relationships/hyperlink" Target="#'Sales Performance Anlaysis'!A1"/><Relationship Id="rId15" Type="http://schemas.openxmlformats.org/officeDocument/2006/relationships/image" Target="../media/image8.png"/><Relationship Id="rId23" Type="http://schemas.openxmlformats.org/officeDocument/2006/relationships/image" Target="../media/image11.png"/><Relationship Id="rId10" Type="http://schemas.openxmlformats.org/officeDocument/2006/relationships/image" Target="../media/image3.png"/><Relationship Id="rId19" Type="http://schemas.openxmlformats.org/officeDocument/2006/relationships/chart" Target="../charts/chart4.xml"/><Relationship Id="rId4" Type="http://schemas.openxmlformats.org/officeDocument/2006/relationships/hyperlink" Target="#'Customer Insights'!A1"/><Relationship Id="rId9" Type="http://schemas.openxmlformats.org/officeDocument/2006/relationships/image" Target="../media/image2.png"/><Relationship Id="rId14" Type="http://schemas.openxmlformats.org/officeDocument/2006/relationships/image" Target="../media/image7.png"/><Relationship Id="rId22" Type="http://schemas.openxmlformats.org/officeDocument/2006/relationships/image" Target="../media/image10.png"/></Relationships>
</file>

<file path=xl/drawings/_rels/drawing2.xml.rels><?xml version="1.0" encoding="UTF-8" standalone="yes"?>
<Relationships xmlns="http://schemas.openxmlformats.org/package/2006/relationships"><Relationship Id="rId8" Type="http://schemas.openxmlformats.org/officeDocument/2006/relationships/hyperlink" Target="#'Customer Insights'!A1"/><Relationship Id="rId13" Type="http://schemas.openxmlformats.org/officeDocument/2006/relationships/image" Target="../media/image10.png"/><Relationship Id="rId3" Type="http://schemas.openxmlformats.org/officeDocument/2006/relationships/chart" Target="../charts/chart9.xml"/><Relationship Id="rId7" Type="http://schemas.openxmlformats.org/officeDocument/2006/relationships/hyperlink" Target="#'Payment And Time Analysis'!A1"/><Relationship Id="rId12" Type="http://schemas.openxmlformats.org/officeDocument/2006/relationships/image" Target="../media/image9.png"/><Relationship Id="rId2" Type="http://schemas.openxmlformats.org/officeDocument/2006/relationships/chart" Target="../charts/chart8.xml"/><Relationship Id="rId16"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hyperlink" Target="#'Product And Pricing Analysis'!A1"/><Relationship Id="rId11" Type="http://schemas.openxmlformats.org/officeDocument/2006/relationships/image" Target="../media/image3.png"/><Relationship Id="rId5" Type="http://schemas.openxmlformats.org/officeDocument/2006/relationships/image" Target="../media/image13.png"/><Relationship Id="rId15" Type="http://schemas.openxmlformats.org/officeDocument/2006/relationships/image" Target="../media/image11.png"/><Relationship Id="rId10" Type="http://schemas.openxmlformats.org/officeDocument/2006/relationships/hyperlink" Target="#DashBoard!A1"/><Relationship Id="rId4" Type="http://schemas.openxmlformats.org/officeDocument/2006/relationships/hyperlink" Target="#'Executive Summary'!A1"/><Relationship Id="rId9" Type="http://schemas.openxmlformats.org/officeDocument/2006/relationships/hyperlink" Target="#'Sales Performance Anlaysis'!A1"/><Relationship Id="rId1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2.png"/><Relationship Id="rId3" Type="http://schemas.openxmlformats.org/officeDocument/2006/relationships/hyperlink" Target="#'Sales Performance Anlaysis'!A1"/><Relationship Id="rId7" Type="http://schemas.openxmlformats.org/officeDocument/2006/relationships/hyperlink" Target="#'Executive Summary'!A1"/><Relationship Id="rId12" Type="http://schemas.openxmlformats.org/officeDocument/2006/relationships/image" Target="../media/image10.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DashBoard!A1"/><Relationship Id="rId11" Type="http://schemas.openxmlformats.org/officeDocument/2006/relationships/image" Target="../media/image9.png"/><Relationship Id="rId5" Type="http://schemas.openxmlformats.org/officeDocument/2006/relationships/hyperlink" Target="#'Customer Insights'!A1"/><Relationship Id="rId15" Type="http://schemas.openxmlformats.org/officeDocument/2006/relationships/image" Target="../media/image1.png"/><Relationship Id="rId10" Type="http://schemas.openxmlformats.org/officeDocument/2006/relationships/hyperlink" Target="#'Payment And Time Analysis'!A1"/><Relationship Id="rId4" Type="http://schemas.openxmlformats.org/officeDocument/2006/relationships/hyperlink" Target="#'Product And Pricing Analysis'!A1"/><Relationship Id="rId9" Type="http://schemas.openxmlformats.org/officeDocument/2006/relationships/image" Target="../media/image13.png"/><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hyperlink" Target="#'Executive Summary'!A1"/><Relationship Id="rId13" Type="http://schemas.openxmlformats.org/officeDocument/2006/relationships/image" Target="../media/image10.png"/><Relationship Id="rId3" Type="http://schemas.openxmlformats.org/officeDocument/2006/relationships/chart" Target="../charts/chart14.xml"/><Relationship Id="rId7" Type="http://schemas.openxmlformats.org/officeDocument/2006/relationships/hyperlink" Target="#DashBoard!A1"/><Relationship Id="rId12" Type="http://schemas.openxmlformats.org/officeDocument/2006/relationships/image" Target="../media/image9.png"/><Relationship Id="rId2" Type="http://schemas.openxmlformats.org/officeDocument/2006/relationships/chart" Target="../charts/chart13.xml"/><Relationship Id="rId16" Type="http://schemas.openxmlformats.org/officeDocument/2006/relationships/image" Target="../media/image1.png"/><Relationship Id="rId1" Type="http://schemas.openxmlformats.org/officeDocument/2006/relationships/chart" Target="../charts/chart12.xml"/><Relationship Id="rId6" Type="http://schemas.openxmlformats.org/officeDocument/2006/relationships/hyperlink" Target="#'Sales Performance Anlaysis'!A1"/><Relationship Id="rId11" Type="http://schemas.openxmlformats.org/officeDocument/2006/relationships/hyperlink" Target="#'Payment And Time Analysis'!A1"/><Relationship Id="rId5" Type="http://schemas.openxmlformats.org/officeDocument/2006/relationships/hyperlink" Target="#'Customer Insights'!A1"/><Relationship Id="rId15" Type="http://schemas.openxmlformats.org/officeDocument/2006/relationships/image" Target="../media/image11.png"/><Relationship Id="rId10" Type="http://schemas.openxmlformats.org/officeDocument/2006/relationships/image" Target="../media/image13.png"/><Relationship Id="rId4" Type="http://schemas.openxmlformats.org/officeDocument/2006/relationships/hyperlink" Target="#'Product And Pricing Analysis'!A1"/><Relationship Id="rId9" Type="http://schemas.openxmlformats.org/officeDocument/2006/relationships/image" Target="../media/image3.png"/><Relationship Id="rId1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2.png"/><Relationship Id="rId3" Type="http://schemas.openxmlformats.org/officeDocument/2006/relationships/hyperlink" Target="#'Customer Insights'!A1"/><Relationship Id="rId7" Type="http://schemas.openxmlformats.org/officeDocument/2006/relationships/hyperlink" Target="#'Payment And Time Analysis'!A1"/><Relationship Id="rId12" Type="http://schemas.openxmlformats.org/officeDocument/2006/relationships/image" Target="../media/image10.png"/><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hyperlink" Target="#'Sales Performance Anlaysis'!A1"/><Relationship Id="rId11" Type="http://schemas.openxmlformats.org/officeDocument/2006/relationships/image" Target="../media/image9.png"/><Relationship Id="rId5" Type="http://schemas.openxmlformats.org/officeDocument/2006/relationships/hyperlink" Target="#'Executive Summary'!A1"/><Relationship Id="rId15" Type="http://schemas.openxmlformats.org/officeDocument/2006/relationships/image" Target="../media/image1.png"/><Relationship Id="rId10" Type="http://schemas.openxmlformats.org/officeDocument/2006/relationships/image" Target="../media/image13.png"/><Relationship Id="rId4" Type="http://schemas.openxmlformats.org/officeDocument/2006/relationships/hyperlink" Target="#'Product And Pricing Analysis'!A1"/><Relationship Id="rId9" Type="http://schemas.openxmlformats.org/officeDocument/2006/relationships/image" Target="../media/image3.png"/><Relationship Id="rId1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2.png"/><Relationship Id="rId3" Type="http://schemas.openxmlformats.org/officeDocument/2006/relationships/hyperlink" Target="#'Payment And Time Analysis'!A1"/><Relationship Id="rId7" Type="http://schemas.openxmlformats.org/officeDocument/2006/relationships/hyperlink" Target="#DashBoard!A1"/><Relationship Id="rId12" Type="http://schemas.openxmlformats.org/officeDocument/2006/relationships/image" Target="../media/image10.pn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hyperlink" Target="#'Executive Summary'!A1"/><Relationship Id="rId11" Type="http://schemas.openxmlformats.org/officeDocument/2006/relationships/image" Target="../media/image9.png"/><Relationship Id="rId5" Type="http://schemas.openxmlformats.org/officeDocument/2006/relationships/hyperlink" Target="#'Sales Performance Anlaysis'!A1"/><Relationship Id="rId15" Type="http://schemas.openxmlformats.org/officeDocument/2006/relationships/image" Target="../media/image1.png"/><Relationship Id="rId10" Type="http://schemas.openxmlformats.org/officeDocument/2006/relationships/hyperlink" Target="#'Product And Pricing Analysis'!A1"/><Relationship Id="rId4" Type="http://schemas.openxmlformats.org/officeDocument/2006/relationships/hyperlink" Target="#'Customer Insights'!A1"/><Relationship Id="rId9" Type="http://schemas.openxmlformats.org/officeDocument/2006/relationships/image" Target="../media/image13.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47625</xdr:rowOff>
    </xdr:from>
    <xdr:to>
      <xdr:col>3</xdr:col>
      <xdr:colOff>476250</xdr:colOff>
      <xdr:row>35</xdr:row>
      <xdr:rowOff>171450</xdr:rowOff>
    </xdr:to>
    <xdr:sp macro="" textlink="">
      <xdr:nvSpPr>
        <xdr:cNvPr id="2" name="Rectangle: Rounded Corners 1">
          <a:extLst>
            <a:ext uri="{FF2B5EF4-FFF2-40B4-BE49-F238E27FC236}">
              <a16:creationId xmlns:a16="http://schemas.microsoft.com/office/drawing/2014/main" id="{D5DB19C4-C76E-49F6-A6E4-27E819F7500A}"/>
            </a:ext>
          </a:extLst>
        </xdr:cNvPr>
        <xdr:cNvSpPr/>
      </xdr:nvSpPr>
      <xdr:spPr>
        <a:xfrm>
          <a:off x="66675" y="47625"/>
          <a:ext cx="2238375" cy="6791325"/>
        </a:xfrm>
        <a:prstGeom prst="roundRect">
          <a:avLst>
            <a:gd name="adj" fmla="val 587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76200</xdr:colOff>
      <xdr:row>0</xdr:row>
      <xdr:rowOff>47624</xdr:rowOff>
    </xdr:from>
    <xdr:to>
      <xdr:col>28</xdr:col>
      <xdr:colOff>542925</xdr:colOff>
      <xdr:row>38</xdr:row>
      <xdr:rowOff>95249</xdr:rowOff>
    </xdr:to>
    <xdr:sp macro="" textlink="">
      <xdr:nvSpPr>
        <xdr:cNvPr id="3" name="Rectangle: Rounded Corners 2">
          <a:extLst>
            <a:ext uri="{FF2B5EF4-FFF2-40B4-BE49-F238E27FC236}">
              <a16:creationId xmlns:a16="http://schemas.microsoft.com/office/drawing/2014/main" id="{9C4FA222-F63D-731A-3601-B35DFABFB30A}"/>
            </a:ext>
          </a:extLst>
        </xdr:cNvPr>
        <xdr:cNvSpPr/>
      </xdr:nvSpPr>
      <xdr:spPr>
        <a:xfrm>
          <a:off x="2514600" y="47624"/>
          <a:ext cx="15097125" cy="7286625"/>
        </a:xfrm>
        <a:prstGeom prst="roundRect">
          <a:avLst>
            <a:gd name="adj" fmla="val 123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solidFill>
              <a:srgbClr val="0070C0"/>
            </a:solidFill>
          </a:endParaRPr>
        </a:p>
      </xdr:txBody>
    </xdr:sp>
    <xdr:clientData/>
  </xdr:twoCellAnchor>
  <xdr:twoCellAnchor>
    <xdr:from>
      <xdr:col>4</xdr:col>
      <xdr:colOff>161925</xdr:colOff>
      <xdr:row>0</xdr:row>
      <xdr:rowOff>142875</xdr:rowOff>
    </xdr:from>
    <xdr:to>
      <xdr:col>18</xdr:col>
      <xdr:colOff>428625</xdr:colOff>
      <xdr:row>5</xdr:row>
      <xdr:rowOff>9525</xdr:rowOff>
    </xdr:to>
    <xdr:sp macro="" textlink="">
      <xdr:nvSpPr>
        <xdr:cNvPr id="4" name="Rectangle: Rounded Corners 3">
          <a:extLst>
            <a:ext uri="{FF2B5EF4-FFF2-40B4-BE49-F238E27FC236}">
              <a16:creationId xmlns:a16="http://schemas.microsoft.com/office/drawing/2014/main" id="{57CA38E6-8DA6-B6D1-F176-9B3AB638011B}"/>
            </a:ext>
          </a:extLst>
        </xdr:cNvPr>
        <xdr:cNvSpPr/>
      </xdr:nvSpPr>
      <xdr:spPr>
        <a:xfrm>
          <a:off x="2600325" y="142875"/>
          <a:ext cx="8801100" cy="81915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7</xdr:row>
      <xdr:rowOff>104775</xdr:rowOff>
    </xdr:from>
    <xdr:to>
      <xdr:col>3</xdr:col>
      <xdr:colOff>561975</xdr:colOff>
      <xdr:row>11</xdr:row>
      <xdr:rowOff>0</xdr:rowOff>
    </xdr:to>
    <xdr:sp macro="" textlink="">
      <xdr:nvSpPr>
        <xdr:cNvPr id="5" name="Rectangle: Rounded Corners 4">
          <a:extLst>
            <a:ext uri="{FF2B5EF4-FFF2-40B4-BE49-F238E27FC236}">
              <a16:creationId xmlns:a16="http://schemas.microsoft.com/office/drawing/2014/main" id="{56B00E8B-BC12-BD4D-551B-813B4BF7ED47}"/>
            </a:ext>
          </a:extLst>
        </xdr:cNvPr>
        <xdr:cNvSpPr/>
      </xdr:nvSpPr>
      <xdr:spPr>
        <a:xfrm>
          <a:off x="209550" y="1438275"/>
          <a:ext cx="2181225" cy="657225"/>
        </a:xfrm>
        <a:prstGeom prst="roundRect">
          <a:avLst/>
        </a:prstGeom>
        <a:solidFill>
          <a:srgbClr val="0B12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6</xdr:row>
      <xdr:rowOff>152400</xdr:rowOff>
    </xdr:from>
    <xdr:to>
      <xdr:col>3</xdr:col>
      <xdr:colOff>419100</xdr:colOff>
      <xdr:row>10</xdr:row>
      <xdr:rowOff>47625</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14CD28DB-3A6C-4ABA-8E6D-F44EFDD736EB}"/>
            </a:ext>
          </a:extLst>
        </xdr:cNvPr>
        <xdr:cNvSpPr/>
      </xdr:nvSpPr>
      <xdr:spPr>
        <a:xfrm>
          <a:off x="66675" y="1295400"/>
          <a:ext cx="2181225" cy="6572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12</xdr:row>
      <xdr:rowOff>123825</xdr:rowOff>
    </xdr:from>
    <xdr:to>
      <xdr:col>3</xdr:col>
      <xdr:colOff>409575</xdr:colOff>
      <xdr:row>16</xdr:row>
      <xdr:rowOff>19050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9A2818DB-467F-4FB0-87AC-B7E289E22A98}"/>
            </a:ext>
          </a:extLst>
        </xdr:cNvPr>
        <xdr:cNvSpPr/>
      </xdr:nvSpPr>
      <xdr:spPr>
        <a:xfrm>
          <a:off x="57150" y="2409825"/>
          <a:ext cx="2181225" cy="6572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26</xdr:row>
      <xdr:rowOff>133350</xdr:rowOff>
    </xdr:from>
    <xdr:to>
      <xdr:col>3</xdr:col>
      <xdr:colOff>419100</xdr:colOff>
      <xdr:row>30</xdr:row>
      <xdr:rowOff>28575</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F17ACB6F-9338-4035-8CF8-7F7232EBCA52}"/>
            </a:ext>
          </a:extLst>
        </xdr:cNvPr>
        <xdr:cNvSpPr/>
      </xdr:nvSpPr>
      <xdr:spPr>
        <a:xfrm>
          <a:off x="66675" y="5086350"/>
          <a:ext cx="2181225" cy="6572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86113</xdr:colOff>
      <xdr:row>22</xdr:row>
      <xdr:rowOff>9525</xdr:rowOff>
    </xdr:from>
    <xdr:to>
      <xdr:col>3</xdr:col>
      <xdr:colOff>438538</xdr:colOff>
      <xdr:row>25</xdr:row>
      <xdr:rowOff>95250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C8AE198E-FCA5-4086-B90A-1B02EFA5B5F4}"/>
            </a:ext>
          </a:extLst>
        </xdr:cNvPr>
        <xdr:cNvSpPr/>
      </xdr:nvSpPr>
      <xdr:spPr>
        <a:xfrm>
          <a:off x="86113" y="4286056"/>
          <a:ext cx="2189389" cy="66888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17</xdr:row>
      <xdr:rowOff>47625</xdr:rowOff>
    </xdr:from>
    <xdr:to>
      <xdr:col>3</xdr:col>
      <xdr:colOff>428625</xdr:colOff>
      <xdr:row>20</xdr:row>
      <xdr:rowOff>133350</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B8254C44-50D5-483A-8A94-7E62D079B7AD}"/>
            </a:ext>
          </a:extLst>
        </xdr:cNvPr>
        <xdr:cNvSpPr/>
      </xdr:nvSpPr>
      <xdr:spPr>
        <a:xfrm>
          <a:off x="76200" y="3286125"/>
          <a:ext cx="2181225" cy="6572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31</xdr:row>
      <xdr:rowOff>76200</xdr:rowOff>
    </xdr:from>
    <xdr:to>
      <xdr:col>3</xdr:col>
      <xdr:colOff>419100</xdr:colOff>
      <xdr:row>34</xdr:row>
      <xdr:rowOff>161925</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0CC0C783-204A-4258-9521-2437C23F3A72}"/>
            </a:ext>
          </a:extLst>
        </xdr:cNvPr>
        <xdr:cNvSpPr/>
      </xdr:nvSpPr>
      <xdr:spPr>
        <a:xfrm>
          <a:off x="66675" y="5981700"/>
          <a:ext cx="2181225" cy="6572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1</xdr:row>
      <xdr:rowOff>114300</xdr:rowOff>
    </xdr:from>
    <xdr:to>
      <xdr:col>3</xdr:col>
      <xdr:colOff>409575</xdr:colOff>
      <xdr:row>4</xdr:row>
      <xdr:rowOff>152400</xdr:rowOff>
    </xdr:to>
    <xdr:sp macro="" textlink="">
      <xdr:nvSpPr>
        <xdr:cNvPr id="31" name="Rectangle: Rounded Corners 30">
          <a:extLst>
            <a:ext uri="{FF2B5EF4-FFF2-40B4-BE49-F238E27FC236}">
              <a16:creationId xmlns:a16="http://schemas.microsoft.com/office/drawing/2014/main" id="{7A9A95CD-0F30-DFC8-D000-BAA7E0F4EC3F}"/>
            </a:ext>
          </a:extLst>
        </xdr:cNvPr>
        <xdr:cNvSpPr/>
      </xdr:nvSpPr>
      <xdr:spPr>
        <a:xfrm>
          <a:off x="104775" y="304800"/>
          <a:ext cx="2133600" cy="6096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1</xdr:row>
      <xdr:rowOff>161926</xdr:rowOff>
    </xdr:from>
    <xdr:to>
      <xdr:col>1</xdr:col>
      <xdr:colOff>104775</xdr:colOff>
      <xdr:row>4</xdr:row>
      <xdr:rowOff>104776</xdr:rowOff>
    </xdr:to>
    <xdr:sp macro="" textlink="">
      <xdr:nvSpPr>
        <xdr:cNvPr id="30" name="Oval 29">
          <a:extLst>
            <a:ext uri="{FF2B5EF4-FFF2-40B4-BE49-F238E27FC236}">
              <a16:creationId xmlns:a16="http://schemas.microsoft.com/office/drawing/2014/main" id="{AAC9C459-CFF8-9F0F-FAC8-C02D27E0423B}"/>
            </a:ext>
          </a:extLst>
        </xdr:cNvPr>
        <xdr:cNvSpPr/>
      </xdr:nvSpPr>
      <xdr:spPr>
        <a:xfrm>
          <a:off x="171450" y="352426"/>
          <a:ext cx="542925" cy="51435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1</xdr:row>
      <xdr:rowOff>171451</xdr:rowOff>
    </xdr:from>
    <xdr:to>
      <xdr:col>1</xdr:col>
      <xdr:colOff>142875</xdr:colOff>
      <xdr:row>4</xdr:row>
      <xdr:rowOff>118217</xdr:rowOff>
    </xdr:to>
    <xdr:pic>
      <xdr:nvPicPr>
        <xdr:cNvPr id="29" name="Picture 28">
          <a:extLst>
            <a:ext uri="{FF2B5EF4-FFF2-40B4-BE49-F238E27FC236}">
              <a16:creationId xmlns:a16="http://schemas.microsoft.com/office/drawing/2014/main" id="{D61440F7-1A01-D56C-AEAD-703776F8C0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0" y="361951"/>
          <a:ext cx="561975" cy="518266"/>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276225</xdr:colOff>
      <xdr:row>1</xdr:row>
      <xdr:rowOff>104775</xdr:rowOff>
    </xdr:from>
    <xdr:to>
      <xdr:col>3</xdr:col>
      <xdr:colOff>419100</xdr:colOff>
      <xdr:row>4</xdr:row>
      <xdr:rowOff>152400</xdr:rowOff>
    </xdr:to>
    <xdr:sp macro="" textlink="">
      <xdr:nvSpPr>
        <xdr:cNvPr id="33" name="Rectangle 32">
          <a:extLst>
            <a:ext uri="{FF2B5EF4-FFF2-40B4-BE49-F238E27FC236}">
              <a16:creationId xmlns:a16="http://schemas.microsoft.com/office/drawing/2014/main" id="{923C05D6-8940-B48A-A58F-FD5FCF9CBE69}"/>
            </a:ext>
          </a:extLst>
        </xdr:cNvPr>
        <xdr:cNvSpPr/>
      </xdr:nvSpPr>
      <xdr:spPr>
        <a:xfrm>
          <a:off x="885825" y="295275"/>
          <a:ext cx="1362075" cy="619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n>
                <a:noFill/>
              </a:ln>
              <a:solidFill>
                <a:schemeClr val="accent6">
                  <a:lumMod val="50000"/>
                </a:schemeClr>
              </a:solidFill>
              <a:latin typeface="Bahnschrift SemiBold SemiConden" panose="020B0502040204020203" pitchFamily="34" charset="0"/>
            </a:rPr>
            <a:t>Ocean Super Market</a:t>
          </a:r>
        </a:p>
      </xdr:txBody>
    </xdr:sp>
    <xdr:clientData/>
  </xdr:twoCellAnchor>
  <xdr:twoCellAnchor>
    <xdr:from>
      <xdr:col>24</xdr:col>
      <xdr:colOff>76200</xdr:colOff>
      <xdr:row>0</xdr:row>
      <xdr:rowOff>104775</xdr:rowOff>
    </xdr:from>
    <xdr:to>
      <xdr:col>28</xdr:col>
      <xdr:colOff>457200</xdr:colOff>
      <xdr:row>13</xdr:row>
      <xdr:rowOff>28575</xdr:rowOff>
    </xdr:to>
    <xdr:sp macro="" textlink="">
      <xdr:nvSpPr>
        <xdr:cNvPr id="35" name="Rectangle: Rounded Corners 34">
          <a:extLst>
            <a:ext uri="{FF2B5EF4-FFF2-40B4-BE49-F238E27FC236}">
              <a16:creationId xmlns:a16="http://schemas.microsoft.com/office/drawing/2014/main" id="{C7021629-4471-503C-042C-7927D6A8B20B}"/>
            </a:ext>
          </a:extLst>
        </xdr:cNvPr>
        <xdr:cNvSpPr/>
      </xdr:nvSpPr>
      <xdr:spPr>
        <a:xfrm>
          <a:off x="14706600" y="104775"/>
          <a:ext cx="2819400" cy="2400300"/>
        </a:xfrm>
        <a:prstGeom prst="roundRect">
          <a:avLst>
            <a:gd name="adj" fmla="val 4926"/>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228600</xdr:colOff>
      <xdr:row>1</xdr:row>
      <xdr:rowOff>38100</xdr:rowOff>
    </xdr:from>
    <xdr:to>
      <xdr:col>28</xdr:col>
      <xdr:colOff>295275</xdr:colOff>
      <xdr:row>12</xdr:row>
      <xdr:rowOff>38099</xdr:rowOff>
    </xdr:to>
    <mc:AlternateContent xmlns:mc="http://schemas.openxmlformats.org/markup-compatibility/2006" xmlns:a14="http://schemas.microsoft.com/office/drawing/2010/main">
      <mc:Choice Requires="a14">
        <xdr:graphicFrame macro="">
          <xdr:nvGraphicFramePr>
            <xdr:cNvPr id="34" name="Product Type 1">
              <a:extLst>
                <a:ext uri="{FF2B5EF4-FFF2-40B4-BE49-F238E27FC236}">
                  <a16:creationId xmlns:a16="http://schemas.microsoft.com/office/drawing/2014/main" id="{6FD0D624-31D3-4D29-B8D6-B8C7D7DA9205}"/>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14859000" y="228600"/>
              <a:ext cx="2505075"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9525</xdr:colOff>
      <xdr:row>0</xdr:row>
      <xdr:rowOff>152400</xdr:rowOff>
    </xdr:from>
    <xdr:to>
      <xdr:col>23</xdr:col>
      <xdr:colOff>571500</xdr:colOff>
      <xdr:row>9</xdr:row>
      <xdr:rowOff>76200</xdr:rowOff>
    </xdr:to>
    <xdr:sp macro="" textlink="">
      <xdr:nvSpPr>
        <xdr:cNvPr id="36" name="Rectangle: Rounded Corners 35">
          <a:extLst>
            <a:ext uri="{FF2B5EF4-FFF2-40B4-BE49-F238E27FC236}">
              <a16:creationId xmlns:a16="http://schemas.microsoft.com/office/drawing/2014/main" id="{DA5715F2-5CA2-322D-031F-61B6711F41D7}"/>
            </a:ext>
          </a:extLst>
        </xdr:cNvPr>
        <xdr:cNvSpPr/>
      </xdr:nvSpPr>
      <xdr:spPr>
        <a:xfrm>
          <a:off x="11591925" y="152400"/>
          <a:ext cx="3000375" cy="16383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76199</xdr:colOff>
      <xdr:row>1</xdr:row>
      <xdr:rowOff>85724</xdr:rowOff>
    </xdr:from>
    <xdr:to>
      <xdr:col>23</xdr:col>
      <xdr:colOff>523874</xdr:colOff>
      <xdr:row>8</xdr:row>
      <xdr:rowOff>76200</xdr:rowOff>
    </xdr:to>
    <mc:AlternateContent xmlns:mc="http://schemas.openxmlformats.org/markup-compatibility/2006" xmlns:a14="http://schemas.microsoft.com/office/drawing/2010/main">
      <mc:Choice Requires="a14">
        <xdr:graphicFrame macro="">
          <xdr:nvGraphicFramePr>
            <xdr:cNvPr id="37" name="Months (Date) 1">
              <a:extLst>
                <a:ext uri="{FF2B5EF4-FFF2-40B4-BE49-F238E27FC236}">
                  <a16:creationId xmlns:a16="http://schemas.microsoft.com/office/drawing/2014/main" id="{820B5858-7CE8-468B-BFD1-52F78709B524}"/>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658599" y="276224"/>
              <a:ext cx="2886075" cy="1323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xdr:colOff>
      <xdr:row>6</xdr:row>
      <xdr:rowOff>142875</xdr:rowOff>
    </xdr:from>
    <xdr:to>
      <xdr:col>8</xdr:col>
      <xdr:colOff>409575</xdr:colOff>
      <xdr:row>12</xdr:row>
      <xdr:rowOff>85725</xdr:rowOff>
    </xdr:to>
    <xdr:sp macro="" textlink="">
      <xdr:nvSpPr>
        <xdr:cNvPr id="38" name="Rectangle: Rounded Corners 37">
          <a:extLst>
            <a:ext uri="{FF2B5EF4-FFF2-40B4-BE49-F238E27FC236}">
              <a16:creationId xmlns:a16="http://schemas.microsoft.com/office/drawing/2014/main" id="{6229CC84-CB10-2242-CE32-D0C9505A1909}"/>
            </a:ext>
          </a:extLst>
        </xdr:cNvPr>
        <xdr:cNvSpPr/>
      </xdr:nvSpPr>
      <xdr:spPr>
        <a:xfrm>
          <a:off x="3057525" y="1285875"/>
          <a:ext cx="2228850" cy="10858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6</xdr:row>
      <xdr:rowOff>47625</xdr:rowOff>
    </xdr:from>
    <xdr:to>
      <xdr:col>8</xdr:col>
      <xdr:colOff>285750</xdr:colOff>
      <xdr:row>11</xdr:row>
      <xdr:rowOff>180975</xdr:rowOff>
    </xdr:to>
    <xdr:sp macro="" textlink="">
      <xdr:nvSpPr>
        <xdr:cNvPr id="39" name="Rectangle: Rounded Corners 38">
          <a:extLst>
            <a:ext uri="{FF2B5EF4-FFF2-40B4-BE49-F238E27FC236}">
              <a16:creationId xmlns:a16="http://schemas.microsoft.com/office/drawing/2014/main" id="{50CA7B48-2EDF-4156-86F9-E9FB3A7E7576}"/>
            </a:ext>
          </a:extLst>
        </xdr:cNvPr>
        <xdr:cNvSpPr/>
      </xdr:nvSpPr>
      <xdr:spPr>
        <a:xfrm>
          <a:off x="2933700" y="1190625"/>
          <a:ext cx="2228850" cy="108585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485775</xdr:colOff>
      <xdr:row>6</xdr:row>
      <xdr:rowOff>123825</xdr:rowOff>
    </xdr:from>
    <xdr:to>
      <xdr:col>18</xdr:col>
      <xdr:colOff>276225</xdr:colOff>
      <xdr:row>12</xdr:row>
      <xdr:rowOff>66675</xdr:rowOff>
    </xdr:to>
    <xdr:sp macro="" textlink="">
      <xdr:nvSpPr>
        <xdr:cNvPr id="40" name="Rectangle: Rounded Corners 39">
          <a:extLst>
            <a:ext uri="{FF2B5EF4-FFF2-40B4-BE49-F238E27FC236}">
              <a16:creationId xmlns:a16="http://schemas.microsoft.com/office/drawing/2014/main" id="{D71158C6-D4A3-4478-857F-51C12ABE025F}"/>
            </a:ext>
          </a:extLst>
        </xdr:cNvPr>
        <xdr:cNvSpPr/>
      </xdr:nvSpPr>
      <xdr:spPr>
        <a:xfrm>
          <a:off x="9020175" y="1266825"/>
          <a:ext cx="2228850" cy="10858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447675</xdr:colOff>
      <xdr:row>6</xdr:row>
      <xdr:rowOff>133350</xdr:rowOff>
    </xdr:from>
    <xdr:to>
      <xdr:col>13</xdr:col>
      <xdr:colOff>238125</xdr:colOff>
      <xdr:row>12</xdr:row>
      <xdr:rowOff>76200</xdr:rowOff>
    </xdr:to>
    <xdr:sp macro="" textlink="">
      <xdr:nvSpPr>
        <xdr:cNvPr id="41" name="Rectangle: Rounded Corners 40">
          <a:extLst>
            <a:ext uri="{FF2B5EF4-FFF2-40B4-BE49-F238E27FC236}">
              <a16:creationId xmlns:a16="http://schemas.microsoft.com/office/drawing/2014/main" id="{6F6A40E9-F47D-4B69-B62A-77C040A4322F}"/>
            </a:ext>
          </a:extLst>
        </xdr:cNvPr>
        <xdr:cNvSpPr/>
      </xdr:nvSpPr>
      <xdr:spPr>
        <a:xfrm>
          <a:off x="5934075" y="1276350"/>
          <a:ext cx="2228850" cy="10858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6</xdr:row>
      <xdr:rowOff>19050</xdr:rowOff>
    </xdr:from>
    <xdr:to>
      <xdr:col>13</xdr:col>
      <xdr:colOff>123825</xdr:colOff>
      <xdr:row>11</xdr:row>
      <xdr:rowOff>152400</xdr:rowOff>
    </xdr:to>
    <xdr:sp macro="" textlink="">
      <xdr:nvSpPr>
        <xdr:cNvPr id="42" name="Rectangle: Rounded Corners 41">
          <a:extLst>
            <a:ext uri="{FF2B5EF4-FFF2-40B4-BE49-F238E27FC236}">
              <a16:creationId xmlns:a16="http://schemas.microsoft.com/office/drawing/2014/main" id="{9F494D8B-3CFC-4FDE-B9A8-05556E8BF774}"/>
            </a:ext>
          </a:extLst>
        </xdr:cNvPr>
        <xdr:cNvSpPr/>
      </xdr:nvSpPr>
      <xdr:spPr>
        <a:xfrm>
          <a:off x="5819775" y="1162050"/>
          <a:ext cx="2228850" cy="108585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352425</xdr:colOff>
      <xdr:row>6</xdr:row>
      <xdr:rowOff>9525</xdr:rowOff>
    </xdr:from>
    <xdr:to>
      <xdr:col>18</xdr:col>
      <xdr:colOff>142875</xdr:colOff>
      <xdr:row>11</xdr:row>
      <xdr:rowOff>142875</xdr:rowOff>
    </xdr:to>
    <xdr:sp macro="" textlink="">
      <xdr:nvSpPr>
        <xdr:cNvPr id="44" name="Rectangle: Rounded Corners 43">
          <a:extLst>
            <a:ext uri="{FF2B5EF4-FFF2-40B4-BE49-F238E27FC236}">
              <a16:creationId xmlns:a16="http://schemas.microsoft.com/office/drawing/2014/main" id="{2CD14AD2-D384-486A-B87F-B37285F031E8}"/>
            </a:ext>
          </a:extLst>
        </xdr:cNvPr>
        <xdr:cNvSpPr/>
      </xdr:nvSpPr>
      <xdr:spPr>
        <a:xfrm>
          <a:off x="8886825" y="1152525"/>
          <a:ext cx="2228850" cy="1085850"/>
        </a:xfrm>
        <a:prstGeom prst="roundRect">
          <a:avLst/>
        </a:prstGeom>
        <a:solidFill>
          <a:srgbClr val="00B05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133350</xdr:colOff>
      <xdr:row>11</xdr:row>
      <xdr:rowOff>66675</xdr:rowOff>
    </xdr:from>
    <xdr:to>
      <xdr:col>23</xdr:col>
      <xdr:colOff>533400</xdr:colOff>
      <xdr:row>17</xdr:row>
      <xdr:rowOff>9525</xdr:rowOff>
    </xdr:to>
    <xdr:sp macro="" textlink="">
      <xdr:nvSpPr>
        <xdr:cNvPr id="45" name="Rectangle: Rounded Corners 44">
          <a:extLst>
            <a:ext uri="{FF2B5EF4-FFF2-40B4-BE49-F238E27FC236}">
              <a16:creationId xmlns:a16="http://schemas.microsoft.com/office/drawing/2014/main" id="{9DEA161D-F750-43D9-8964-1F35FAB3D8FF}"/>
            </a:ext>
          </a:extLst>
        </xdr:cNvPr>
        <xdr:cNvSpPr/>
      </xdr:nvSpPr>
      <xdr:spPr>
        <a:xfrm>
          <a:off x="12325350" y="2162175"/>
          <a:ext cx="2228850" cy="10858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400050</xdr:colOff>
      <xdr:row>14</xdr:row>
      <xdr:rowOff>76200</xdr:rowOff>
    </xdr:from>
    <xdr:to>
      <xdr:col>28</xdr:col>
      <xdr:colOff>190500</xdr:colOff>
      <xdr:row>20</xdr:row>
      <xdr:rowOff>19050</xdr:rowOff>
    </xdr:to>
    <xdr:sp macro="" textlink="">
      <xdr:nvSpPr>
        <xdr:cNvPr id="46" name="Rectangle: Rounded Corners 45">
          <a:extLst>
            <a:ext uri="{FF2B5EF4-FFF2-40B4-BE49-F238E27FC236}">
              <a16:creationId xmlns:a16="http://schemas.microsoft.com/office/drawing/2014/main" id="{B405CF07-1C13-4A0C-9DA7-31662D44A6F3}"/>
            </a:ext>
          </a:extLst>
        </xdr:cNvPr>
        <xdr:cNvSpPr/>
      </xdr:nvSpPr>
      <xdr:spPr>
        <a:xfrm>
          <a:off x="15030450" y="2743200"/>
          <a:ext cx="2228850" cy="10858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581025</xdr:colOff>
      <xdr:row>10</xdr:row>
      <xdr:rowOff>114300</xdr:rowOff>
    </xdr:from>
    <xdr:to>
      <xdr:col>23</xdr:col>
      <xdr:colOff>371475</xdr:colOff>
      <xdr:row>16</xdr:row>
      <xdr:rowOff>57150</xdr:rowOff>
    </xdr:to>
    <xdr:sp macro="" textlink="">
      <xdr:nvSpPr>
        <xdr:cNvPr id="47" name="Rectangle: Rounded Corners 46">
          <a:extLst>
            <a:ext uri="{FF2B5EF4-FFF2-40B4-BE49-F238E27FC236}">
              <a16:creationId xmlns:a16="http://schemas.microsoft.com/office/drawing/2014/main" id="{69D85B2C-927C-4B89-A0EB-656C6FAF64DC}"/>
            </a:ext>
          </a:extLst>
        </xdr:cNvPr>
        <xdr:cNvSpPr/>
      </xdr:nvSpPr>
      <xdr:spPr>
        <a:xfrm>
          <a:off x="12163425" y="2019300"/>
          <a:ext cx="2228850" cy="108585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266700</xdr:colOff>
      <xdr:row>13</xdr:row>
      <xdr:rowOff>152400</xdr:rowOff>
    </xdr:from>
    <xdr:to>
      <xdr:col>28</xdr:col>
      <xdr:colOff>57150</xdr:colOff>
      <xdr:row>19</xdr:row>
      <xdr:rowOff>95250</xdr:rowOff>
    </xdr:to>
    <xdr:sp macro="" textlink="">
      <xdr:nvSpPr>
        <xdr:cNvPr id="48" name="Rectangle: Rounded Corners 47">
          <a:extLst>
            <a:ext uri="{FF2B5EF4-FFF2-40B4-BE49-F238E27FC236}">
              <a16:creationId xmlns:a16="http://schemas.microsoft.com/office/drawing/2014/main" id="{CC3DE03F-26F7-45CE-9F54-7F4594AE6E09}"/>
            </a:ext>
          </a:extLst>
        </xdr:cNvPr>
        <xdr:cNvSpPr/>
      </xdr:nvSpPr>
      <xdr:spPr>
        <a:xfrm>
          <a:off x="14897100" y="2628900"/>
          <a:ext cx="2228850" cy="108585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323850</xdr:colOff>
      <xdr:row>1</xdr:row>
      <xdr:rowOff>38099</xdr:rowOff>
    </xdr:from>
    <xdr:to>
      <xdr:col>5</xdr:col>
      <xdr:colOff>400050</xdr:colOff>
      <xdr:row>4</xdr:row>
      <xdr:rowOff>85724</xdr:rowOff>
    </xdr:to>
    <xdr:sp macro="" textlink="">
      <xdr:nvSpPr>
        <xdr:cNvPr id="57" name="Oval 56">
          <a:hlinkClick xmlns:r="http://schemas.openxmlformats.org/officeDocument/2006/relationships" r:id="rId8"/>
          <a:extLst>
            <a:ext uri="{FF2B5EF4-FFF2-40B4-BE49-F238E27FC236}">
              <a16:creationId xmlns:a16="http://schemas.microsoft.com/office/drawing/2014/main" id="{19689E3C-16A1-2AAD-DC72-888A69BFBAE0}"/>
            </a:ext>
          </a:extLst>
        </xdr:cNvPr>
        <xdr:cNvSpPr/>
      </xdr:nvSpPr>
      <xdr:spPr>
        <a:xfrm>
          <a:off x="2762250" y="228599"/>
          <a:ext cx="685800" cy="61912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50000"/>
              </a:schemeClr>
            </a:solidFill>
            <a:effectLst>
              <a:glow rad="228600">
                <a:srgbClr val="00B050">
                  <a:alpha val="40000"/>
                </a:srgbClr>
              </a:glow>
            </a:effectLst>
          </a:endParaRPr>
        </a:p>
      </xdr:txBody>
    </xdr:sp>
    <xdr:clientData/>
  </xdr:twoCellAnchor>
  <xdr:twoCellAnchor editAs="oneCell">
    <xdr:from>
      <xdr:col>4</xdr:col>
      <xdr:colOff>438152</xdr:colOff>
      <xdr:row>1</xdr:row>
      <xdr:rowOff>133352</xdr:rowOff>
    </xdr:from>
    <xdr:to>
      <xdr:col>5</xdr:col>
      <xdr:colOff>257175</xdr:colOff>
      <xdr:row>3</xdr:row>
      <xdr:rowOff>180975</xdr:rowOff>
    </xdr:to>
    <xdr:pic>
      <xdr:nvPicPr>
        <xdr:cNvPr id="56" name="Picture 55">
          <a:hlinkClick xmlns:r="http://schemas.openxmlformats.org/officeDocument/2006/relationships" r:id="rId8"/>
          <a:extLst>
            <a:ext uri="{FF2B5EF4-FFF2-40B4-BE49-F238E27FC236}">
              <a16:creationId xmlns:a16="http://schemas.microsoft.com/office/drawing/2014/main" id="{662FC360-5621-9F28-79D5-8CAA87D7DD9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76552" y="323852"/>
          <a:ext cx="428623" cy="428623"/>
        </a:xfrm>
        <a:prstGeom prst="rect">
          <a:avLst/>
        </a:prstGeom>
        <a:solidFill>
          <a:schemeClr val="bg1"/>
        </a:solidFill>
      </xdr:spPr>
    </xdr:pic>
    <xdr:clientData/>
  </xdr:twoCellAnchor>
  <xdr:twoCellAnchor editAs="oneCell">
    <xdr:from>
      <xdr:col>0</xdr:col>
      <xdr:colOff>152401</xdr:colOff>
      <xdr:row>7</xdr:row>
      <xdr:rowOff>9525</xdr:rowOff>
    </xdr:from>
    <xdr:to>
      <xdr:col>1</xdr:col>
      <xdr:colOff>95250</xdr:colOff>
      <xdr:row>9</xdr:row>
      <xdr:rowOff>180974</xdr:rowOff>
    </xdr:to>
    <xdr:pic>
      <xdr:nvPicPr>
        <xdr:cNvPr id="61" name="Picture 60">
          <a:hlinkClick xmlns:r="http://schemas.openxmlformats.org/officeDocument/2006/relationships" r:id="rId1"/>
          <a:extLst>
            <a:ext uri="{FF2B5EF4-FFF2-40B4-BE49-F238E27FC236}">
              <a16:creationId xmlns:a16="http://schemas.microsoft.com/office/drawing/2014/main" id="{807B8FA4-D9CC-7C9A-0918-B28C8F1A5DF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10800000" flipV="1">
          <a:off x="152401" y="1343025"/>
          <a:ext cx="552449" cy="552449"/>
        </a:xfrm>
        <a:prstGeom prst="rect">
          <a:avLst/>
        </a:prstGeom>
      </xdr:spPr>
    </xdr:pic>
    <xdr:clientData/>
  </xdr:twoCellAnchor>
  <xdr:twoCellAnchor>
    <xdr:from>
      <xdr:col>14</xdr:col>
      <xdr:colOff>390525</xdr:colOff>
      <xdr:row>6</xdr:row>
      <xdr:rowOff>85725</xdr:rowOff>
    </xdr:from>
    <xdr:to>
      <xdr:col>15</xdr:col>
      <xdr:colOff>523875</xdr:colOff>
      <xdr:row>10</xdr:row>
      <xdr:rowOff>28575</xdr:rowOff>
    </xdr:to>
    <xdr:sp macro="" textlink="">
      <xdr:nvSpPr>
        <xdr:cNvPr id="64" name="Oval 63">
          <a:extLst>
            <a:ext uri="{FF2B5EF4-FFF2-40B4-BE49-F238E27FC236}">
              <a16:creationId xmlns:a16="http://schemas.microsoft.com/office/drawing/2014/main" id="{7986D7BD-DCFD-02EB-451A-D61398595661}"/>
            </a:ext>
          </a:extLst>
        </xdr:cNvPr>
        <xdr:cNvSpPr/>
      </xdr:nvSpPr>
      <xdr:spPr>
        <a:xfrm>
          <a:off x="8924925" y="1228725"/>
          <a:ext cx="742950" cy="704850"/>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542926</xdr:colOff>
      <xdr:row>6</xdr:row>
      <xdr:rowOff>57151</xdr:rowOff>
    </xdr:from>
    <xdr:to>
      <xdr:col>5</xdr:col>
      <xdr:colOff>581025</xdr:colOff>
      <xdr:row>9</xdr:row>
      <xdr:rowOff>133350</xdr:rowOff>
    </xdr:to>
    <xdr:pic>
      <xdr:nvPicPr>
        <xdr:cNvPr id="66" name="Picture 65">
          <a:extLst>
            <a:ext uri="{FF2B5EF4-FFF2-40B4-BE49-F238E27FC236}">
              <a16:creationId xmlns:a16="http://schemas.microsoft.com/office/drawing/2014/main" id="{54A06DF5-CF02-184C-B44A-A7828885549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81326" y="1200151"/>
          <a:ext cx="647699" cy="647699"/>
        </a:xfrm>
        <a:prstGeom prst="rect">
          <a:avLst/>
        </a:prstGeom>
      </xdr:spPr>
    </xdr:pic>
    <xdr:clientData/>
  </xdr:twoCellAnchor>
  <xdr:twoCellAnchor editAs="oneCell">
    <xdr:from>
      <xdr:col>24</xdr:col>
      <xdr:colOff>276226</xdr:colOff>
      <xdr:row>14</xdr:row>
      <xdr:rowOff>9526</xdr:rowOff>
    </xdr:from>
    <xdr:to>
      <xdr:col>25</xdr:col>
      <xdr:colOff>352426</xdr:colOff>
      <xdr:row>17</xdr:row>
      <xdr:rowOff>123826</xdr:rowOff>
    </xdr:to>
    <xdr:pic>
      <xdr:nvPicPr>
        <xdr:cNvPr id="68" name="Picture 67">
          <a:extLst>
            <a:ext uri="{FF2B5EF4-FFF2-40B4-BE49-F238E27FC236}">
              <a16:creationId xmlns:a16="http://schemas.microsoft.com/office/drawing/2014/main" id="{AB6DE8B5-54C6-A1B6-6202-6E80ECAE019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906626" y="2676526"/>
          <a:ext cx="685800" cy="685800"/>
        </a:xfrm>
        <a:prstGeom prst="rect">
          <a:avLst/>
        </a:prstGeom>
      </xdr:spPr>
    </xdr:pic>
    <xdr:clientData/>
  </xdr:twoCellAnchor>
  <xdr:twoCellAnchor editAs="oneCell">
    <xdr:from>
      <xdr:col>9</xdr:col>
      <xdr:colOff>257176</xdr:colOff>
      <xdr:row>6</xdr:row>
      <xdr:rowOff>9525</xdr:rowOff>
    </xdr:from>
    <xdr:to>
      <xdr:col>10</xdr:col>
      <xdr:colOff>447676</xdr:colOff>
      <xdr:row>10</xdr:row>
      <xdr:rowOff>47625</xdr:rowOff>
    </xdr:to>
    <xdr:pic>
      <xdr:nvPicPr>
        <xdr:cNvPr id="70" name="Picture 69">
          <a:extLst>
            <a:ext uri="{FF2B5EF4-FFF2-40B4-BE49-F238E27FC236}">
              <a16:creationId xmlns:a16="http://schemas.microsoft.com/office/drawing/2014/main" id="{117B23E1-1BD5-4735-AC86-C5EBA0BC283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743576" y="1152525"/>
          <a:ext cx="800100" cy="800100"/>
        </a:xfrm>
        <a:prstGeom prst="rect">
          <a:avLst/>
        </a:prstGeom>
      </xdr:spPr>
    </xdr:pic>
    <xdr:clientData/>
  </xdr:twoCellAnchor>
  <xdr:twoCellAnchor editAs="oneCell">
    <xdr:from>
      <xdr:col>14</xdr:col>
      <xdr:colOff>552450</xdr:colOff>
      <xdr:row>7</xdr:row>
      <xdr:rowOff>9525</xdr:rowOff>
    </xdr:from>
    <xdr:to>
      <xdr:col>15</xdr:col>
      <xdr:colOff>400049</xdr:colOff>
      <xdr:row>9</xdr:row>
      <xdr:rowOff>85724</xdr:rowOff>
    </xdr:to>
    <xdr:pic>
      <xdr:nvPicPr>
        <xdr:cNvPr id="13" name="Picture 12">
          <a:extLst>
            <a:ext uri="{FF2B5EF4-FFF2-40B4-BE49-F238E27FC236}">
              <a16:creationId xmlns:a16="http://schemas.microsoft.com/office/drawing/2014/main" id="{4AE20857-D19E-4B29-6AB9-8B6736EC3D7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086850" y="1343025"/>
          <a:ext cx="457199" cy="457199"/>
        </a:xfrm>
        <a:prstGeom prst="rect">
          <a:avLst/>
        </a:prstGeom>
      </xdr:spPr>
    </xdr:pic>
    <xdr:clientData/>
  </xdr:twoCellAnchor>
  <xdr:twoCellAnchor>
    <xdr:from>
      <xdr:col>6</xdr:col>
      <xdr:colOff>0</xdr:colOff>
      <xdr:row>6</xdr:row>
      <xdr:rowOff>171450</xdr:rowOff>
    </xdr:from>
    <xdr:to>
      <xdr:col>8</xdr:col>
      <xdr:colOff>152400</xdr:colOff>
      <xdr:row>8</xdr:row>
      <xdr:rowOff>66675</xdr:rowOff>
    </xdr:to>
    <xdr:sp macro="" textlink="">
      <xdr:nvSpPr>
        <xdr:cNvPr id="23" name="TextBox 22">
          <a:extLst>
            <a:ext uri="{FF2B5EF4-FFF2-40B4-BE49-F238E27FC236}">
              <a16:creationId xmlns:a16="http://schemas.microsoft.com/office/drawing/2014/main" id="{069B6CB7-2F7D-33F1-E8B0-3BACE5DDFA2B}"/>
            </a:ext>
          </a:extLst>
        </xdr:cNvPr>
        <xdr:cNvSpPr txBox="1"/>
      </xdr:nvSpPr>
      <xdr:spPr>
        <a:xfrm>
          <a:off x="3657600" y="1314450"/>
          <a:ext cx="13716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0000"/>
              </a:solidFill>
            </a:rPr>
            <a:t>Total</a:t>
          </a:r>
          <a:r>
            <a:rPr lang="en-IN" sz="2000" b="1" baseline="0">
              <a:solidFill>
                <a:srgbClr val="FF0000"/>
              </a:solidFill>
            </a:rPr>
            <a:t> Sales</a:t>
          </a:r>
          <a:endParaRPr lang="en-IN" sz="2000" b="1">
            <a:solidFill>
              <a:srgbClr val="FF0000"/>
            </a:solidFill>
          </a:endParaRPr>
        </a:p>
      </xdr:txBody>
    </xdr:sp>
    <xdr:clientData/>
  </xdr:twoCellAnchor>
  <xdr:twoCellAnchor>
    <xdr:from>
      <xdr:col>10</xdr:col>
      <xdr:colOff>266700</xdr:colOff>
      <xdr:row>6</xdr:row>
      <xdr:rowOff>9525</xdr:rowOff>
    </xdr:from>
    <xdr:to>
      <xdr:col>13</xdr:col>
      <xdr:colOff>171450</xdr:colOff>
      <xdr:row>10</xdr:row>
      <xdr:rowOff>19050</xdr:rowOff>
    </xdr:to>
    <xdr:sp macro="" textlink="">
      <xdr:nvSpPr>
        <xdr:cNvPr id="24" name="TextBox 23">
          <a:extLst>
            <a:ext uri="{FF2B5EF4-FFF2-40B4-BE49-F238E27FC236}">
              <a16:creationId xmlns:a16="http://schemas.microsoft.com/office/drawing/2014/main" id="{C9B74B85-36D1-8447-113B-093B2A910F39}"/>
            </a:ext>
          </a:extLst>
        </xdr:cNvPr>
        <xdr:cNvSpPr txBox="1"/>
      </xdr:nvSpPr>
      <xdr:spPr>
        <a:xfrm>
          <a:off x="6362700" y="1152525"/>
          <a:ext cx="1733550"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0000"/>
              </a:solidFill>
            </a:rPr>
            <a:t>Total</a:t>
          </a:r>
          <a:r>
            <a:rPr lang="en-IN" sz="2000" b="1" baseline="0">
              <a:solidFill>
                <a:srgbClr val="FF0000"/>
              </a:solidFill>
            </a:rPr>
            <a:t> Quantity Sales:</a:t>
          </a:r>
          <a:endParaRPr lang="en-IN" sz="2000" b="1">
            <a:solidFill>
              <a:srgbClr val="FF0000"/>
            </a:solidFill>
          </a:endParaRPr>
        </a:p>
      </xdr:txBody>
    </xdr:sp>
    <xdr:clientData/>
  </xdr:twoCellAnchor>
  <xdr:twoCellAnchor>
    <xdr:from>
      <xdr:col>15</xdr:col>
      <xdr:colOff>542925</xdr:colOff>
      <xdr:row>6</xdr:row>
      <xdr:rowOff>19051</xdr:rowOff>
    </xdr:from>
    <xdr:to>
      <xdr:col>18</xdr:col>
      <xdr:colOff>0</xdr:colOff>
      <xdr:row>9</xdr:row>
      <xdr:rowOff>180975</xdr:rowOff>
    </xdr:to>
    <xdr:sp macro="" textlink="">
      <xdr:nvSpPr>
        <xdr:cNvPr id="25" name="TextBox 24">
          <a:extLst>
            <a:ext uri="{FF2B5EF4-FFF2-40B4-BE49-F238E27FC236}">
              <a16:creationId xmlns:a16="http://schemas.microsoft.com/office/drawing/2014/main" id="{063280F4-FF67-4953-9B37-1A230F1EB4F4}"/>
            </a:ext>
          </a:extLst>
        </xdr:cNvPr>
        <xdr:cNvSpPr txBox="1"/>
      </xdr:nvSpPr>
      <xdr:spPr>
        <a:xfrm>
          <a:off x="9686925" y="1162051"/>
          <a:ext cx="1285875" cy="73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a:solidFill>
                <a:srgbClr val="FF0000"/>
              </a:solidFill>
            </a:rPr>
            <a:t>Average Rating:</a:t>
          </a:r>
        </a:p>
      </xdr:txBody>
    </xdr:sp>
    <xdr:clientData/>
  </xdr:twoCellAnchor>
  <xdr:twoCellAnchor editAs="oneCell">
    <xdr:from>
      <xdr:col>19</xdr:col>
      <xdr:colOff>600076</xdr:colOff>
      <xdr:row>10</xdr:row>
      <xdr:rowOff>152401</xdr:rowOff>
    </xdr:from>
    <xdr:to>
      <xdr:col>21</xdr:col>
      <xdr:colOff>38100</xdr:colOff>
      <xdr:row>14</xdr:row>
      <xdr:rowOff>47625</xdr:rowOff>
    </xdr:to>
    <xdr:pic>
      <xdr:nvPicPr>
        <xdr:cNvPr id="27" name="Picture 26">
          <a:extLst>
            <a:ext uri="{FF2B5EF4-FFF2-40B4-BE49-F238E27FC236}">
              <a16:creationId xmlns:a16="http://schemas.microsoft.com/office/drawing/2014/main" id="{FBBC369B-750B-5356-CABB-685974398FE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182476" y="2057401"/>
          <a:ext cx="657224" cy="657224"/>
        </a:xfrm>
        <a:prstGeom prst="rect">
          <a:avLst/>
        </a:prstGeom>
      </xdr:spPr>
    </xdr:pic>
    <xdr:clientData/>
  </xdr:twoCellAnchor>
  <xdr:twoCellAnchor>
    <xdr:from>
      <xdr:col>20</xdr:col>
      <xdr:colOff>600075</xdr:colOff>
      <xdr:row>10</xdr:row>
      <xdr:rowOff>76200</xdr:rowOff>
    </xdr:from>
    <xdr:to>
      <xdr:col>23</xdr:col>
      <xdr:colOff>266700</xdr:colOff>
      <xdr:row>14</xdr:row>
      <xdr:rowOff>0</xdr:rowOff>
    </xdr:to>
    <xdr:sp macro="" textlink="">
      <xdr:nvSpPr>
        <xdr:cNvPr id="28" name="TextBox 27">
          <a:extLst>
            <a:ext uri="{FF2B5EF4-FFF2-40B4-BE49-F238E27FC236}">
              <a16:creationId xmlns:a16="http://schemas.microsoft.com/office/drawing/2014/main" id="{FF2882D7-ABC0-9726-D9B9-D9E4F2ACA2A9}"/>
            </a:ext>
          </a:extLst>
        </xdr:cNvPr>
        <xdr:cNvSpPr txBox="1"/>
      </xdr:nvSpPr>
      <xdr:spPr>
        <a:xfrm>
          <a:off x="12792075" y="1981200"/>
          <a:ext cx="149542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FF0000"/>
              </a:solidFill>
            </a:rPr>
            <a:t>Total</a:t>
          </a:r>
          <a:r>
            <a:rPr lang="en-IN" sz="1800" baseline="0">
              <a:solidFill>
                <a:srgbClr val="FF0000"/>
              </a:solidFill>
            </a:rPr>
            <a:t> Gross Income:</a:t>
          </a:r>
          <a:endParaRPr lang="en-IN" sz="1800">
            <a:solidFill>
              <a:srgbClr val="FF0000"/>
            </a:solidFill>
          </a:endParaRPr>
        </a:p>
      </xdr:txBody>
    </xdr:sp>
    <xdr:clientData/>
  </xdr:twoCellAnchor>
  <xdr:twoCellAnchor>
    <xdr:from>
      <xdr:col>25</xdr:col>
      <xdr:colOff>304800</xdr:colOff>
      <xdr:row>13</xdr:row>
      <xdr:rowOff>161925</xdr:rowOff>
    </xdr:from>
    <xdr:to>
      <xdr:col>27</xdr:col>
      <xdr:colOff>600075</xdr:colOff>
      <xdr:row>17</xdr:row>
      <xdr:rowOff>76201</xdr:rowOff>
    </xdr:to>
    <xdr:sp macro="" textlink="">
      <xdr:nvSpPr>
        <xdr:cNvPr id="32" name="TextBox 31">
          <a:extLst>
            <a:ext uri="{FF2B5EF4-FFF2-40B4-BE49-F238E27FC236}">
              <a16:creationId xmlns:a16="http://schemas.microsoft.com/office/drawing/2014/main" id="{D573CBB3-9AA6-0889-C9BF-FA120436F669}"/>
            </a:ext>
          </a:extLst>
        </xdr:cNvPr>
        <xdr:cNvSpPr txBox="1"/>
      </xdr:nvSpPr>
      <xdr:spPr>
        <a:xfrm>
          <a:off x="15544800" y="2638425"/>
          <a:ext cx="1514475" cy="67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FF0000"/>
              </a:solidFill>
            </a:rPr>
            <a:t>Total</a:t>
          </a:r>
          <a:r>
            <a:rPr lang="en-IN" sz="1800" baseline="0">
              <a:solidFill>
                <a:srgbClr val="FF0000"/>
              </a:solidFill>
            </a:rPr>
            <a:t> Invoice ID:</a:t>
          </a:r>
          <a:endParaRPr lang="en-IN" sz="1800">
            <a:solidFill>
              <a:srgbClr val="FF0000"/>
            </a:solidFill>
          </a:endParaRPr>
        </a:p>
      </xdr:txBody>
    </xdr:sp>
    <xdr:clientData/>
  </xdr:twoCellAnchor>
  <xdr:twoCellAnchor>
    <xdr:from>
      <xdr:col>5</xdr:col>
      <xdr:colOff>485776</xdr:colOff>
      <xdr:row>8</xdr:row>
      <xdr:rowOff>133350</xdr:rowOff>
    </xdr:from>
    <xdr:to>
      <xdr:col>8</xdr:col>
      <xdr:colOff>390525</xdr:colOff>
      <xdr:row>11</xdr:row>
      <xdr:rowOff>19050</xdr:rowOff>
    </xdr:to>
    <xdr:sp macro="" textlink="'Executive Summary'!J19">
      <xdr:nvSpPr>
        <xdr:cNvPr id="43" name="TextBox 42">
          <a:extLst>
            <a:ext uri="{FF2B5EF4-FFF2-40B4-BE49-F238E27FC236}">
              <a16:creationId xmlns:a16="http://schemas.microsoft.com/office/drawing/2014/main" id="{0701012D-CDDE-5373-12F3-CB8751F6C8D3}"/>
            </a:ext>
          </a:extLst>
        </xdr:cNvPr>
        <xdr:cNvSpPr txBox="1"/>
      </xdr:nvSpPr>
      <xdr:spPr>
        <a:xfrm>
          <a:off x="3533776" y="1657350"/>
          <a:ext cx="173354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69C047-4C9C-489D-BB8E-94825A2C62DC}" type="TxLink">
            <a:rPr lang="en-US" sz="2400" b="0" i="0" u="none" strike="noStrike">
              <a:solidFill>
                <a:srgbClr val="FFFF00"/>
              </a:solidFill>
              <a:latin typeface="Calibri"/>
              <a:ea typeface="Calibri"/>
              <a:cs typeface="Calibri"/>
            </a:rPr>
            <a:pPr/>
            <a:t>322966.749</a:t>
          </a:fld>
          <a:endParaRPr lang="en-IN" sz="2400">
            <a:solidFill>
              <a:srgbClr val="FFFF00"/>
            </a:solidFill>
          </a:endParaRPr>
        </a:p>
      </xdr:txBody>
    </xdr:sp>
    <xdr:clientData/>
  </xdr:twoCellAnchor>
  <xdr:twoCellAnchor>
    <xdr:from>
      <xdr:col>11</xdr:col>
      <xdr:colOff>57150</xdr:colOff>
      <xdr:row>9</xdr:row>
      <xdr:rowOff>38099</xdr:rowOff>
    </xdr:from>
    <xdr:to>
      <xdr:col>13</xdr:col>
      <xdr:colOff>152400</xdr:colOff>
      <xdr:row>11</xdr:row>
      <xdr:rowOff>85724</xdr:rowOff>
    </xdr:to>
    <xdr:sp macro="" textlink="'Executive Summary'!J25">
      <xdr:nvSpPr>
        <xdr:cNvPr id="49" name="TextBox 48">
          <a:extLst>
            <a:ext uri="{FF2B5EF4-FFF2-40B4-BE49-F238E27FC236}">
              <a16:creationId xmlns:a16="http://schemas.microsoft.com/office/drawing/2014/main" id="{96BA34A8-3AEB-55C8-3CF1-40A4E9D97DA0}"/>
            </a:ext>
          </a:extLst>
        </xdr:cNvPr>
        <xdr:cNvSpPr txBox="1"/>
      </xdr:nvSpPr>
      <xdr:spPr>
        <a:xfrm>
          <a:off x="6762750" y="1752599"/>
          <a:ext cx="13144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7B76FC-BC46-4404-AFC8-E280171FF2BC}" type="TxLink">
            <a:rPr lang="en-US" sz="2400" b="0" i="0" u="none" strike="noStrike">
              <a:solidFill>
                <a:srgbClr val="FFFF00"/>
              </a:solidFill>
              <a:latin typeface="Calibri"/>
              <a:ea typeface="Calibri"/>
              <a:cs typeface="Calibri"/>
            </a:rPr>
            <a:pPr/>
            <a:t>5510</a:t>
          </a:fld>
          <a:endParaRPr lang="en-IN" sz="2400">
            <a:solidFill>
              <a:srgbClr val="FFFF00"/>
            </a:solidFill>
          </a:endParaRPr>
        </a:p>
      </xdr:txBody>
    </xdr:sp>
    <xdr:clientData/>
  </xdr:twoCellAnchor>
  <xdr:twoCellAnchor>
    <xdr:from>
      <xdr:col>15</xdr:col>
      <xdr:colOff>561975</xdr:colOff>
      <xdr:row>9</xdr:row>
      <xdr:rowOff>57150</xdr:rowOff>
    </xdr:from>
    <xdr:to>
      <xdr:col>17</xdr:col>
      <xdr:colOff>600075</xdr:colOff>
      <xdr:row>11</xdr:row>
      <xdr:rowOff>95250</xdr:rowOff>
    </xdr:to>
    <xdr:sp macro="" textlink="'Executive Summary'!L22">
      <xdr:nvSpPr>
        <xdr:cNvPr id="50" name="TextBox 49">
          <a:extLst>
            <a:ext uri="{FF2B5EF4-FFF2-40B4-BE49-F238E27FC236}">
              <a16:creationId xmlns:a16="http://schemas.microsoft.com/office/drawing/2014/main" id="{8F4BE6E2-EED0-2723-29F2-AD15A500A55F}"/>
            </a:ext>
          </a:extLst>
        </xdr:cNvPr>
        <xdr:cNvSpPr txBox="1"/>
      </xdr:nvSpPr>
      <xdr:spPr>
        <a:xfrm>
          <a:off x="9705975" y="1771650"/>
          <a:ext cx="12573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144D40-209B-4E0A-BEE1-DC7D80249E96}" type="TxLink">
            <a:rPr lang="en-US" sz="2400" b="0" i="0" u="none" strike="noStrike">
              <a:solidFill>
                <a:srgbClr val="FFFF00"/>
              </a:solidFill>
              <a:latin typeface="Calibri"/>
              <a:ea typeface="Calibri"/>
              <a:cs typeface="Calibri"/>
            </a:rPr>
            <a:pPr/>
            <a:t>6.9727</a:t>
          </a:fld>
          <a:endParaRPr lang="en-IN" sz="2400">
            <a:solidFill>
              <a:srgbClr val="FFFF00"/>
            </a:solidFill>
          </a:endParaRPr>
        </a:p>
      </xdr:txBody>
    </xdr:sp>
    <xdr:clientData/>
  </xdr:twoCellAnchor>
  <xdr:twoCellAnchor>
    <xdr:from>
      <xdr:col>21</xdr:col>
      <xdr:colOff>0</xdr:colOff>
      <xdr:row>13</xdr:row>
      <xdr:rowOff>66674</xdr:rowOff>
    </xdr:from>
    <xdr:to>
      <xdr:col>23</xdr:col>
      <xdr:colOff>333375</xdr:colOff>
      <xdr:row>15</xdr:row>
      <xdr:rowOff>114300</xdr:rowOff>
    </xdr:to>
    <xdr:sp macro="" textlink="'Executive Summary'!L19">
      <xdr:nvSpPr>
        <xdr:cNvPr id="51" name="TextBox 50">
          <a:extLst>
            <a:ext uri="{FF2B5EF4-FFF2-40B4-BE49-F238E27FC236}">
              <a16:creationId xmlns:a16="http://schemas.microsoft.com/office/drawing/2014/main" id="{A896BCED-CAD6-947B-2FEE-148FF4C27491}"/>
            </a:ext>
          </a:extLst>
        </xdr:cNvPr>
        <xdr:cNvSpPr txBox="1"/>
      </xdr:nvSpPr>
      <xdr:spPr>
        <a:xfrm>
          <a:off x="12801600" y="2543174"/>
          <a:ext cx="1552575" cy="428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56D1C4-0CA1-453C-9D68-4B67D2E0C003}" type="TxLink">
            <a:rPr lang="en-US" sz="2400" b="0" i="0" u="none" strike="noStrike">
              <a:solidFill>
                <a:srgbClr val="FFFF00"/>
              </a:solidFill>
              <a:latin typeface="Calibri"/>
              <a:ea typeface="Calibri"/>
              <a:cs typeface="Calibri"/>
            </a:rPr>
            <a:pPr/>
            <a:t>15379.369</a:t>
          </a:fld>
          <a:endParaRPr lang="en-IN" sz="2400">
            <a:solidFill>
              <a:srgbClr val="FFFF00"/>
            </a:solidFill>
          </a:endParaRPr>
        </a:p>
      </xdr:txBody>
    </xdr:sp>
    <xdr:clientData/>
  </xdr:twoCellAnchor>
  <xdr:twoCellAnchor>
    <xdr:from>
      <xdr:col>25</xdr:col>
      <xdr:colOff>581025</xdr:colOff>
      <xdr:row>16</xdr:row>
      <xdr:rowOff>123825</xdr:rowOff>
    </xdr:from>
    <xdr:to>
      <xdr:col>27</xdr:col>
      <xdr:colOff>428625</xdr:colOff>
      <xdr:row>19</xdr:row>
      <xdr:rowOff>76200</xdr:rowOff>
    </xdr:to>
    <xdr:sp macro="" textlink="'Executive Summary'!J22">
      <xdr:nvSpPr>
        <xdr:cNvPr id="52" name="TextBox 51">
          <a:extLst>
            <a:ext uri="{FF2B5EF4-FFF2-40B4-BE49-F238E27FC236}">
              <a16:creationId xmlns:a16="http://schemas.microsoft.com/office/drawing/2014/main" id="{17CAED23-89A0-E218-19D5-4601958D4C06}"/>
            </a:ext>
          </a:extLst>
        </xdr:cNvPr>
        <xdr:cNvSpPr txBox="1"/>
      </xdr:nvSpPr>
      <xdr:spPr>
        <a:xfrm>
          <a:off x="15821025" y="3171825"/>
          <a:ext cx="106680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6B6595-B8DA-4E66-A34B-124E6955F2C4}" type="TxLink">
            <a:rPr lang="en-US" sz="2400" b="0" i="0" u="none" strike="noStrike">
              <a:solidFill>
                <a:srgbClr val="FFFF00"/>
              </a:solidFill>
              <a:latin typeface="Calibri"/>
              <a:ea typeface="Calibri"/>
              <a:cs typeface="Calibri"/>
            </a:rPr>
            <a:pPr/>
            <a:t>1000</a:t>
          </a:fld>
          <a:endParaRPr lang="en-IN" sz="2400">
            <a:solidFill>
              <a:srgbClr val="FFFF00"/>
            </a:solidFill>
          </a:endParaRPr>
        </a:p>
      </xdr:txBody>
    </xdr:sp>
    <xdr:clientData/>
  </xdr:twoCellAnchor>
  <xdr:twoCellAnchor>
    <xdr:from>
      <xdr:col>5</xdr:col>
      <xdr:colOff>457200</xdr:colOff>
      <xdr:row>1</xdr:row>
      <xdr:rowOff>0</xdr:rowOff>
    </xdr:from>
    <xdr:to>
      <xdr:col>18</xdr:col>
      <xdr:colOff>0</xdr:colOff>
      <xdr:row>4</xdr:row>
      <xdr:rowOff>76200</xdr:rowOff>
    </xdr:to>
    <xdr:sp macro="" textlink="">
      <xdr:nvSpPr>
        <xdr:cNvPr id="53" name="TextBox 52">
          <a:extLst>
            <a:ext uri="{FF2B5EF4-FFF2-40B4-BE49-F238E27FC236}">
              <a16:creationId xmlns:a16="http://schemas.microsoft.com/office/drawing/2014/main" id="{EE309E44-91F0-F6BF-3278-DA6C449AE36F}"/>
            </a:ext>
          </a:extLst>
        </xdr:cNvPr>
        <xdr:cNvSpPr txBox="1"/>
      </xdr:nvSpPr>
      <xdr:spPr>
        <a:xfrm>
          <a:off x="3505200" y="190500"/>
          <a:ext cx="74676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tx1"/>
              </a:solidFill>
            </a:rPr>
            <a:t>SuperMarket Sales Data</a:t>
          </a:r>
        </a:p>
      </xdr:txBody>
    </xdr:sp>
    <xdr:clientData/>
  </xdr:twoCellAnchor>
  <xdr:twoCellAnchor>
    <xdr:from>
      <xdr:col>21</xdr:col>
      <xdr:colOff>38099</xdr:colOff>
      <xdr:row>22</xdr:row>
      <xdr:rowOff>38099</xdr:rowOff>
    </xdr:from>
    <xdr:to>
      <xdr:col>28</xdr:col>
      <xdr:colOff>447674</xdr:colOff>
      <xdr:row>36</xdr:row>
      <xdr:rowOff>123825</xdr:rowOff>
    </xdr:to>
    <xdr:sp macro="" textlink="">
      <xdr:nvSpPr>
        <xdr:cNvPr id="62" name="Rectangle: Rounded Corners 61">
          <a:extLst>
            <a:ext uri="{FF2B5EF4-FFF2-40B4-BE49-F238E27FC236}">
              <a16:creationId xmlns:a16="http://schemas.microsoft.com/office/drawing/2014/main" id="{CFAE8C86-A13A-311E-10CD-3C96D74AE6F0}"/>
            </a:ext>
          </a:extLst>
        </xdr:cNvPr>
        <xdr:cNvSpPr/>
      </xdr:nvSpPr>
      <xdr:spPr>
        <a:xfrm>
          <a:off x="12839699" y="4229099"/>
          <a:ext cx="4676775" cy="2752726"/>
        </a:xfrm>
        <a:prstGeom prst="roundRect">
          <a:avLst>
            <a:gd name="adj" fmla="val 5412"/>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171449</xdr:colOff>
      <xdr:row>24</xdr:row>
      <xdr:rowOff>161925</xdr:rowOff>
    </xdr:from>
    <xdr:to>
      <xdr:col>12</xdr:col>
      <xdr:colOff>238124</xdr:colOff>
      <xdr:row>37</xdr:row>
      <xdr:rowOff>142875</xdr:rowOff>
    </xdr:to>
    <xdr:sp macro="" textlink="">
      <xdr:nvSpPr>
        <xdr:cNvPr id="65" name="Rectangle: Rounded Corners 64">
          <a:extLst>
            <a:ext uri="{FF2B5EF4-FFF2-40B4-BE49-F238E27FC236}">
              <a16:creationId xmlns:a16="http://schemas.microsoft.com/office/drawing/2014/main" id="{BFAA9773-4C0D-DC79-E573-1E2F56597A90}"/>
            </a:ext>
          </a:extLst>
        </xdr:cNvPr>
        <xdr:cNvSpPr/>
      </xdr:nvSpPr>
      <xdr:spPr>
        <a:xfrm>
          <a:off x="2609849" y="4733925"/>
          <a:ext cx="4943475" cy="2457450"/>
        </a:xfrm>
        <a:prstGeom prst="roundRect">
          <a:avLst>
            <a:gd name="adj" fmla="val 5879"/>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161925</xdr:colOff>
      <xdr:row>12</xdr:row>
      <xdr:rowOff>161925</xdr:rowOff>
    </xdr:from>
    <xdr:to>
      <xdr:col>9</xdr:col>
      <xdr:colOff>295275</xdr:colOff>
      <xdr:row>24</xdr:row>
      <xdr:rowOff>76200</xdr:rowOff>
    </xdr:to>
    <xdr:sp macro="" textlink="">
      <xdr:nvSpPr>
        <xdr:cNvPr id="71" name="Rectangle: Rounded Corners 70">
          <a:extLst>
            <a:ext uri="{FF2B5EF4-FFF2-40B4-BE49-F238E27FC236}">
              <a16:creationId xmlns:a16="http://schemas.microsoft.com/office/drawing/2014/main" id="{D3857D46-8E90-4FF8-8F68-77D5414171CA}"/>
            </a:ext>
          </a:extLst>
        </xdr:cNvPr>
        <xdr:cNvSpPr/>
      </xdr:nvSpPr>
      <xdr:spPr>
        <a:xfrm>
          <a:off x="2600325" y="2447925"/>
          <a:ext cx="3181350" cy="2200275"/>
        </a:xfrm>
        <a:prstGeom prst="roundRect">
          <a:avLst>
            <a:gd name="adj" fmla="val 5879"/>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466725</xdr:colOff>
      <xdr:row>12</xdr:row>
      <xdr:rowOff>161925</xdr:rowOff>
    </xdr:from>
    <xdr:to>
      <xdr:col>14</xdr:col>
      <xdr:colOff>600075</xdr:colOff>
      <xdr:row>24</xdr:row>
      <xdr:rowOff>76200</xdr:rowOff>
    </xdr:to>
    <xdr:sp macro="" textlink="">
      <xdr:nvSpPr>
        <xdr:cNvPr id="72" name="Rectangle: Rounded Corners 71">
          <a:extLst>
            <a:ext uri="{FF2B5EF4-FFF2-40B4-BE49-F238E27FC236}">
              <a16:creationId xmlns:a16="http://schemas.microsoft.com/office/drawing/2014/main" id="{F7E7CA70-36E9-418A-8FA3-52590F428BC1}"/>
            </a:ext>
          </a:extLst>
        </xdr:cNvPr>
        <xdr:cNvSpPr/>
      </xdr:nvSpPr>
      <xdr:spPr>
        <a:xfrm>
          <a:off x="5953125" y="2447925"/>
          <a:ext cx="3181350" cy="2200275"/>
        </a:xfrm>
        <a:prstGeom prst="roundRect">
          <a:avLst>
            <a:gd name="adj" fmla="val 5879"/>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209550</xdr:colOff>
      <xdr:row>12</xdr:row>
      <xdr:rowOff>152400</xdr:rowOff>
    </xdr:from>
    <xdr:to>
      <xdr:col>19</xdr:col>
      <xdr:colOff>409575</xdr:colOff>
      <xdr:row>24</xdr:row>
      <xdr:rowOff>66675</xdr:rowOff>
    </xdr:to>
    <xdr:sp macro="" textlink="">
      <xdr:nvSpPr>
        <xdr:cNvPr id="73" name="Rectangle: Rounded Corners 72">
          <a:extLst>
            <a:ext uri="{FF2B5EF4-FFF2-40B4-BE49-F238E27FC236}">
              <a16:creationId xmlns:a16="http://schemas.microsoft.com/office/drawing/2014/main" id="{CEE07CAA-1BD8-4A16-A2EE-A264F2E79143}"/>
            </a:ext>
          </a:extLst>
        </xdr:cNvPr>
        <xdr:cNvSpPr/>
      </xdr:nvSpPr>
      <xdr:spPr>
        <a:xfrm>
          <a:off x="9353550" y="2438400"/>
          <a:ext cx="2638425" cy="2200275"/>
        </a:xfrm>
        <a:prstGeom prst="roundRect">
          <a:avLst>
            <a:gd name="adj" fmla="val 5879"/>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342900</xdr:colOff>
      <xdr:row>13</xdr:row>
      <xdr:rowOff>180974</xdr:rowOff>
    </xdr:from>
    <xdr:to>
      <xdr:col>19</xdr:col>
      <xdr:colOff>314325</xdr:colOff>
      <xdr:row>23</xdr:row>
      <xdr:rowOff>152400</xdr:rowOff>
    </xdr:to>
    <xdr:graphicFrame macro="">
      <xdr:nvGraphicFramePr>
        <xdr:cNvPr id="74" name="Chart 73">
          <a:extLst>
            <a:ext uri="{FF2B5EF4-FFF2-40B4-BE49-F238E27FC236}">
              <a16:creationId xmlns:a16="http://schemas.microsoft.com/office/drawing/2014/main" id="{E5368AD5-DA61-4266-BBAD-39ECBC745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238125</xdr:colOff>
      <xdr:row>12</xdr:row>
      <xdr:rowOff>171450</xdr:rowOff>
    </xdr:from>
    <xdr:to>
      <xdr:col>9</xdr:col>
      <xdr:colOff>180975</xdr:colOff>
      <xdr:row>24</xdr:row>
      <xdr:rowOff>47625</xdr:rowOff>
    </xdr:to>
    <xdr:graphicFrame macro="">
      <xdr:nvGraphicFramePr>
        <xdr:cNvPr id="59" name="Chart 58">
          <a:extLst>
            <a:ext uri="{FF2B5EF4-FFF2-40B4-BE49-F238E27FC236}">
              <a16:creationId xmlns:a16="http://schemas.microsoft.com/office/drawing/2014/main" id="{C84F87F9-38F6-4ABE-99CA-2606465CE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209551</xdr:colOff>
      <xdr:row>25</xdr:row>
      <xdr:rowOff>0</xdr:rowOff>
    </xdr:from>
    <xdr:to>
      <xdr:col>12</xdr:col>
      <xdr:colOff>190501</xdr:colOff>
      <xdr:row>37</xdr:row>
      <xdr:rowOff>123825</xdr:rowOff>
    </xdr:to>
    <xdr:graphicFrame macro="">
      <xdr:nvGraphicFramePr>
        <xdr:cNvPr id="60" name="Chart 59">
          <a:extLst>
            <a:ext uri="{FF2B5EF4-FFF2-40B4-BE49-F238E27FC236}">
              <a16:creationId xmlns:a16="http://schemas.microsoft.com/office/drawing/2014/main" id="{3C01C0CA-A52E-440F-B5B0-75C064F04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409574</xdr:colOff>
      <xdr:row>24</xdr:row>
      <xdr:rowOff>161925</xdr:rowOff>
    </xdr:from>
    <xdr:to>
      <xdr:col>20</xdr:col>
      <xdr:colOff>476249</xdr:colOff>
      <xdr:row>37</xdr:row>
      <xdr:rowOff>142875</xdr:rowOff>
    </xdr:to>
    <xdr:sp macro="" textlink="">
      <xdr:nvSpPr>
        <xdr:cNvPr id="75" name="Rectangle: Rounded Corners 74">
          <a:extLst>
            <a:ext uri="{FF2B5EF4-FFF2-40B4-BE49-F238E27FC236}">
              <a16:creationId xmlns:a16="http://schemas.microsoft.com/office/drawing/2014/main" id="{617C4610-50B3-4143-A49A-8EDDDC163E88}"/>
            </a:ext>
          </a:extLst>
        </xdr:cNvPr>
        <xdr:cNvSpPr/>
      </xdr:nvSpPr>
      <xdr:spPr>
        <a:xfrm>
          <a:off x="7724774" y="4733925"/>
          <a:ext cx="4943475" cy="2457450"/>
        </a:xfrm>
        <a:prstGeom prst="roundRect">
          <a:avLst>
            <a:gd name="adj" fmla="val 5879"/>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457200</xdr:colOff>
      <xdr:row>25</xdr:row>
      <xdr:rowOff>9526</xdr:rowOff>
    </xdr:from>
    <xdr:to>
      <xdr:col>20</xdr:col>
      <xdr:colOff>400049</xdr:colOff>
      <xdr:row>37</xdr:row>
      <xdr:rowOff>95250</xdr:rowOff>
    </xdr:to>
    <xdr:graphicFrame macro="">
      <xdr:nvGraphicFramePr>
        <xdr:cNvPr id="55" name="Chart 54">
          <a:extLst>
            <a:ext uri="{FF2B5EF4-FFF2-40B4-BE49-F238E27FC236}">
              <a16:creationId xmlns:a16="http://schemas.microsoft.com/office/drawing/2014/main" id="{99F42859-93A2-43E9-BCC5-B800418D0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552450</xdr:colOff>
      <xdr:row>13</xdr:row>
      <xdr:rowOff>57150</xdr:rowOff>
    </xdr:from>
    <xdr:to>
      <xdr:col>14</xdr:col>
      <xdr:colOff>533400</xdr:colOff>
      <xdr:row>24</xdr:row>
      <xdr:rowOff>0</xdr:rowOff>
    </xdr:to>
    <xdr:graphicFrame macro="">
      <xdr:nvGraphicFramePr>
        <xdr:cNvPr id="76" name="Chart 75">
          <a:extLst>
            <a:ext uri="{FF2B5EF4-FFF2-40B4-BE49-F238E27FC236}">
              <a16:creationId xmlns:a16="http://schemas.microsoft.com/office/drawing/2014/main" id="{2AC176EB-5AB2-4E4E-83B2-D6E89B761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142875</xdr:colOff>
      <xdr:row>7</xdr:row>
      <xdr:rowOff>38100</xdr:rowOff>
    </xdr:from>
    <xdr:to>
      <xdr:col>3</xdr:col>
      <xdr:colOff>285750</xdr:colOff>
      <xdr:row>9</xdr:row>
      <xdr:rowOff>9525</xdr:rowOff>
    </xdr:to>
    <xdr:sp macro="" textlink="">
      <xdr:nvSpPr>
        <xdr:cNvPr id="77" name="TextBox 76">
          <a:hlinkClick xmlns:r="http://schemas.openxmlformats.org/officeDocument/2006/relationships" r:id="rId1"/>
          <a:extLst>
            <a:ext uri="{FF2B5EF4-FFF2-40B4-BE49-F238E27FC236}">
              <a16:creationId xmlns:a16="http://schemas.microsoft.com/office/drawing/2014/main" id="{7A7CB917-E934-3741-9016-4B93E52F15EB}"/>
            </a:ext>
          </a:extLst>
        </xdr:cNvPr>
        <xdr:cNvSpPr txBox="1"/>
      </xdr:nvSpPr>
      <xdr:spPr>
        <a:xfrm>
          <a:off x="752475" y="1371600"/>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xdr:from>
      <xdr:col>1</xdr:col>
      <xdr:colOff>142875</xdr:colOff>
      <xdr:row>12</xdr:row>
      <xdr:rowOff>133350</xdr:rowOff>
    </xdr:from>
    <xdr:to>
      <xdr:col>3</xdr:col>
      <xdr:colOff>333375</xdr:colOff>
      <xdr:row>16</xdr:row>
      <xdr:rowOff>104775</xdr:rowOff>
    </xdr:to>
    <xdr:sp macro="" textlink="">
      <xdr:nvSpPr>
        <xdr:cNvPr id="78" name="TextBox 77">
          <a:hlinkClick xmlns:r="http://schemas.openxmlformats.org/officeDocument/2006/relationships" r:id="rId2"/>
          <a:extLst>
            <a:ext uri="{FF2B5EF4-FFF2-40B4-BE49-F238E27FC236}">
              <a16:creationId xmlns:a16="http://schemas.microsoft.com/office/drawing/2014/main" id="{F1BA88BD-670B-9879-F21D-B81DB524C73B}"/>
            </a:ext>
          </a:extLst>
        </xdr:cNvPr>
        <xdr:cNvSpPr txBox="1"/>
      </xdr:nvSpPr>
      <xdr:spPr>
        <a:xfrm>
          <a:off x="752475" y="2419350"/>
          <a:ext cx="14097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Executive</a:t>
          </a:r>
          <a:r>
            <a:rPr lang="en-IN" sz="1800" b="1" baseline="0">
              <a:solidFill>
                <a:schemeClr val="bg1"/>
              </a:solidFill>
            </a:rPr>
            <a:t> Summary</a:t>
          </a:r>
          <a:endParaRPr lang="en-IN" sz="1800" b="1">
            <a:solidFill>
              <a:schemeClr val="bg1"/>
            </a:solidFill>
          </a:endParaRPr>
        </a:p>
      </xdr:txBody>
    </xdr:sp>
    <xdr:clientData/>
  </xdr:twoCellAnchor>
  <xdr:twoCellAnchor>
    <xdr:from>
      <xdr:col>1</xdr:col>
      <xdr:colOff>190500</xdr:colOff>
      <xdr:row>17</xdr:row>
      <xdr:rowOff>38100</xdr:rowOff>
    </xdr:from>
    <xdr:to>
      <xdr:col>3</xdr:col>
      <xdr:colOff>409575</xdr:colOff>
      <xdr:row>21</xdr:row>
      <xdr:rowOff>38100</xdr:rowOff>
    </xdr:to>
    <xdr:sp macro="" textlink="">
      <xdr:nvSpPr>
        <xdr:cNvPr id="80" name="TextBox 79">
          <a:hlinkClick xmlns:r="http://schemas.openxmlformats.org/officeDocument/2006/relationships" r:id="rId5"/>
          <a:extLst>
            <a:ext uri="{FF2B5EF4-FFF2-40B4-BE49-F238E27FC236}">
              <a16:creationId xmlns:a16="http://schemas.microsoft.com/office/drawing/2014/main" id="{C7C82546-8985-5812-8322-257434BC0F78}"/>
            </a:ext>
          </a:extLst>
        </xdr:cNvPr>
        <xdr:cNvSpPr txBox="1"/>
      </xdr:nvSpPr>
      <xdr:spPr>
        <a:xfrm>
          <a:off x="800100" y="3276600"/>
          <a:ext cx="14382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Performance</a:t>
          </a:r>
        </a:p>
      </xdr:txBody>
    </xdr:sp>
    <xdr:clientData/>
  </xdr:twoCellAnchor>
  <xdr:twoCellAnchor>
    <xdr:from>
      <xdr:col>1</xdr:col>
      <xdr:colOff>257175</xdr:colOff>
      <xdr:row>22</xdr:row>
      <xdr:rowOff>9525</xdr:rowOff>
    </xdr:from>
    <xdr:to>
      <xdr:col>3</xdr:col>
      <xdr:colOff>390525</xdr:colOff>
      <xdr:row>25</xdr:row>
      <xdr:rowOff>161924</xdr:rowOff>
    </xdr:to>
    <xdr:sp macro="" textlink="">
      <xdr:nvSpPr>
        <xdr:cNvPr id="81" name="TextBox 80">
          <a:hlinkClick xmlns:r="http://schemas.openxmlformats.org/officeDocument/2006/relationships" r:id="rId4"/>
          <a:extLst>
            <a:ext uri="{FF2B5EF4-FFF2-40B4-BE49-F238E27FC236}">
              <a16:creationId xmlns:a16="http://schemas.microsoft.com/office/drawing/2014/main" id="{ED9F3FB0-EFC3-E6E0-4E61-FF3542A29073}"/>
            </a:ext>
          </a:extLst>
        </xdr:cNvPr>
        <xdr:cNvSpPr txBox="1"/>
      </xdr:nvSpPr>
      <xdr:spPr>
        <a:xfrm>
          <a:off x="866775" y="4200525"/>
          <a:ext cx="135255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Insights</a:t>
          </a:r>
        </a:p>
      </xdr:txBody>
    </xdr:sp>
    <xdr:clientData/>
  </xdr:twoCellAnchor>
  <xdr:twoCellAnchor>
    <xdr:from>
      <xdr:col>1</xdr:col>
      <xdr:colOff>38101</xdr:colOff>
      <xdr:row>26</xdr:row>
      <xdr:rowOff>142874</xdr:rowOff>
    </xdr:from>
    <xdr:to>
      <xdr:col>3</xdr:col>
      <xdr:colOff>571501</xdr:colOff>
      <xdr:row>30</xdr:row>
      <xdr:rowOff>76199</xdr:rowOff>
    </xdr:to>
    <xdr:sp macro="" textlink="">
      <xdr:nvSpPr>
        <xdr:cNvPr id="82" name="TextBox 81">
          <a:hlinkClick xmlns:r="http://schemas.openxmlformats.org/officeDocument/2006/relationships" r:id="rId3"/>
          <a:extLst>
            <a:ext uri="{FF2B5EF4-FFF2-40B4-BE49-F238E27FC236}">
              <a16:creationId xmlns:a16="http://schemas.microsoft.com/office/drawing/2014/main" id="{4E5E3FE2-32F8-30A1-7CD4-1FD4CB056A8D}"/>
            </a:ext>
          </a:extLst>
        </xdr:cNvPr>
        <xdr:cNvSpPr txBox="1"/>
      </xdr:nvSpPr>
      <xdr:spPr>
        <a:xfrm>
          <a:off x="647701" y="5095874"/>
          <a:ext cx="17526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Product&amp;Pricing</a:t>
          </a:r>
          <a:r>
            <a:rPr lang="en-IN" sz="1800" b="1" baseline="0">
              <a:solidFill>
                <a:schemeClr val="bg1"/>
              </a:solidFill>
            </a:rPr>
            <a:t> Analysis</a:t>
          </a:r>
          <a:endParaRPr lang="en-IN" sz="1800" b="1">
            <a:solidFill>
              <a:schemeClr val="bg1"/>
            </a:solidFill>
          </a:endParaRPr>
        </a:p>
      </xdr:txBody>
    </xdr:sp>
    <xdr:clientData/>
  </xdr:twoCellAnchor>
  <xdr:twoCellAnchor>
    <xdr:from>
      <xdr:col>1</xdr:col>
      <xdr:colOff>76200</xdr:colOff>
      <xdr:row>31</xdr:row>
      <xdr:rowOff>66675</xdr:rowOff>
    </xdr:from>
    <xdr:to>
      <xdr:col>3</xdr:col>
      <xdr:colOff>561975</xdr:colOff>
      <xdr:row>34</xdr:row>
      <xdr:rowOff>152400</xdr:rowOff>
    </xdr:to>
    <xdr:sp macro="" textlink="">
      <xdr:nvSpPr>
        <xdr:cNvPr id="83" name="TextBox 82">
          <a:hlinkClick xmlns:r="http://schemas.openxmlformats.org/officeDocument/2006/relationships" r:id="rId6"/>
          <a:extLst>
            <a:ext uri="{FF2B5EF4-FFF2-40B4-BE49-F238E27FC236}">
              <a16:creationId xmlns:a16="http://schemas.microsoft.com/office/drawing/2014/main" id="{E39A400E-1B74-4A1F-6FEF-F3B1EADE99CE}"/>
            </a:ext>
          </a:extLst>
        </xdr:cNvPr>
        <xdr:cNvSpPr txBox="1"/>
      </xdr:nvSpPr>
      <xdr:spPr>
        <a:xfrm>
          <a:off x="685800" y="5972175"/>
          <a:ext cx="17049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Payment&amp;Time</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133350</xdr:colOff>
      <xdr:row>31</xdr:row>
      <xdr:rowOff>95250</xdr:rowOff>
    </xdr:from>
    <xdr:to>
      <xdr:col>1</xdr:col>
      <xdr:colOff>152399</xdr:colOff>
      <xdr:row>34</xdr:row>
      <xdr:rowOff>152399</xdr:rowOff>
    </xdr:to>
    <xdr:pic>
      <xdr:nvPicPr>
        <xdr:cNvPr id="85" name="Picture 84">
          <a:hlinkClick xmlns:r="http://schemas.openxmlformats.org/officeDocument/2006/relationships" r:id="rId6"/>
          <a:extLst>
            <a:ext uri="{FF2B5EF4-FFF2-40B4-BE49-F238E27FC236}">
              <a16:creationId xmlns:a16="http://schemas.microsoft.com/office/drawing/2014/main" id="{B5855230-63D3-B83B-6364-76C37238A561}"/>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33350" y="6000750"/>
          <a:ext cx="628649" cy="628649"/>
        </a:xfrm>
        <a:prstGeom prst="rect">
          <a:avLst/>
        </a:prstGeom>
      </xdr:spPr>
    </xdr:pic>
    <xdr:clientData/>
  </xdr:twoCellAnchor>
  <xdr:twoCellAnchor editAs="oneCell">
    <xdr:from>
      <xdr:col>0</xdr:col>
      <xdr:colOff>95250</xdr:colOff>
      <xdr:row>26</xdr:row>
      <xdr:rowOff>161925</xdr:rowOff>
    </xdr:from>
    <xdr:to>
      <xdr:col>1</xdr:col>
      <xdr:colOff>142875</xdr:colOff>
      <xdr:row>29</xdr:row>
      <xdr:rowOff>181189</xdr:rowOff>
    </xdr:to>
    <xdr:pic>
      <xdr:nvPicPr>
        <xdr:cNvPr id="87" name="Picture 86">
          <a:hlinkClick xmlns:r="http://schemas.openxmlformats.org/officeDocument/2006/relationships" r:id="rId3"/>
          <a:extLst>
            <a:ext uri="{FF2B5EF4-FFF2-40B4-BE49-F238E27FC236}">
              <a16:creationId xmlns:a16="http://schemas.microsoft.com/office/drawing/2014/main" id="{324FB68D-B628-C4EF-A1A3-5F92474ED93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95250" y="5114925"/>
          <a:ext cx="657225" cy="590764"/>
        </a:xfrm>
        <a:prstGeom prst="rect">
          <a:avLst/>
        </a:prstGeom>
      </xdr:spPr>
    </xdr:pic>
    <xdr:clientData/>
  </xdr:twoCellAnchor>
  <xdr:twoCellAnchor>
    <xdr:from>
      <xdr:col>0</xdr:col>
      <xdr:colOff>85725</xdr:colOff>
      <xdr:row>22</xdr:row>
      <xdr:rowOff>9525</xdr:rowOff>
    </xdr:from>
    <xdr:to>
      <xdr:col>1</xdr:col>
      <xdr:colOff>200025</xdr:colOff>
      <xdr:row>25</xdr:row>
      <xdr:rowOff>66675</xdr:rowOff>
    </xdr:to>
    <xdr:sp macro="" textlink="">
      <xdr:nvSpPr>
        <xdr:cNvPr id="90" name="Oval 89">
          <a:extLst>
            <a:ext uri="{FF2B5EF4-FFF2-40B4-BE49-F238E27FC236}">
              <a16:creationId xmlns:a16="http://schemas.microsoft.com/office/drawing/2014/main" id="{8E0A3CDA-D6FE-7152-49EA-50222CC3F298}"/>
            </a:ext>
          </a:extLst>
        </xdr:cNvPr>
        <xdr:cNvSpPr/>
      </xdr:nvSpPr>
      <xdr:spPr>
        <a:xfrm>
          <a:off x="85725" y="4200525"/>
          <a:ext cx="723900" cy="6286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163006</xdr:colOff>
      <xdr:row>22</xdr:row>
      <xdr:rowOff>66676</xdr:rowOff>
    </xdr:from>
    <xdr:to>
      <xdr:col>1</xdr:col>
      <xdr:colOff>137866</xdr:colOff>
      <xdr:row>24</xdr:row>
      <xdr:rowOff>142875</xdr:rowOff>
    </xdr:to>
    <xdr:pic>
      <xdr:nvPicPr>
        <xdr:cNvPr id="89" name="Picture 88">
          <a:hlinkClick xmlns:r="http://schemas.openxmlformats.org/officeDocument/2006/relationships" r:id="rId4"/>
          <a:extLst>
            <a:ext uri="{FF2B5EF4-FFF2-40B4-BE49-F238E27FC236}">
              <a16:creationId xmlns:a16="http://schemas.microsoft.com/office/drawing/2014/main" id="{B6CEAC5D-6881-0F50-0806-E20393D820A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63006" y="4257676"/>
          <a:ext cx="584460" cy="457199"/>
        </a:xfrm>
        <a:prstGeom prst="rect">
          <a:avLst/>
        </a:prstGeom>
      </xdr:spPr>
    </xdr:pic>
    <xdr:clientData/>
  </xdr:twoCellAnchor>
  <xdr:twoCellAnchor editAs="oneCell">
    <xdr:from>
      <xdr:col>0</xdr:col>
      <xdr:colOff>76199</xdr:colOff>
      <xdr:row>17</xdr:row>
      <xdr:rowOff>88042</xdr:rowOff>
    </xdr:from>
    <xdr:to>
      <xdr:col>1</xdr:col>
      <xdr:colOff>123824</xdr:colOff>
      <xdr:row>19</xdr:row>
      <xdr:rowOff>183092</xdr:rowOff>
    </xdr:to>
    <xdr:pic>
      <xdr:nvPicPr>
        <xdr:cNvPr id="92" name="Picture 91">
          <a:hlinkClick xmlns:r="http://schemas.openxmlformats.org/officeDocument/2006/relationships" r:id="rId5"/>
          <a:extLst>
            <a:ext uri="{FF2B5EF4-FFF2-40B4-BE49-F238E27FC236}">
              <a16:creationId xmlns:a16="http://schemas.microsoft.com/office/drawing/2014/main" id="{27941195-7005-A1BA-B399-0C029EB7C251}"/>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76199" y="3326542"/>
          <a:ext cx="657225" cy="476050"/>
        </a:xfrm>
        <a:prstGeom prst="rect">
          <a:avLst/>
        </a:prstGeom>
      </xdr:spPr>
    </xdr:pic>
    <xdr:clientData/>
  </xdr:twoCellAnchor>
  <xdr:twoCellAnchor editAs="oneCell">
    <xdr:from>
      <xdr:col>0</xdr:col>
      <xdr:colOff>114301</xdr:colOff>
      <xdr:row>12</xdr:row>
      <xdr:rowOff>19052</xdr:rowOff>
    </xdr:from>
    <xdr:to>
      <xdr:col>1</xdr:col>
      <xdr:colOff>101360</xdr:colOff>
      <xdr:row>16</xdr:row>
      <xdr:rowOff>47626</xdr:rowOff>
    </xdr:to>
    <xdr:pic>
      <xdr:nvPicPr>
        <xdr:cNvPr id="94" name="Picture 93">
          <a:hlinkClick xmlns:r="http://schemas.openxmlformats.org/officeDocument/2006/relationships" r:id="rId2"/>
          <a:extLst>
            <a:ext uri="{FF2B5EF4-FFF2-40B4-BE49-F238E27FC236}">
              <a16:creationId xmlns:a16="http://schemas.microsoft.com/office/drawing/2014/main" id="{374AFD3E-1564-D27E-FB8A-E03D46AFC87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4301" y="2305052"/>
          <a:ext cx="596659" cy="790574"/>
        </a:xfrm>
        <a:prstGeom prst="rect">
          <a:avLst/>
        </a:prstGeom>
      </xdr:spPr>
    </xdr:pic>
    <xdr:clientData/>
  </xdr:twoCellAnchor>
  <xdr:twoCellAnchor>
    <xdr:from>
      <xdr:col>21</xdr:col>
      <xdr:colOff>103868</xdr:colOff>
      <xdr:row>22</xdr:row>
      <xdr:rowOff>102056</xdr:rowOff>
    </xdr:from>
    <xdr:to>
      <xdr:col>28</xdr:col>
      <xdr:colOff>534762</xdr:colOff>
      <xdr:row>36</xdr:row>
      <xdr:rowOff>79376</xdr:rowOff>
    </xdr:to>
    <xdr:graphicFrame macro="">
      <xdr:nvGraphicFramePr>
        <xdr:cNvPr id="95" name="Chart 94">
          <a:extLst>
            <a:ext uri="{FF2B5EF4-FFF2-40B4-BE49-F238E27FC236}">
              <a16:creationId xmlns:a16="http://schemas.microsoft.com/office/drawing/2014/main" id="{4B8A1EB3-B4B8-4067-8863-DF7F7DF94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341658</xdr:colOff>
      <xdr:row>13</xdr:row>
      <xdr:rowOff>31060</xdr:rowOff>
    </xdr:from>
    <xdr:to>
      <xdr:col>7</xdr:col>
      <xdr:colOff>600489</xdr:colOff>
      <xdr:row>15</xdr:row>
      <xdr:rowOff>41413</xdr:rowOff>
    </xdr:to>
    <xdr:sp macro="" textlink="">
      <xdr:nvSpPr>
        <xdr:cNvPr id="12" name="TextBox 11">
          <a:extLst>
            <a:ext uri="{FF2B5EF4-FFF2-40B4-BE49-F238E27FC236}">
              <a16:creationId xmlns:a16="http://schemas.microsoft.com/office/drawing/2014/main" id="{B7341B20-B25A-C465-D4F2-AFD7727B3F88}"/>
            </a:ext>
          </a:extLst>
        </xdr:cNvPr>
        <xdr:cNvSpPr txBox="1"/>
      </xdr:nvSpPr>
      <xdr:spPr>
        <a:xfrm>
          <a:off x="3395870" y="2453723"/>
          <a:ext cx="1480516" cy="38307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Sales By</a:t>
          </a:r>
          <a:r>
            <a:rPr lang="en-IN" sz="1400" b="1" baseline="0">
              <a:solidFill>
                <a:srgbClr val="FF0000"/>
              </a:solidFill>
            </a:rPr>
            <a:t> Branch</a:t>
          </a:r>
          <a:endParaRPr lang="en-IN" sz="1400" b="1">
            <a:solidFill>
              <a:srgbClr val="FF0000"/>
            </a:solidFill>
          </a:endParaRPr>
        </a:p>
      </xdr:txBody>
    </xdr:sp>
    <xdr:clientData/>
  </xdr:twoCellAnchor>
  <xdr:twoCellAnchor>
    <xdr:from>
      <xdr:col>23</xdr:col>
      <xdr:colOff>442291</xdr:colOff>
      <xdr:row>22</xdr:row>
      <xdr:rowOff>79927</xdr:rowOff>
    </xdr:from>
    <xdr:to>
      <xdr:col>27</xdr:col>
      <xdr:colOff>124238</xdr:colOff>
      <xdr:row>24</xdr:row>
      <xdr:rowOff>90279</xdr:rowOff>
    </xdr:to>
    <xdr:sp macro="" textlink="">
      <xdr:nvSpPr>
        <xdr:cNvPr id="14" name="TextBox 13">
          <a:extLst>
            <a:ext uri="{FF2B5EF4-FFF2-40B4-BE49-F238E27FC236}">
              <a16:creationId xmlns:a16="http://schemas.microsoft.com/office/drawing/2014/main" id="{82089B05-FA93-48BD-983F-6D8FB7917A96}"/>
            </a:ext>
          </a:extLst>
        </xdr:cNvPr>
        <xdr:cNvSpPr txBox="1"/>
      </xdr:nvSpPr>
      <xdr:spPr>
        <a:xfrm>
          <a:off x="14491666" y="4179818"/>
          <a:ext cx="2125317" cy="38307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Sales By</a:t>
          </a:r>
          <a:r>
            <a:rPr lang="en-IN" sz="1400" b="1" baseline="0">
              <a:solidFill>
                <a:srgbClr val="FF0000"/>
              </a:solidFill>
            </a:rPr>
            <a:t> Product Type</a:t>
          </a:r>
        </a:p>
        <a:p>
          <a:endParaRPr lang="en-IN" sz="1400" b="1">
            <a:solidFill>
              <a:srgbClr val="FF0000"/>
            </a:solidFill>
          </a:endParaRPr>
        </a:p>
      </xdr:txBody>
    </xdr:sp>
    <xdr:clientData/>
  </xdr:twoCellAnchor>
  <xdr:twoCellAnchor>
    <xdr:from>
      <xdr:col>15</xdr:col>
      <xdr:colOff>366919</xdr:colOff>
      <xdr:row>25</xdr:row>
      <xdr:rowOff>77029</xdr:rowOff>
    </xdr:from>
    <xdr:to>
      <xdr:col>18</xdr:col>
      <xdr:colOff>528015</xdr:colOff>
      <xdr:row>27</xdr:row>
      <xdr:rowOff>87381</xdr:rowOff>
    </xdr:to>
    <xdr:sp macro="" textlink="">
      <xdr:nvSpPr>
        <xdr:cNvPr id="15" name="TextBox 14">
          <a:extLst>
            <a:ext uri="{FF2B5EF4-FFF2-40B4-BE49-F238E27FC236}">
              <a16:creationId xmlns:a16="http://schemas.microsoft.com/office/drawing/2014/main" id="{642BB78C-D399-400B-9C4E-25EEFDAE5AA8}"/>
            </a:ext>
          </a:extLst>
        </xdr:cNvPr>
        <xdr:cNvSpPr txBox="1"/>
      </xdr:nvSpPr>
      <xdr:spPr>
        <a:xfrm>
          <a:off x="9529555" y="4735996"/>
          <a:ext cx="1993623" cy="38307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Sales By</a:t>
          </a:r>
          <a:r>
            <a:rPr lang="en-IN" sz="1400" b="1" baseline="0">
              <a:solidFill>
                <a:srgbClr val="FF0000"/>
              </a:solidFill>
            </a:rPr>
            <a:t> Time(Hours)</a:t>
          </a:r>
          <a:endParaRPr lang="en-IN" sz="1400" b="1">
            <a:solidFill>
              <a:srgbClr val="FF0000"/>
            </a:solidFill>
          </a:endParaRPr>
        </a:p>
      </xdr:txBody>
    </xdr:sp>
    <xdr:clientData/>
  </xdr:twoCellAnchor>
  <xdr:twoCellAnchor>
    <xdr:from>
      <xdr:col>16</xdr:col>
      <xdr:colOff>125896</xdr:colOff>
      <xdr:row>13</xdr:row>
      <xdr:rowOff>53423</xdr:rowOff>
    </xdr:from>
    <xdr:to>
      <xdr:col>19</xdr:col>
      <xdr:colOff>165653</xdr:colOff>
      <xdr:row>15</xdr:row>
      <xdr:rowOff>63776</xdr:rowOff>
    </xdr:to>
    <xdr:sp macro="" textlink="">
      <xdr:nvSpPr>
        <xdr:cNvPr id="16" name="TextBox 15">
          <a:extLst>
            <a:ext uri="{FF2B5EF4-FFF2-40B4-BE49-F238E27FC236}">
              <a16:creationId xmlns:a16="http://schemas.microsoft.com/office/drawing/2014/main" id="{4979E8AD-7023-4EBE-A556-EE33D48A938E}"/>
            </a:ext>
          </a:extLst>
        </xdr:cNvPr>
        <xdr:cNvSpPr txBox="1"/>
      </xdr:nvSpPr>
      <xdr:spPr>
        <a:xfrm>
          <a:off x="9899374" y="2476086"/>
          <a:ext cx="1872284" cy="38307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Member</a:t>
          </a:r>
          <a:r>
            <a:rPr lang="en-IN" sz="1400" b="1" baseline="0">
              <a:solidFill>
                <a:srgbClr val="FF0000"/>
              </a:solidFill>
            </a:rPr>
            <a:t> vs Normal</a:t>
          </a:r>
          <a:endParaRPr lang="en-IN" sz="1400" b="1">
            <a:solidFill>
              <a:srgbClr val="FF0000"/>
            </a:solidFill>
          </a:endParaRPr>
        </a:p>
      </xdr:txBody>
    </xdr:sp>
    <xdr:clientData/>
  </xdr:twoCellAnchor>
  <xdr:twoCellAnchor>
    <xdr:from>
      <xdr:col>11</xdr:col>
      <xdr:colOff>185117</xdr:colOff>
      <xdr:row>13</xdr:row>
      <xdr:rowOff>60878</xdr:rowOff>
    </xdr:from>
    <xdr:to>
      <xdr:col>13</xdr:col>
      <xdr:colOff>443948</xdr:colOff>
      <xdr:row>15</xdr:row>
      <xdr:rowOff>71231</xdr:rowOff>
    </xdr:to>
    <xdr:sp macro="" textlink="">
      <xdr:nvSpPr>
        <xdr:cNvPr id="17" name="TextBox 16">
          <a:extLst>
            <a:ext uri="{FF2B5EF4-FFF2-40B4-BE49-F238E27FC236}">
              <a16:creationId xmlns:a16="http://schemas.microsoft.com/office/drawing/2014/main" id="{FAF1EC2F-EA28-4DB5-A727-9F76A6E9218C}"/>
            </a:ext>
          </a:extLst>
        </xdr:cNvPr>
        <xdr:cNvSpPr txBox="1"/>
      </xdr:nvSpPr>
      <xdr:spPr>
        <a:xfrm>
          <a:off x="6904383" y="2483541"/>
          <a:ext cx="1480516" cy="38307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Sales By</a:t>
          </a:r>
          <a:r>
            <a:rPr lang="en-IN" sz="1400" b="1" baseline="0">
              <a:solidFill>
                <a:srgbClr val="FF0000"/>
              </a:solidFill>
            </a:rPr>
            <a:t> Gender</a:t>
          </a:r>
          <a:endParaRPr lang="en-IN" sz="1400" b="1">
            <a:solidFill>
              <a:srgbClr val="FF0000"/>
            </a:solidFill>
          </a:endParaRPr>
        </a:p>
      </xdr:txBody>
    </xdr:sp>
    <xdr:clientData/>
  </xdr:twoCellAnchor>
  <xdr:twoCellAnchor>
    <xdr:from>
      <xdr:col>7</xdr:col>
      <xdr:colOff>347870</xdr:colOff>
      <xdr:row>25</xdr:row>
      <xdr:rowOff>6213</xdr:rowOff>
    </xdr:from>
    <xdr:to>
      <xdr:col>10</xdr:col>
      <xdr:colOff>320951</xdr:colOff>
      <xdr:row>27</xdr:row>
      <xdr:rowOff>1</xdr:rowOff>
    </xdr:to>
    <xdr:sp macro="" textlink="">
      <xdr:nvSpPr>
        <xdr:cNvPr id="18" name="TextBox 17">
          <a:extLst>
            <a:ext uri="{FF2B5EF4-FFF2-40B4-BE49-F238E27FC236}">
              <a16:creationId xmlns:a16="http://schemas.microsoft.com/office/drawing/2014/main" id="{B9F7AE89-F8AA-42E7-90B9-7B80A7412513}"/>
            </a:ext>
          </a:extLst>
        </xdr:cNvPr>
        <xdr:cNvSpPr txBox="1"/>
      </xdr:nvSpPr>
      <xdr:spPr>
        <a:xfrm>
          <a:off x="4623767" y="4665180"/>
          <a:ext cx="1805608" cy="366506"/>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Montly</a:t>
          </a:r>
          <a:r>
            <a:rPr lang="en-IN" sz="1400" b="1" baseline="0">
              <a:solidFill>
                <a:srgbClr val="FF0000"/>
              </a:solidFill>
            </a:rPr>
            <a:t> Sales Trend</a:t>
          </a:r>
          <a:endParaRPr lang="en-IN" sz="14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161925</xdr:colOff>
      <xdr:row>0</xdr:row>
      <xdr:rowOff>171450</xdr:rowOff>
    </xdr:from>
    <xdr:to>
      <xdr:col>7</xdr:col>
      <xdr:colOff>457200</xdr:colOff>
      <xdr:row>15</xdr:row>
      <xdr:rowOff>57150</xdr:rowOff>
    </xdr:to>
    <xdr:graphicFrame macro="">
      <xdr:nvGraphicFramePr>
        <xdr:cNvPr id="2" name="Chart 1">
          <a:extLst>
            <a:ext uri="{FF2B5EF4-FFF2-40B4-BE49-F238E27FC236}">
              <a16:creationId xmlns:a16="http://schemas.microsoft.com/office/drawing/2014/main" id="{167D98D0-ACC2-DD98-B497-5E2CADDA7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161926</xdr:colOff>
      <xdr:row>15</xdr:row>
      <xdr:rowOff>190499</xdr:rowOff>
    </xdr:from>
    <xdr:to>
      <xdr:col>7</xdr:col>
      <xdr:colOff>495301</xdr:colOff>
      <xdr:row>30</xdr:row>
      <xdr:rowOff>85724</xdr:rowOff>
    </xdr:to>
    <xdr:graphicFrame macro="">
      <xdr:nvGraphicFramePr>
        <xdr:cNvPr id="3" name="Chart 2">
          <a:extLst>
            <a:ext uri="{FF2B5EF4-FFF2-40B4-BE49-F238E27FC236}">
              <a16:creationId xmlns:a16="http://schemas.microsoft.com/office/drawing/2014/main" id="{3EC8B15E-751B-2448-B8D2-F4D4ED90C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142875</xdr:colOff>
      <xdr:row>1</xdr:row>
      <xdr:rowOff>9525</xdr:rowOff>
    </xdr:from>
    <xdr:to>
      <xdr:col>14</xdr:col>
      <xdr:colOff>657225</xdr:colOff>
      <xdr:row>15</xdr:row>
      <xdr:rowOff>85725</xdr:rowOff>
    </xdr:to>
    <xdr:graphicFrame macro="">
      <xdr:nvGraphicFramePr>
        <xdr:cNvPr id="4" name="Chart 3">
          <a:extLst>
            <a:ext uri="{FF2B5EF4-FFF2-40B4-BE49-F238E27FC236}">
              <a16:creationId xmlns:a16="http://schemas.microsoft.com/office/drawing/2014/main" id="{E1106CA4-C07B-ED9C-11C4-D8E76DE8E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104775</xdr:colOff>
      <xdr:row>9</xdr:row>
      <xdr:rowOff>28575</xdr:rowOff>
    </xdr:from>
    <xdr:to>
      <xdr:col>0</xdr:col>
      <xdr:colOff>704155</xdr:colOff>
      <xdr:row>13</xdr:row>
      <xdr:rowOff>66221</xdr:rowOff>
    </xdr:to>
    <xdr:pic>
      <xdr:nvPicPr>
        <xdr:cNvPr id="8" name="Picture 7">
          <a:hlinkClick xmlns:r="http://schemas.openxmlformats.org/officeDocument/2006/relationships" r:id="rId4"/>
          <a:extLst>
            <a:ext uri="{FF2B5EF4-FFF2-40B4-BE49-F238E27FC236}">
              <a16:creationId xmlns:a16="http://schemas.microsoft.com/office/drawing/2014/main" id="{33EB0953-7913-4A22-B46C-B3CE7EDA78F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4775" y="1743075"/>
          <a:ext cx="599380" cy="799646"/>
        </a:xfrm>
        <a:prstGeom prst="rect">
          <a:avLst/>
        </a:prstGeom>
      </xdr:spPr>
    </xdr:pic>
    <xdr:clientData/>
  </xdr:twoCellAnchor>
  <xdr:twoCellAnchor>
    <xdr:from>
      <xdr:col>0</xdr:col>
      <xdr:colOff>47625</xdr:colOff>
      <xdr:row>0</xdr:row>
      <xdr:rowOff>76200</xdr:rowOff>
    </xdr:from>
    <xdr:to>
      <xdr:col>1</xdr:col>
      <xdr:colOff>1095375</xdr:colOff>
      <xdr:row>36</xdr:row>
      <xdr:rowOff>9525</xdr:rowOff>
    </xdr:to>
    <xdr:sp macro="" textlink="">
      <xdr:nvSpPr>
        <xdr:cNvPr id="16" name="Rectangle: Rounded Corners 15">
          <a:extLst>
            <a:ext uri="{FF2B5EF4-FFF2-40B4-BE49-F238E27FC236}">
              <a16:creationId xmlns:a16="http://schemas.microsoft.com/office/drawing/2014/main" id="{C7C52BC1-9E8D-49AC-8B40-8D122C98F09F}"/>
            </a:ext>
          </a:extLst>
        </xdr:cNvPr>
        <xdr:cNvSpPr/>
      </xdr:nvSpPr>
      <xdr:spPr>
        <a:xfrm>
          <a:off x="47625" y="76200"/>
          <a:ext cx="2238375" cy="6791325"/>
        </a:xfrm>
        <a:prstGeom prst="roundRect">
          <a:avLst>
            <a:gd name="adj" fmla="val 587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12</xdr:row>
      <xdr:rowOff>152400</xdr:rowOff>
    </xdr:from>
    <xdr:to>
      <xdr:col>1</xdr:col>
      <xdr:colOff>1217839</xdr:colOff>
      <xdr:row>16</xdr:row>
      <xdr:rowOff>54428</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046CC504-CEB7-4696-A133-64A78A8A4714}"/>
            </a:ext>
          </a:extLst>
        </xdr:cNvPr>
        <xdr:cNvSpPr/>
      </xdr:nvSpPr>
      <xdr:spPr>
        <a:xfrm>
          <a:off x="219075" y="2438400"/>
          <a:ext cx="2189389" cy="66402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26</xdr:row>
      <xdr:rowOff>133350</xdr:rowOff>
    </xdr:from>
    <xdr:to>
      <xdr:col>1</xdr:col>
      <xdr:colOff>1074964</xdr:colOff>
      <xdr:row>30</xdr:row>
      <xdr:rowOff>35378</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DB797D45-35B6-4177-A38B-FC57645DDC4A}"/>
            </a:ext>
          </a:extLst>
        </xdr:cNvPr>
        <xdr:cNvSpPr/>
      </xdr:nvSpPr>
      <xdr:spPr>
        <a:xfrm>
          <a:off x="76200" y="50863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31</xdr:row>
      <xdr:rowOff>104775</xdr:rowOff>
    </xdr:from>
    <xdr:to>
      <xdr:col>1</xdr:col>
      <xdr:colOff>1055914</xdr:colOff>
      <xdr:row>35</xdr:row>
      <xdr:rowOff>6803</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E402D25E-3693-4A59-8F9D-FDE0AB6380C1}"/>
            </a:ext>
          </a:extLst>
        </xdr:cNvPr>
        <xdr:cNvSpPr/>
      </xdr:nvSpPr>
      <xdr:spPr>
        <a:xfrm>
          <a:off x="57150" y="60102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22</xdr:row>
      <xdr:rowOff>38100</xdr:rowOff>
    </xdr:from>
    <xdr:to>
      <xdr:col>1</xdr:col>
      <xdr:colOff>1074964</xdr:colOff>
      <xdr:row>25</xdr:row>
      <xdr:rowOff>130628</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5691B83D-13C2-43EC-88E3-421A7460F18D}"/>
            </a:ext>
          </a:extLst>
        </xdr:cNvPr>
        <xdr:cNvSpPr/>
      </xdr:nvSpPr>
      <xdr:spPr>
        <a:xfrm>
          <a:off x="76200" y="42291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17</xdr:row>
      <xdr:rowOff>57150</xdr:rowOff>
    </xdr:from>
    <xdr:to>
      <xdr:col>1</xdr:col>
      <xdr:colOff>1065439</xdr:colOff>
      <xdr:row>20</xdr:row>
      <xdr:rowOff>149678</xdr:rowOff>
    </xdr:to>
    <xdr:sp macro="" textlink="">
      <xdr:nvSpPr>
        <xdr:cNvPr id="11" name="Rectangle: Rounded Corners 10">
          <a:hlinkClick xmlns:r="http://schemas.openxmlformats.org/officeDocument/2006/relationships" r:id="rId9"/>
          <a:extLst>
            <a:ext uri="{FF2B5EF4-FFF2-40B4-BE49-F238E27FC236}">
              <a16:creationId xmlns:a16="http://schemas.microsoft.com/office/drawing/2014/main" id="{6404101D-9097-40A5-B144-8A01D931BFFF}"/>
            </a:ext>
          </a:extLst>
        </xdr:cNvPr>
        <xdr:cNvSpPr/>
      </xdr:nvSpPr>
      <xdr:spPr>
        <a:xfrm>
          <a:off x="66675" y="32956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11</xdr:row>
      <xdr:rowOff>152400</xdr:rowOff>
    </xdr:from>
    <xdr:to>
      <xdr:col>1</xdr:col>
      <xdr:colOff>1055914</xdr:colOff>
      <xdr:row>15</xdr:row>
      <xdr:rowOff>54428</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016A8021-1348-4B55-8B1A-9C863FEA2264}"/>
            </a:ext>
          </a:extLst>
        </xdr:cNvPr>
        <xdr:cNvSpPr/>
      </xdr:nvSpPr>
      <xdr:spPr>
        <a:xfrm>
          <a:off x="57150" y="22479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6</xdr:row>
      <xdr:rowOff>161925</xdr:rowOff>
    </xdr:from>
    <xdr:to>
      <xdr:col>1</xdr:col>
      <xdr:colOff>1065439</xdr:colOff>
      <xdr:row>10</xdr:row>
      <xdr:rowOff>63953</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326D8CC1-2246-4D13-A462-D97D717F22F4}"/>
            </a:ext>
          </a:extLst>
        </xdr:cNvPr>
        <xdr:cNvSpPr/>
      </xdr:nvSpPr>
      <xdr:spPr>
        <a:xfrm>
          <a:off x="66675" y="13049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1</xdr:row>
      <xdr:rowOff>142875</xdr:rowOff>
    </xdr:from>
    <xdr:to>
      <xdr:col>1</xdr:col>
      <xdr:colOff>1028700</xdr:colOff>
      <xdr:row>4</xdr:row>
      <xdr:rowOff>180975</xdr:rowOff>
    </xdr:to>
    <xdr:sp macro="" textlink="">
      <xdr:nvSpPr>
        <xdr:cNvPr id="17" name="Rectangle: Rounded Corners 16">
          <a:extLst>
            <a:ext uri="{FF2B5EF4-FFF2-40B4-BE49-F238E27FC236}">
              <a16:creationId xmlns:a16="http://schemas.microsoft.com/office/drawing/2014/main" id="{48AC1D69-AA98-4096-9A45-76BE801F72A0}"/>
            </a:ext>
          </a:extLst>
        </xdr:cNvPr>
        <xdr:cNvSpPr/>
      </xdr:nvSpPr>
      <xdr:spPr>
        <a:xfrm>
          <a:off x="85725" y="333375"/>
          <a:ext cx="2133600" cy="6096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866775</xdr:colOff>
      <xdr:row>1</xdr:row>
      <xdr:rowOff>133350</xdr:rowOff>
    </xdr:from>
    <xdr:to>
      <xdr:col>1</xdr:col>
      <xdr:colOff>1038225</xdr:colOff>
      <xdr:row>4</xdr:row>
      <xdr:rowOff>180975</xdr:rowOff>
    </xdr:to>
    <xdr:sp macro="" textlink="">
      <xdr:nvSpPr>
        <xdr:cNvPr id="18" name="Rectangle 17">
          <a:extLst>
            <a:ext uri="{FF2B5EF4-FFF2-40B4-BE49-F238E27FC236}">
              <a16:creationId xmlns:a16="http://schemas.microsoft.com/office/drawing/2014/main" id="{DFFC7197-EE6A-4ADA-BE1B-F9B095F21E69}"/>
            </a:ext>
          </a:extLst>
        </xdr:cNvPr>
        <xdr:cNvSpPr/>
      </xdr:nvSpPr>
      <xdr:spPr>
        <a:xfrm>
          <a:off x="866775" y="323850"/>
          <a:ext cx="1362075" cy="619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n>
                <a:noFill/>
              </a:ln>
              <a:solidFill>
                <a:schemeClr val="accent6">
                  <a:lumMod val="50000"/>
                </a:schemeClr>
              </a:solidFill>
              <a:latin typeface="Bahnschrift SemiBold SemiConden" panose="020B0502040204020203" pitchFamily="34" charset="0"/>
            </a:rPr>
            <a:t>Ocean Super Market</a:t>
          </a:r>
        </a:p>
      </xdr:txBody>
    </xdr:sp>
    <xdr:clientData/>
  </xdr:twoCellAnchor>
  <xdr:twoCellAnchor editAs="oneCell">
    <xdr:from>
      <xdr:col>0</xdr:col>
      <xdr:colOff>104775</xdr:colOff>
      <xdr:row>7</xdr:row>
      <xdr:rowOff>85725</xdr:rowOff>
    </xdr:from>
    <xdr:to>
      <xdr:col>0</xdr:col>
      <xdr:colOff>657224</xdr:colOff>
      <xdr:row>10</xdr:row>
      <xdr:rowOff>66674</xdr:rowOff>
    </xdr:to>
    <xdr:pic>
      <xdr:nvPicPr>
        <xdr:cNvPr id="20" name="Picture 19">
          <a:hlinkClick xmlns:r="http://schemas.openxmlformats.org/officeDocument/2006/relationships" r:id="rId10"/>
          <a:extLst>
            <a:ext uri="{FF2B5EF4-FFF2-40B4-BE49-F238E27FC236}">
              <a16:creationId xmlns:a16="http://schemas.microsoft.com/office/drawing/2014/main" id="{3DFEB7A0-0789-4BC9-81C5-5E4AD66768C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10800000" flipV="1">
          <a:off x="104775" y="1419225"/>
          <a:ext cx="552449" cy="552449"/>
        </a:xfrm>
        <a:prstGeom prst="rect">
          <a:avLst/>
        </a:prstGeom>
      </xdr:spPr>
    </xdr:pic>
    <xdr:clientData/>
  </xdr:twoCellAnchor>
  <xdr:twoCellAnchor>
    <xdr:from>
      <xdr:col>0</xdr:col>
      <xdr:colOff>876300</xdr:colOff>
      <xdr:row>11</xdr:row>
      <xdr:rowOff>142875</xdr:rowOff>
    </xdr:from>
    <xdr:to>
      <xdr:col>1</xdr:col>
      <xdr:colOff>1095375</xdr:colOff>
      <xdr:row>15</xdr:row>
      <xdr:rowOff>114300</xdr:rowOff>
    </xdr:to>
    <xdr:sp macro="" textlink="">
      <xdr:nvSpPr>
        <xdr:cNvPr id="24" name="TextBox 23">
          <a:hlinkClick xmlns:r="http://schemas.openxmlformats.org/officeDocument/2006/relationships" r:id="rId4"/>
          <a:extLst>
            <a:ext uri="{FF2B5EF4-FFF2-40B4-BE49-F238E27FC236}">
              <a16:creationId xmlns:a16="http://schemas.microsoft.com/office/drawing/2014/main" id="{1AA54B28-F3FD-4D5F-860C-1344C5CC8E81}"/>
            </a:ext>
          </a:extLst>
        </xdr:cNvPr>
        <xdr:cNvSpPr txBox="1"/>
      </xdr:nvSpPr>
      <xdr:spPr>
        <a:xfrm>
          <a:off x="876300" y="2238375"/>
          <a:ext cx="14097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Executive</a:t>
          </a:r>
          <a:r>
            <a:rPr lang="en-IN" sz="1800" b="1" baseline="0">
              <a:solidFill>
                <a:schemeClr val="bg1"/>
              </a:solidFill>
            </a:rPr>
            <a:t> Summary</a:t>
          </a:r>
          <a:endParaRPr lang="en-IN" sz="1800" b="1">
            <a:solidFill>
              <a:schemeClr val="bg1"/>
            </a:solidFill>
          </a:endParaRPr>
        </a:p>
      </xdr:txBody>
    </xdr:sp>
    <xdr:clientData/>
  </xdr:twoCellAnchor>
  <xdr:twoCellAnchor>
    <xdr:from>
      <xdr:col>0</xdr:col>
      <xdr:colOff>790575</xdr:colOff>
      <xdr:row>7</xdr:row>
      <xdr:rowOff>104775</xdr:rowOff>
    </xdr:from>
    <xdr:to>
      <xdr:col>1</xdr:col>
      <xdr:colOff>962025</xdr:colOff>
      <xdr:row>9</xdr:row>
      <xdr:rowOff>76200</xdr:rowOff>
    </xdr:to>
    <xdr:sp macro="" textlink="">
      <xdr:nvSpPr>
        <xdr:cNvPr id="25" name="TextBox 24">
          <a:hlinkClick xmlns:r="http://schemas.openxmlformats.org/officeDocument/2006/relationships" r:id="rId10"/>
          <a:extLst>
            <a:ext uri="{FF2B5EF4-FFF2-40B4-BE49-F238E27FC236}">
              <a16:creationId xmlns:a16="http://schemas.microsoft.com/office/drawing/2014/main" id="{93747E47-381A-48FE-8331-7E44975EB1CF}"/>
            </a:ext>
          </a:extLst>
        </xdr:cNvPr>
        <xdr:cNvSpPr txBox="1"/>
      </xdr:nvSpPr>
      <xdr:spPr>
        <a:xfrm>
          <a:off x="790575" y="1438275"/>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editAs="oneCell">
    <xdr:from>
      <xdr:col>0</xdr:col>
      <xdr:colOff>152400</xdr:colOff>
      <xdr:row>11</xdr:row>
      <xdr:rowOff>85725</xdr:rowOff>
    </xdr:from>
    <xdr:to>
      <xdr:col>0</xdr:col>
      <xdr:colOff>749059</xdr:colOff>
      <xdr:row>15</xdr:row>
      <xdr:rowOff>114299</xdr:rowOff>
    </xdr:to>
    <xdr:pic>
      <xdr:nvPicPr>
        <xdr:cNvPr id="26" name="Picture 25">
          <a:hlinkClick xmlns:r="http://schemas.openxmlformats.org/officeDocument/2006/relationships" r:id="rId4"/>
          <a:extLst>
            <a:ext uri="{FF2B5EF4-FFF2-40B4-BE49-F238E27FC236}">
              <a16:creationId xmlns:a16="http://schemas.microsoft.com/office/drawing/2014/main" id="{DBAAE805-E898-472D-A3C4-51508DD312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00" y="2181225"/>
          <a:ext cx="596659" cy="790574"/>
        </a:xfrm>
        <a:prstGeom prst="rect">
          <a:avLst/>
        </a:prstGeom>
      </xdr:spPr>
    </xdr:pic>
    <xdr:clientData/>
  </xdr:twoCellAnchor>
  <xdr:twoCellAnchor>
    <xdr:from>
      <xdr:col>0</xdr:col>
      <xdr:colOff>647700</xdr:colOff>
      <xdr:row>31</xdr:row>
      <xdr:rowOff>95250</xdr:rowOff>
    </xdr:from>
    <xdr:to>
      <xdr:col>1</xdr:col>
      <xdr:colOff>1162050</xdr:colOff>
      <xdr:row>34</xdr:row>
      <xdr:rowOff>180975</xdr:rowOff>
    </xdr:to>
    <xdr:sp macro="" textlink="">
      <xdr:nvSpPr>
        <xdr:cNvPr id="28" name="TextBox 27">
          <a:hlinkClick xmlns:r="http://schemas.openxmlformats.org/officeDocument/2006/relationships" r:id="rId7"/>
          <a:extLst>
            <a:ext uri="{FF2B5EF4-FFF2-40B4-BE49-F238E27FC236}">
              <a16:creationId xmlns:a16="http://schemas.microsoft.com/office/drawing/2014/main" id="{1D7E78AC-31EB-4B8E-BB79-5495DE7A6457}"/>
            </a:ext>
          </a:extLst>
        </xdr:cNvPr>
        <xdr:cNvSpPr txBox="1"/>
      </xdr:nvSpPr>
      <xdr:spPr>
        <a:xfrm>
          <a:off x="647700" y="6000750"/>
          <a:ext cx="17049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Payment&amp;Time</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85725</xdr:colOff>
      <xdr:row>31</xdr:row>
      <xdr:rowOff>133350</xdr:rowOff>
    </xdr:from>
    <xdr:to>
      <xdr:col>0</xdr:col>
      <xdr:colOff>714374</xdr:colOff>
      <xdr:row>34</xdr:row>
      <xdr:rowOff>190499</xdr:rowOff>
    </xdr:to>
    <xdr:pic>
      <xdr:nvPicPr>
        <xdr:cNvPr id="29" name="Picture 28">
          <a:hlinkClick xmlns:r="http://schemas.openxmlformats.org/officeDocument/2006/relationships" r:id="rId7"/>
          <a:extLst>
            <a:ext uri="{FF2B5EF4-FFF2-40B4-BE49-F238E27FC236}">
              <a16:creationId xmlns:a16="http://schemas.microsoft.com/office/drawing/2014/main" id="{DB902A78-4E3F-4C05-90FE-005A62525E4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5725" y="6038850"/>
          <a:ext cx="628649" cy="628649"/>
        </a:xfrm>
        <a:prstGeom prst="rect">
          <a:avLst/>
        </a:prstGeom>
      </xdr:spPr>
    </xdr:pic>
    <xdr:clientData/>
  </xdr:twoCellAnchor>
  <xdr:twoCellAnchor>
    <xdr:from>
      <xdr:col>0</xdr:col>
      <xdr:colOff>628650</xdr:colOff>
      <xdr:row>26</xdr:row>
      <xdr:rowOff>171450</xdr:rowOff>
    </xdr:from>
    <xdr:to>
      <xdr:col>1</xdr:col>
      <xdr:colOff>1190625</xdr:colOff>
      <xdr:row>30</xdr:row>
      <xdr:rowOff>104775</xdr:rowOff>
    </xdr:to>
    <xdr:sp macro="" textlink="">
      <xdr:nvSpPr>
        <xdr:cNvPr id="30" name="TextBox 29">
          <a:hlinkClick xmlns:r="http://schemas.openxmlformats.org/officeDocument/2006/relationships" r:id="rId6"/>
          <a:extLst>
            <a:ext uri="{FF2B5EF4-FFF2-40B4-BE49-F238E27FC236}">
              <a16:creationId xmlns:a16="http://schemas.microsoft.com/office/drawing/2014/main" id="{07FA2ED0-4948-48E1-9F1B-E345ACCA8770}"/>
            </a:ext>
          </a:extLst>
        </xdr:cNvPr>
        <xdr:cNvSpPr txBox="1"/>
      </xdr:nvSpPr>
      <xdr:spPr>
        <a:xfrm>
          <a:off x="628650" y="5124450"/>
          <a:ext cx="17526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Product&amp;Pricing</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57150</xdr:colOff>
      <xdr:row>26</xdr:row>
      <xdr:rowOff>152400</xdr:rowOff>
    </xdr:from>
    <xdr:to>
      <xdr:col>0</xdr:col>
      <xdr:colOff>714375</xdr:colOff>
      <xdr:row>29</xdr:row>
      <xdr:rowOff>171664</xdr:rowOff>
    </xdr:to>
    <xdr:pic>
      <xdr:nvPicPr>
        <xdr:cNvPr id="31" name="Picture 30">
          <a:hlinkClick xmlns:r="http://schemas.openxmlformats.org/officeDocument/2006/relationships" r:id="rId6"/>
          <a:extLst>
            <a:ext uri="{FF2B5EF4-FFF2-40B4-BE49-F238E27FC236}">
              <a16:creationId xmlns:a16="http://schemas.microsoft.com/office/drawing/2014/main" id="{5194F2E7-6D8E-4FEB-8C10-3A14BC322EF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7150" y="5105400"/>
          <a:ext cx="657225" cy="590764"/>
        </a:xfrm>
        <a:prstGeom prst="rect">
          <a:avLst/>
        </a:prstGeom>
      </xdr:spPr>
    </xdr:pic>
    <xdr:clientData/>
  </xdr:twoCellAnchor>
  <xdr:twoCellAnchor>
    <xdr:from>
      <xdr:col>0</xdr:col>
      <xdr:colOff>895350</xdr:colOff>
      <xdr:row>17</xdr:row>
      <xdr:rowOff>57150</xdr:rowOff>
    </xdr:from>
    <xdr:to>
      <xdr:col>1</xdr:col>
      <xdr:colOff>1143000</xdr:colOff>
      <xdr:row>21</xdr:row>
      <xdr:rowOff>57150</xdr:rowOff>
    </xdr:to>
    <xdr:sp macro="" textlink="">
      <xdr:nvSpPr>
        <xdr:cNvPr id="32" name="TextBox 31">
          <a:hlinkClick xmlns:r="http://schemas.openxmlformats.org/officeDocument/2006/relationships" r:id="rId9"/>
          <a:extLst>
            <a:ext uri="{FF2B5EF4-FFF2-40B4-BE49-F238E27FC236}">
              <a16:creationId xmlns:a16="http://schemas.microsoft.com/office/drawing/2014/main" id="{C916E951-2ABB-440D-A297-0819F5F32540}"/>
            </a:ext>
          </a:extLst>
        </xdr:cNvPr>
        <xdr:cNvSpPr txBox="1"/>
      </xdr:nvSpPr>
      <xdr:spPr>
        <a:xfrm>
          <a:off x="895350" y="3295650"/>
          <a:ext cx="14382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Performance</a:t>
          </a:r>
        </a:p>
      </xdr:txBody>
    </xdr:sp>
    <xdr:clientData/>
  </xdr:twoCellAnchor>
  <xdr:twoCellAnchor editAs="oneCell">
    <xdr:from>
      <xdr:col>0</xdr:col>
      <xdr:colOff>161925</xdr:colOff>
      <xdr:row>17</xdr:row>
      <xdr:rowOff>123825</xdr:rowOff>
    </xdr:from>
    <xdr:to>
      <xdr:col>0</xdr:col>
      <xdr:colOff>819150</xdr:colOff>
      <xdr:row>20</xdr:row>
      <xdr:rowOff>28375</xdr:rowOff>
    </xdr:to>
    <xdr:pic>
      <xdr:nvPicPr>
        <xdr:cNvPr id="33" name="Picture 32">
          <a:hlinkClick xmlns:r="http://schemas.openxmlformats.org/officeDocument/2006/relationships" r:id="rId9"/>
          <a:extLst>
            <a:ext uri="{FF2B5EF4-FFF2-40B4-BE49-F238E27FC236}">
              <a16:creationId xmlns:a16="http://schemas.microsoft.com/office/drawing/2014/main" id="{4B15678E-C410-44FD-A5A2-7E95650F4A9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1925" y="3362325"/>
          <a:ext cx="657225" cy="476050"/>
        </a:xfrm>
        <a:prstGeom prst="rect">
          <a:avLst/>
        </a:prstGeom>
      </xdr:spPr>
    </xdr:pic>
    <xdr:clientData/>
  </xdr:twoCellAnchor>
  <xdr:twoCellAnchor>
    <xdr:from>
      <xdr:col>0</xdr:col>
      <xdr:colOff>1009650</xdr:colOff>
      <xdr:row>22</xdr:row>
      <xdr:rowOff>47625</xdr:rowOff>
    </xdr:from>
    <xdr:to>
      <xdr:col>1</xdr:col>
      <xdr:colOff>1171575</xdr:colOff>
      <xdr:row>26</xdr:row>
      <xdr:rowOff>9524</xdr:rowOff>
    </xdr:to>
    <xdr:sp macro="" textlink="">
      <xdr:nvSpPr>
        <xdr:cNvPr id="34" name="TextBox 33">
          <a:hlinkClick xmlns:r="http://schemas.openxmlformats.org/officeDocument/2006/relationships" r:id="rId8"/>
          <a:extLst>
            <a:ext uri="{FF2B5EF4-FFF2-40B4-BE49-F238E27FC236}">
              <a16:creationId xmlns:a16="http://schemas.microsoft.com/office/drawing/2014/main" id="{81C3E338-5F1B-46DC-B26D-3A543F77F47A}"/>
            </a:ext>
          </a:extLst>
        </xdr:cNvPr>
        <xdr:cNvSpPr txBox="1"/>
      </xdr:nvSpPr>
      <xdr:spPr>
        <a:xfrm>
          <a:off x="1009650" y="4238625"/>
          <a:ext cx="135255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Insights</a:t>
          </a:r>
        </a:p>
      </xdr:txBody>
    </xdr:sp>
    <xdr:clientData/>
  </xdr:twoCellAnchor>
  <xdr:twoCellAnchor>
    <xdr:from>
      <xdr:col>0</xdr:col>
      <xdr:colOff>133350</xdr:colOff>
      <xdr:row>22</xdr:row>
      <xdr:rowOff>66675</xdr:rowOff>
    </xdr:from>
    <xdr:to>
      <xdr:col>0</xdr:col>
      <xdr:colOff>857250</xdr:colOff>
      <xdr:row>25</xdr:row>
      <xdr:rowOff>123825</xdr:rowOff>
    </xdr:to>
    <xdr:sp macro="" textlink="">
      <xdr:nvSpPr>
        <xdr:cNvPr id="36" name="Oval 35">
          <a:extLst>
            <a:ext uri="{FF2B5EF4-FFF2-40B4-BE49-F238E27FC236}">
              <a16:creationId xmlns:a16="http://schemas.microsoft.com/office/drawing/2014/main" id="{EBC8E5F7-04C0-49AC-99F7-CA59984BDC7F}"/>
            </a:ext>
          </a:extLst>
        </xdr:cNvPr>
        <xdr:cNvSpPr/>
      </xdr:nvSpPr>
      <xdr:spPr>
        <a:xfrm>
          <a:off x="133350" y="4257675"/>
          <a:ext cx="723900" cy="6286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22</xdr:row>
      <xdr:rowOff>152400</xdr:rowOff>
    </xdr:from>
    <xdr:to>
      <xdr:col>0</xdr:col>
      <xdr:colOff>841635</xdr:colOff>
      <xdr:row>25</xdr:row>
      <xdr:rowOff>38099</xdr:rowOff>
    </xdr:to>
    <xdr:pic>
      <xdr:nvPicPr>
        <xdr:cNvPr id="35" name="Picture 34">
          <a:hlinkClick xmlns:r="http://schemas.openxmlformats.org/officeDocument/2006/relationships" r:id="rId8"/>
          <a:extLst>
            <a:ext uri="{FF2B5EF4-FFF2-40B4-BE49-F238E27FC236}">
              <a16:creationId xmlns:a16="http://schemas.microsoft.com/office/drawing/2014/main" id="{610F9CEE-118D-4DAF-AEA2-E17D67A097B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57175" y="4343400"/>
          <a:ext cx="584460" cy="457199"/>
        </a:xfrm>
        <a:prstGeom prst="rect">
          <a:avLst/>
        </a:prstGeom>
      </xdr:spPr>
    </xdr:pic>
    <xdr:clientData/>
  </xdr:twoCellAnchor>
  <xdr:twoCellAnchor>
    <xdr:from>
      <xdr:col>0</xdr:col>
      <xdr:colOff>180975</xdr:colOff>
      <xdr:row>2</xdr:row>
      <xdr:rowOff>0</xdr:rowOff>
    </xdr:from>
    <xdr:to>
      <xdr:col>0</xdr:col>
      <xdr:colOff>723900</xdr:colOff>
      <xdr:row>4</xdr:row>
      <xdr:rowOff>133350</xdr:rowOff>
    </xdr:to>
    <xdr:sp macro="" textlink="">
      <xdr:nvSpPr>
        <xdr:cNvPr id="39" name="Oval 38">
          <a:extLst>
            <a:ext uri="{FF2B5EF4-FFF2-40B4-BE49-F238E27FC236}">
              <a16:creationId xmlns:a16="http://schemas.microsoft.com/office/drawing/2014/main" id="{39EAD9C1-26DB-45FD-BDAD-CA08ACBF6265}"/>
            </a:ext>
          </a:extLst>
        </xdr:cNvPr>
        <xdr:cNvSpPr/>
      </xdr:nvSpPr>
      <xdr:spPr>
        <a:xfrm>
          <a:off x="180975" y="381000"/>
          <a:ext cx="542925" cy="51435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209550</xdr:colOff>
      <xdr:row>2</xdr:row>
      <xdr:rowOff>0</xdr:rowOff>
    </xdr:from>
    <xdr:to>
      <xdr:col>0</xdr:col>
      <xdr:colOff>771525</xdr:colOff>
      <xdr:row>4</xdr:row>
      <xdr:rowOff>137266</xdr:rowOff>
    </xdr:to>
    <xdr:pic>
      <xdr:nvPicPr>
        <xdr:cNvPr id="38" name="Picture 37">
          <a:extLst>
            <a:ext uri="{FF2B5EF4-FFF2-40B4-BE49-F238E27FC236}">
              <a16:creationId xmlns:a16="http://schemas.microsoft.com/office/drawing/2014/main" id="{CE2A37AD-1E54-4A38-B199-54318F0F7F9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9550" y="381000"/>
          <a:ext cx="561975" cy="518266"/>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1790700</xdr:colOff>
      <xdr:row>11</xdr:row>
      <xdr:rowOff>161924</xdr:rowOff>
    </xdr:from>
    <xdr:to>
      <xdr:col>8</xdr:col>
      <xdr:colOff>114301</xdr:colOff>
      <xdr:row>28</xdr:row>
      <xdr:rowOff>57149</xdr:rowOff>
    </xdr:to>
    <xdr:graphicFrame macro="">
      <xdr:nvGraphicFramePr>
        <xdr:cNvPr id="2" name="Chart 1">
          <a:extLst>
            <a:ext uri="{FF2B5EF4-FFF2-40B4-BE49-F238E27FC236}">
              <a16:creationId xmlns:a16="http://schemas.microsoft.com/office/drawing/2014/main" id="{23C231B9-AED3-E653-D78A-009308095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219076</xdr:colOff>
      <xdr:row>12</xdr:row>
      <xdr:rowOff>9525</xdr:rowOff>
    </xdr:from>
    <xdr:to>
      <xdr:col>15</xdr:col>
      <xdr:colOff>200025</xdr:colOff>
      <xdr:row>28</xdr:row>
      <xdr:rowOff>57149</xdr:rowOff>
    </xdr:to>
    <xdr:graphicFrame macro="">
      <xdr:nvGraphicFramePr>
        <xdr:cNvPr id="3" name="Chart 2">
          <a:extLst>
            <a:ext uri="{FF2B5EF4-FFF2-40B4-BE49-F238E27FC236}">
              <a16:creationId xmlns:a16="http://schemas.microsoft.com/office/drawing/2014/main" id="{34EA9C16-4A6F-74B5-E64B-9CF082443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266699</xdr:colOff>
      <xdr:row>0</xdr:row>
      <xdr:rowOff>114301</xdr:rowOff>
    </xdr:from>
    <xdr:to>
      <xdr:col>7</xdr:col>
      <xdr:colOff>66674</xdr:colOff>
      <xdr:row>11</xdr:row>
      <xdr:rowOff>114300</xdr:rowOff>
    </xdr:to>
    <mc:AlternateContent xmlns:mc="http://schemas.openxmlformats.org/markup-compatibility/2006" xmlns:a14="http://schemas.microsoft.com/office/drawing/2010/main">
      <mc:Choice Requires="a14">
        <xdr:graphicFrame macro="">
          <xdr:nvGraphicFramePr>
            <xdr:cNvPr id="7" name="Product Type">
              <a:extLst>
                <a:ext uri="{FF2B5EF4-FFF2-40B4-BE49-F238E27FC236}">
                  <a16:creationId xmlns:a16="http://schemas.microsoft.com/office/drawing/2014/main" id="{B547D65C-405C-6925-D6AB-F6652823310C}"/>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4686299" y="114301"/>
              <a:ext cx="2466975"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285750</xdr:colOff>
      <xdr:row>1</xdr:row>
      <xdr:rowOff>161926</xdr:rowOff>
    </xdr:from>
    <xdr:to>
      <xdr:col>9</xdr:col>
      <xdr:colOff>438150</xdr:colOff>
      <xdr:row>8</xdr:row>
      <xdr:rowOff>57150</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EB3CAF03-6856-851B-80A8-552EB7959FA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372350" y="352426"/>
              <a:ext cx="1828800" cy="1228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38100</xdr:rowOff>
    </xdr:from>
    <xdr:to>
      <xdr:col>1</xdr:col>
      <xdr:colOff>1666875</xdr:colOff>
      <xdr:row>32</xdr:row>
      <xdr:rowOff>171450</xdr:rowOff>
    </xdr:to>
    <xdr:sp macro="" textlink="">
      <xdr:nvSpPr>
        <xdr:cNvPr id="8" name="Rectangle: Rounded Corners 7">
          <a:extLst>
            <a:ext uri="{FF2B5EF4-FFF2-40B4-BE49-F238E27FC236}">
              <a16:creationId xmlns:a16="http://schemas.microsoft.com/office/drawing/2014/main" id="{50CE2264-C622-44CC-8A52-2EF4D2920B3F}"/>
            </a:ext>
          </a:extLst>
        </xdr:cNvPr>
        <xdr:cNvSpPr/>
      </xdr:nvSpPr>
      <xdr:spPr>
        <a:xfrm>
          <a:off x="38100" y="38100"/>
          <a:ext cx="2238375" cy="6229350"/>
        </a:xfrm>
        <a:prstGeom prst="roundRect">
          <a:avLst>
            <a:gd name="adj" fmla="val 587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16</xdr:row>
      <xdr:rowOff>0</xdr:rowOff>
    </xdr:from>
    <xdr:to>
      <xdr:col>1</xdr:col>
      <xdr:colOff>1751239</xdr:colOff>
      <xdr:row>19</xdr:row>
      <xdr:rowOff>92528</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6D7CA617-825B-4259-856C-1CCB8D134BB6}"/>
            </a:ext>
          </a:extLst>
        </xdr:cNvPr>
        <xdr:cNvSpPr/>
      </xdr:nvSpPr>
      <xdr:spPr>
        <a:xfrm>
          <a:off x="171450" y="3048000"/>
          <a:ext cx="2189389" cy="66402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24</xdr:row>
      <xdr:rowOff>85725</xdr:rowOff>
    </xdr:from>
    <xdr:to>
      <xdr:col>1</xdr:col>
      <xdr:colOff>1627414</xdr:colOff>
      <xdr:row>27</xdr:row>
      <xdr:rowOff>178253</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DFB4EC8C-48EF-4042-B5E3-E0A857F2691E}"/>
            </a:ext>
          </a:extLst>
        </xdr:cNvPr>
        <xdr:cNvSpPr/>
      </xdr:nvSpPr>
      <xdr:spPr>
        <a:xfrm>
          <a:off x="47625" y="46577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15</xdr:row>
      <xdr:rowOff>19050</xdr:rowOff>
    </xdr:from>
    <xdr:to>
      <xdr:col>1</xdr:col>
      <xdr:colOff>1627414</xdr:colOff>
      <xdr:row>18</xdr:row>
      <xdr:rowOff>111578</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99AD0D15-CF55-418D-BDBE-1CE1700191E8}"/>
            </a:ext>
          </a:extLst>
        </xdr:cNvPr>
        <xdr:cNvSpPr/>
      </xdr:nvSpPr>
      <xdr:spPr>
        <a:xfrm>
          <a:off x="47625" y="28765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20</xdr:row>
      <xdr:rowOff>38100</xdr:rowOff>
    </xdr:from>
    <xdr:to>
      <xdr:col>1</xdr:col>
      <xdr:colOff>1646464</xdr:colOff>
      <xdr:row>23</xdr:row>
      <xdr:rowOff>130628</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C981BF51-F6B4-4C8F-ADE1-AF509C34727A}"/>
            </a:ext>
          </a:extLst>
        </xdr:cNvPr>
        <xdr:cNvSpPr/>
      </xdr:nvSpPr>
      <xdr:spPr>
        <a:xfrm>
          <a:off x="66675" y="38481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6</xdr:row>
      <xdr:rowOff>95250</xdr:rowOff>
    </xdr:from>
    <xdr:to>
      <xdr:col>1</xdr:col>
      <xdr:colOff>1627414</xdr:colOff>
      <xdr:row>9</xdr:row>
      <xdr:rowOff>187778</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93BF1CFF-30D9-4A79-BBB7-7F136BDD743B}"/>
            </a:ext>
          </a:extLst>
        </xdr:cNvPr>
        <xdr:cNvSpPr/>
      </xdr:nvSpPr>
      <xdr:spPr>
        <a:xfrm>
          <a:off x="47625" y="12382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10</xdr:row>
      <xdr:rowOff>152400</xdr:rowOff>
    </xdr:from>
    <xdr:to>
      <xdr:col>1</xdr:col>
      <xdr:colOff>1636939</xdr:colOff>
      <xdr:row>14</xdr:row>
      <xdr:rowOff>54428</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0C52C541-2C0B-424B-94A9-DD4A13CD19A0}"/>
            </a:ext>
          </a:extLst>
        </xdr:cNvPr>
        <xdr:cNvSpPr/>
      </xdr:nvSpPr>
      <xdr:spPr>
        <a:xfrm>
          <a:off x="57150" y="20574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xdr:row>
      <xdr:rowOff>161925</xdr:rowOff>
    </xdr:from>
    <xdr:to>
      <xdr:col>1</xdr:col>
      <xdr:colOff>1636939</xdr:colOff>
      <xdr:row>5</xdr:row>
      <xdr:rowOff>63953</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8E0820F3-F7A6-4147-8AA3-75B0B4E001E0}"/>
            </a:ext>
          </a:extLst>
        </xdr:cNvPr>
        <xdr:cNvSpPr/>
      </xdr:nvSpPr>
      <xdr:spPr>
        <a:xfrm>
          <a:off x="57150" y="3524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295275</xdr:colOff>
      <xdr:row>1</xdr:row>
      <xdr:rowOff>161926</xdr:rowOff>
    </xdr:from>
    <xdr:to>
      <xdr:col>1</xdr:col>
      <xdr:colOff>1657350</xdr:colOff>
      <xdr:row>5</xdr:row>
      <xdr:rowOff>85726</xdr:rowOff>
    </xdr:to>
    <xdr:sp macro="" textlink="">
      <xdr:nvSpPr>
        <xdr:cNvPr id="14" name="Rectangle 13">
          <a:extLst>
            <a:ext uri="{FF2B5EF4-FFF2-40B4-BE49-F238E27FC236}">
              <a16:creationId xmlns:a16="http://schemas.microsoft.com/office/drawing/2014/main" id="{4DA4C1DB-42BA-466A-B446-A9171B47E178}"/>
            </a:ext>
          </a:extLst>
        </xdr:cNvPr>
        <xdr:cNvSpPr/>
      </xdr:nvSpPr>
      <xdr:spPr>
        <a:xfrm>
          <a:off x="904875" y="352426"/>
          <a:ext cx="1362075"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n>
                <a:noFill/>
              </a:ln>
              <a:solidFill>
                <a:schemeClr val="accent6">
                  <a:lumMod val="50000"/>
                </a:schemeClr>
              </a:solidFill>
              <a:latin typeface="Bahnschrift SemiBold SemiConden" panose="020B0502040204020203" pitchFamily="34" charset="0"/>
            </a:rPr>
            <a:t>Ocean Super Market</a:t>
          </a:r>
        </a:p>
      </xdr:txBody>
    </xdr:sp>
    <xdr:clientData/>
  </xdr:twoCellAnchor>
  <xdr:twoCellAnchor editAs="oneCell">
    <xdr:from>
      <xdr:col>0</xdr:col>
      <xdr:colOff>76200</xdr:colOff>
      <xdr:row>7</xdr:row>
      <xdr:rowOff>9525</xdr:rowOff>
    </xdr:from>
    <xdr:to>
      <xdr:col>1</xdr:col>
      <xdr:colOff>19049</xdr:colOff>
      <xdr:row>9</xdr:row>
      <xdr:rowOff>180974</xdr:rowOff>
    </xdr:to>
    <xdr:pic>
      <xdr:nvPicPr>
        <xdr:cNvPr id="16" name="Picture 15">
          <a:hlinkClick xmlns:r="http://schemas.openxmlformats.org/officeDocument/2006/relationships" r:id="rId6"/>
          <a:extLst>
            <a:ext uri="{FF2B5EF4-FFF2-40B4-BE49-F238E27FC236}">
              <a16:creationId xmlns:a16="http://schemas.microsoft.com/office/drawing/2014/main" id="{F2BAD2C6-FF54-47B3-A027-270D025895D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flipV="1">
          <a:off x="76200" y="1343025"/>
          <a:ext cx="552449" cy="552449"/>
        </a:xfrm>
        <a:prstGeom prst="rect">
          <a:avLst/>
        </a:prstGeom>
      </xdr:spPr>
    </xdr:pic>
    <xdr:clientData/>
  </xdr:twoCellAnchor>
  <xdr:twoCellAnchor>
    <xdr:from>
      <xdr:col>1</xdr:col>
      <xdr:colOff>247650</xdr:colOff>
      <xdr:row>10</xdr:row>
      <xdr:rowOff>142875</xdr:rowOff>
    </xdr:from>
    <xdr:to>
      <xdr:col>1</xdr:col>
      <xdr:colOff>1657350</xdr:colOff>
      <xdr:row>14</xdr:row>
      <xdr:rowOff>114300</xdr:rowOff>
    </xdr:to>
    <xdr:sp macro="" textlink="">
      <xdr:nvSpPr>
        <xdr:cNvPr id="17" name="TextBox 16">
          <a:hlinkClick xmlns:r="http://schemas.openxmlformats.org/officeDocument/2006/relationships" r:id="rId7"/>
          <a:extLst>
            <a:ext uri="{FF2B5EF4-FFF2-40B4-BE49-F238E27FC236}">
              <a16:creationId xmlns:a16="http://schemas.microsoft.com/office/drawing/2014/main" id="{C181E9A5-F561-44CD-BB9B-B9AC7701ACBA}"/>
            </a:ext>
          </a:extLst>
        </xdr:cNvPr>
        <xdr:cNvSpPr txBox="1"/>
      </xdr:nvSpPr>
      <xdr:spPr>
        <a:xfrm>
          <a:off x="857250" y="2047875"/>
          <a:ext cx="14097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Executive</a:t>
          </a:r>
          <a:r>
            <a:rPr lang="en-IN" sz="1800" b="1" baseline="0">
              <a:solidFill>
                <a:schemeClr val="bg1"/>
              </a:solidFill>
            </a:rPr>
            <a:t> Summary</a:t>
          </a:r>
          <a:endParaRPr lang="en-IN" sz="1800" b="1">
            <a:solidFill>
              <a:schemeClr val="bg1"/>
            </a:solidFill>
          </a:endParaRPr>
        </a:p>
      </xdr:txBody>
    </xdr:sp>
    <xdr:clientData/>
  </xdr:twoCellAnchor>
  <xdr:twoCellAnchor>
    <xdr:from>
      <xdr:col>1</xdr:col>
      <xdr:colOff>152400</xdr:colOff>
      <xdr:row>7</xdr:row>
      <xdr:rowOff>38100</xdr:rowOff>
    </xdr:from>
    <xdr:to>
      <xdr:col>1</xdr:col>
      <xdr:colOff>1514475</xdr:colOff>
      <xdr:row>9</xdr:row>
      <xdr:rowOff>9525</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915F0A1B-5772-4CC9-8F24-DC630E95F932}"/>
            </a:ext>
          </a:extLst>
        </xdr:cNvPr>
        <xdr:cNvSpPr txBox="1"/>
      </xdr:nvSpPr>
      <xdr:spPr>
        <a:xfrm>
          <a:off x="762000" y="1371600"/>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editAs="oneCell">
    <xdr:from>
      <xdr:col>0</xdr:col>
      <xdr:colOff>161925</xdr:colOff>
      <xdr:row>10</xdr:row>
      <xdr:rowOff>95250</xdr:rowOff>
    </xdr:from>
    <xdr:to>
      <xdr:col>1</xdr:col>
      <xdr:colOff>148984</xdr:colOff>
      <xdr:row>14</xdr:row>
      <xdr:rowOff>123824</xdr:rowOff>
    </xdr:to>
    <xdr:pic>
      <xdr:nvPicPr>
        <xdr:cNvPr id="19" name="Picture 18">
          <a:hlinkClick xmlns:r="http://schemas.openxmlformats.org/officeDocument/2006/relationships" r:id="rId7"/>
          <a:extLst>
            <a:ext uri="{FF2B5EF4-FFF2-40B4-BE49-F238E27FC236}">
              <a16:creationId xmlns:a16="http://schemas.microsoft.com/office/drawing/2014/main" id="{46B91D66-2A70-4C56-AEF3-7E749F335E0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1925" y="2000250"/>
          <a:ext cx="596659" cy="790574"/>
        </a:xfrm>
        <a:prstGeom prst="rect">
          <a:avLst/>
        </a:prstGeom>
      </xdr:spPr>
    </xdr:pic>
    <xdr:clientData/>
  </xdr:twoCellAnchor>
  <xdr:twoCellAnchor>
    <xdr:from>
      <xdr:col>0</xdr:col>
      <xdr:colOff>47625</xdr:colOff>
      <xdr:row>28</xdr:row>
      <xdr:rowOff>133350</xdr:rowOff>
    </xdr:from>
    <xdr:to>
      <xdr:col>1</xdr:col>
      <xdr:colOff>1627414</xdr:colOff>
      <xdr:row>32</xdr:row>
      <xdr:rowOff>35378</xdr:rowOff>
    </xdr:to>
    <xdr:sp macro="" textlink="">
      <xdr:nvSpPr>
        <xdr:cNvPr id="21" name="Rectangle: Rounded Corners 20">
          <a:hlinkClick xmlns:r="http://schemas.openxmlformats.org/officeDocument/2006/relationships" r:id="rId10"/>
          <a:extLst>
            <a:ext uri="{FF2B5EF4-FFF2-40B4-BE49-F238E27FC236}">
              <a16:creationId xmlns:a16="http://schemas.microsoft.com/office/drawing/2014/main" id="{DABB02A0-DA80-4A1F-9EA5-9895E16AB0D4}"/>
            </a:ext>
          </a:extLst>
        </xdr:cNvPr>
        <xdr:cNvSpPr/>
      </xdr:nvSpPr>
      <xdr:spPr>
        <a:xfrm>
          <a:off x="47625" y="54673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28</xdr:row>
      <xdr:rowOff>123825</xdr:rowOff>
    </xdr:from>
    <xdr:to>
      <xdr:col>1</xdr:col>
      <xdr:colOff>1743075</xdr:colOff>
      <xdr:row>32</xdr:row>
      <xdr:rowOff>19050</xdr:rowOff>
    </xdr:to>
    <xdr:sp macro="" textlink="">
      <xdr:nvSpPr>
        <xdr:cNvPr id="22" name="TextBox 21">
          <a:hlinkClick xmlns:r="http://schemas.openxmlformats.org/officeDocument/2006/relationships" r:id="rId10"/>
          <a:extLst>
            <a:ext uri="{FF2B5EF4-FFF2-40B4-BE49-F238E27FC236}">
              <a16:creationId xmlns:a16="http://schemas.microsoft.com/office/drawing/2014/main" id="{CE7FBE1C-428A-4570-BB49-32BD022FE239}"/>
            </a:ext>
          </a:extLst>
        </xdr:cNvPr>
        <xdr:cNvSpPr txBox="1"/>
      </xdr:nvSpPr>
      <xdr:spPr>
        <a:xfrm>
          <a:off x="647700" y="5457825"/>
          <a:ext cx="17049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Payment&amp;Time</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38100</xdr:colOff>
      <xdr:row>28</xdr:row>
      <xdr:rowOff>152400</xdr:rowOff>
    </xdr:from>
    <xdr:to>
      <xdr:col>1</xdr:col>
      <xdr:colOff>57149</xdr:colOff>
      <xdr:row>32</xdr:row>
      <xdr:rowOff>19049</xdr:rowOff>
    </xdr:to>
    <xdr:pic>
      <xdr:nvPicPr>
        <xdr:cNvPr id="23" name="Picture 22">
          <a:hlinkClick xmlns:r="http://schemas.openxmlformats.org/officeDocument/2006/relationships" r:id="rId10"/>
          <a:extLst>
            <a:ext uri="{FF2B5EF4-FFF2-40B4-BE49-F238E27FC236}">
              <a16:creationId xmlns:a16="http://schemas.microsoft.com/office/drawing/2014/main" id="{E788EFB2-872B-4691-A1FC-1AFEBB2AE6F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8100" y="5486400"/>
          <a:ext cx="628649" cy="628649"/>
        </a:xfrm>
        <a:prstGeom prst="rect">
          <a:avLst/>
        </a:prstGeom>
      </xdr:spPr>
    </xdr:pic>
    <xdr:clientData/>
  </xdr:twoCellAnchor>
  <xdr:twoCellAnchor>
    <xdr:from>
      <xdr:col>0</xdr:col>
      <xdr:colOff>590550</xdr:colOff>
      <xdr:row>24</xdr:row>
      <xdr:rowOff>95250</xdr:rowOff>
    </xdr:from>
    <xdr:to>
      <xdr:col>1</xdr:col>
      <xdr:colOff>1733550</xdr:colOff>
      <xdr:row>28</xdr:row>
      <xdr:rowOff>28575</xdr:rowOff>
    </xdr:to>
    <xdr:sp macro="" textlink="">
      <xdr:nvSpPr>
        <xdr:cNvPr id="24" name="TextBox 23">
          <a:hlinkClick xmlns:r="http://schemas.openxmlformats.org/officeDocument/2006/relationships" r:id="rId4"/>
          <a:extLst>
            <a:ext uri="{FF2B5EF4-FFF2-40B4-BE49-F238E27FC236}">
              <a16:creationId xmlns:a16="http://schemas.microsoft.com/office/drawing/2014/main" id="{1E1AF074-AF89-4046-95BB-57117B167C96}"/>
            </a:ext>
          </a:extLst>
        </xdr:cNvPr>
        <xdr:cNvSpPr txBox="1"/>
      </xdr:nvSpPr>
      <xdr:spPr>
        <a:xfrm>
          <a:off x="590550" y="4667250"/>
          <a:ext cx="17526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Product&amp;Pricing</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0</xdr:colOff>
      <xdr:row>24</xdr:row>
      <xdr:rowOff>104775</xdr:rowOff>
    </xdr:from>
    <xdr:to>
      <xdr:col>1</xdr:col>
      <xdr:colOff>47625</xdr:colOff>
      <xdr:row>27</xdr:row>
      <xdr:rowOff>124039</xdr:rowOff>
    </xdr:to>
    <xdr:pic>
      <xdr:nvPicPr>
        <xdr:cNvPr id="25" name="Picture 24">
          <a:hlinkClick xmlns:r="http://schemas.openxmlformats.org/officeDocument/2006/relationships" r:id="rId4"/>
          <a:extLst>
            <a:ext uri="{FF2B5EF4-FFF2-40B4-BE49-F238E27FC236}">
              <a16:creationId xmlns:a16="http://schemas.microsoft.com/office/drawing/2014/main" id="{068C3ED6-1391-4677-A9B8-11F2DF185D6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4676775"/>
          <a:ext cx="657225" cy="590764"/>
        </a:xfrm>
        <a:prstGeom prst="rect">
          <a:avLst/>
        </a:prstGeom>
      </xdr:spPr>
    </xdr:pic>
    <xdr:clientData/>
  </xdr:twoCellAnchor>
  <xdr:twoCellAnchor>
    <xdr:from>
      <xdr:col>1</xdr:col>
      <xdr:colOff>266700</xdr:colOff>
      <xdr:row>15</xdr:row>
      <xdr:rowOff>28575</xdr:rowOff>
    </xdr:from>
    <xdr:to>
      <xdr:col>1</xdr:col>
      <xdr:colOff>1704975</xdr:colOff>
      <xdr:row>19</xdr:row>
      <xdr:rowOff>28575</xdr:rowOff>
    </xdr:to>
    <xdr:sp macro="" textlink="">
      <xdr:nvSpPr>
        <xdr:cNvPr id="26" name="TextBox 25">
          <a:hlinkClick xmlns:r="http://schemas.openxmlformats.org/officeDocument/2006/relationships" r:id="rId3"/>
          <a:extLst>
            <a:ext uri="{FF2B5EF4-FFF2-40B4-BE49-F238E27FC236}">
              <a16:creationId xmlns:a16="http://schemas.microsoft.com/office/drawing/2014/main" id="{A5BD6A73-CA22-4222-A788-067818AC76BF}"/>
            </a:ext>
          </a:extLst>
        </xdr:cNvPr>
        <xdr:cNvSpPr txBox="1"/>
      </xdr:nvSpPr>
      <xdr:spPr>
        <a:xfrm>
          <a:off x="876300" y="2886075"/>
          <a:ext cx="14382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Performance</a:t>
          </a:r>
        </a:p>
      </xdr:txBody>
    </xdr:sp>
    <xdr:clientData/>
  </xdr:twoCellAnchor>
  <xdr:twoCellAnchor editAs="oneCell">
    <xdr:from>
      <xdr:col>0</xdr:col>
      <xdr:colOff>209550</xdr:colOff>
      <xdr:row>15</xdr:row>
      <xdr:rowOff>85725</xdr:rowOff>
    </xdr:from>
    <xdr:to>
      <xdr:col>1</xdr:col>
      <xdr:colOff>257175</xdr:colOff>
      <xdr:row>17</xdr:row>
      <xdr:rowOff>180775</xdr:rowOff>
    </xdr:to>
    <xdr:pic>
      <xdr:nvPicPr>
        <xdr:cNvPr id="27" name="Picture 26">
          <a:hlinkClick xmlns:r="http://schemas.openxmlformats.org/officeDocument/2006/relationships" r:id="rId3"/>
          <a:extLst>
            <a:ext uri="{FF2B5EF4-FFF2-40B4-BE49-F238E27FC236}">
              <a16:creationId xmlns:a16="http://schemas.microsoft.com/office/drawing/2014/main" id="{8B422B25-2FA5-47F5-8670-8C8ACDE026D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9550" y="2943225"/>
          <a:ext cx="657225" cy="476050"/>
        </a:xfrm>
        <a:prstGeom prst="rect">
          <a:avLst/>
        </a:prstGeom>
      </xdr:spPr>
    </xdr:pic>
    <xdr:clientData/>
  </xdr:twoCellAnchor>
  <xdr:twoCellAnchor>
    <xdr:from>
      <xdr:col>1</xdr:col>
      <xdr:colOff>352425</xdr:colOff>
      <xdr:row>20</xdr:row>
      <xdr:rowOff>47625</xdr:rowOff>
    </xdr:from>
    <xdr:to>
      <xdr:col>1</xdr:col>
      <xdr:colOff>1704975</xdr:colOff>
      <xdr:row>24</xdr:row>
      <xdr:rowOff>9524</xdr:rowOff>
    </xdr:to>
    <xdr:sp macro="" textlink="">
      <xdr:nvSpPr>
        <xdr:cNvPr id="28" name="TextBox 27">
          <a:hlinkClick xmlns:r="http://schemas.openxmlformats.org/officeDocument/2006/relationships" r:id="rId5"/>
          <a:extLst>
            <a:ext uri="{FF2B5EF4-FFF2-40B4-BE49-F238E27FC236}">
              <a16:creationId xmlns:a16="http://schemas.microsoft.com/office/drawing/2014/main" id="{BDB111F0-A5B2-4D7F-9BA6-761F116B9CEA}"/>
            </a:ext>
          </a:extLst>
        </xdr:cNvPr>
        <xdr:cNvSpPr txBox="1"/>
      </xdr:nvSpPr>
      <xdr:spPr>
        <a:xfrm>
          <a:off x="962025" y="3857625"/>
          <a:ext cx="135255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Insights</a:t>
          </a:r>
        </a:p>
      </xdr:txBody>
    </xdr:sp>
    <xdr:clientData/>
  </xdr:twoCellAnchor>
  <xdr:twoCellAnchor>
    <xdr:from>
      <xdr:col>0</xdr:col>
      <xdr:colOff>152400</xdr:colOff>
      <xdr:row>20</xdr:row>
      <xdr:rowOff>57150</xdr:rowOff>
    </xdr:from>
    <xdr:to>
      <xdr:col>1</xdr:col>
      <xdr:colOff>266700</xdr:colOff>
      <xdr:row>23</xdr:row>
      <xdr:rowOff>114300</xdr:rowOff>
    </xdr:to>
    <xdr:sp macro="" textlink="">
      <xdr:nvSpPr>
        <xdr:cNvPr id="30" name="Oval 29">
          <a:extLst>
            <a:ext uri="{FF2B5EF4-FFF2-40B4-BE49-F238E27FC236}">
              <a16:creationId xmlns:a16="http://schemas.microsoft.com/office/drawing/2014/main" id="{38F46A4E-C54C-470A-BC86-60BDB72E8408}"/>
            </a:ext>
          </a:extLst>
        </xdr:cNvPr>
        <xdr:cNvSpPr/>
      </xdr:nvSpPr>
      <xdr:spPr>
        <a:xfrm>
          <a:off x="152400" y="3867150"/>
          <a:ext cx="723900" cy="6286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238125</xdr:colOff>
      <xdr:row>20</xdr:row>
      <xdr:rowOff>123825</xdr:rowOff>
    </xdr:from>
    <xdr:to>
      <xdr:col>1</xdr:col>
      <xdr:colOff>212985</xdr:colOff>
      <xdr:row>23</xdr:row>
      <xdr:rowOff>9524</xdr:rowOff>
    </xdr:to>
    <xdr:pic>
      <xdr:nvPicPr>
        <xdr:cNvPr id="29" name="Picture 28">
          <a:hlinkClick xmlns:r="http://schemas.openxmlformats.org/officeDocument/2006/relationships" r:id="rId5"/>
          <a:extLst>
            <a:ext uri="{FF2B5EF4-FFF2-40B4-BE49-F238E27FC236}">
              <a16:creationId xmlns:a16="http://schemas.microsoft.com/office/drawing/2014/main" id="{5BC2745C-FDCC-463C-9C16-829AF2B98CB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8125" y="3933825"/>
          <a:ext cx="584460" cy="457199"/>
        </a:xfrm>
        <a:prstGeom prst="rect">
          <a:avLst/>
        </a:prstGeom>
      </xdr:spPr>
    </xdr:pic>
    <xdr:clientData/>
  </xdr:twoCellAnchor>
  <xdr:twoCellAnchor>
    <xdr:from>
      <xdr:col>0</xdr:col>
      <xdr:colOff>190500</xdr:colOff>
      <xdr:row>2</xdr:row>
      <xdr:rowOff>57150</xdr:rowOff>
    </xdr:from>
    <xdr:to>
      <xdr:col>1</xdr:col>
      <xdr:colOff>123825</xdr:colOff>
      <xdr:row>5</xdr:row>
      <xdr:rowOff>0</xdr:rowOff>
    </xdr:to>
    <xdr:sp macro="" textlink="">
      <xdr:nvSpPr>
        <xdr:cNvPr id="32" name="Oval 31">
          <a:extLst>
            <a:ext uri="{FF2B5EF4-FFF2-40B4-BE49-F238E27FC236}">
              <a16:creationId xmlns:a16="http://schemas.microsoft.com/office/drawing/2014/main" id="{764FCAAB-CAAD-4C3A-B426-9A961385586F}"/>
            </a:ext>
          </a:extLst>
        </xdr:cNvPr>
        <xdr:cNvSpPr/>
      </xdr:nvSpPr>
      <xdr:spPr>
        <a:xfrm>
          <a:off x="190500" y="438150"/>
          <a:ext cx="542925" cy="51435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238125</xdr:colOff>
      <xdr:row>2</xdr:row>
      <xdr:rowOff>76200</xdr:rowOff>
    </xdr:from>
    <xdr:to>
      <xdr:col>1</xdr:col>
      <xdr:colOff>190500</xdr:colOff>
      <xdr:row>5</xdr:row>
      <xdr:rowOff>22966</xdr:rowOff>
    </xdr:to>
    <xdr:pic>
      <xdr:nvPicPr>
        <xdr:cNvPr id="31" name="Picture 30">
          <a:extLst>
            <a:ext uri="{FF2B5EF4-FFF2-40B4-BE49-F238E27FC236}">
              <a16:creationId xmlns:a16="http://schemas.microsoft.com/office/drawing/2014/main" id="{13A41F30-F7E4-4C8B-BFB2-BAAF8B441C4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8125" y="457200"/>
          <a:ext cx="561975" cy="518266"/>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866775</xdr:colOff>
      <xdr:row>10</xdr:row>
      <xdr:rowOff>171450</xdr:rowOff>
    </xdr:from>
    <xdr:to>
      <xdr:col>8</xdr:col>
      <xdr:colOff>514350</xdr:colOff>
      <xdr:row>25</xdr:row>
      <xdr:rowOff>57150</xdr:rowOff>
    </xdr:to>
    <xdr:graphicFrame macro="">
      <xdr:nvGraphicFramePr>
        <xdr:cNvPr id="2" name="Chart 1">
          <a:extLst>
            <a:ext uri="{FF2B5EF4-FFF2-40B4-BE49-F238E27FC236}">
              <a16:creationId xmlns:a16="http://schemas.microsoft.com/office/drawing/2014/main" id="{589948B5-0E10-C16B-AD44-81726E729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857250</xdr:colOff>
      <xdr:row>9</xdr:row>
      <xdr:rowOff>85724</xdr:rowOff>
    </xdr:from>
    <xdr:to>
      <xdr:col>13</xdr:col>
      <xdr:colOff>866775</xdr:colOff>
      <xdr:row>25</xdr:row>
      <xdr:rowOff>38099</xdr:rowOff>
    </xdr:to>
    <xdr:graphicFrame macro="">
      <xdr:nvGraphicFramePr>
        <xdr:cNvPr id="3" name="Chart 2">
          <a:extLst>
            <a:ext uri="{FF2B5EF4-FFF2-40B4-BE49-F238E27FC236}">
              <a16:creationId xmlns:a16="http://schemas.microsoft.com/office/drawing/2014/main" id="{7CC921C8-8132-678C-A78D-EB3F63548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238125</xdr:colOff>
      <xdr:row>9</xdr:row>
      <xdr:rowOff>142874</xdr:rowOff>
    </xdr:from>
    <xdr:to>
      <xdr:col>18</xdr:col>
      <xdr:colOff>676275</xdr:colOff>
      <xdr:row>25</xdr:row>
      <xdr:rowOff>19049</xdr:rowOff>
    </xdr:to>
    <xdr:graphicFrame macro="">
      <xdr:nvGraphicFramePr>
        <xdr:cNvPr id="4" name="Chart 3">
          <a:extLst>
            <a:ext uri="{FF2B5EF4-FFF2-40B4-BE49-F238E27FC236}">
              <a16:creationId xmlns:a16="http://schemas.microsoft.com/office/drawing/2014/main" id="{19E4C90A-4767-97CC-B670-0D3ED9CDF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0</xdr:row>
      <xdr:rowOff>0</xdr:rowOff>
    </xdr:from>
    <xdr:to>
      <xdr:col>3</xdr:col>
      <xdr:colOff>428625</xdr:colOff>
      <xdr:row>32</xdr:row>
      <xdr:rowOff>133350</xdr:rowOff>
    </xdr:to>
    <xdr:sp macro="" textlink="">
      <xdr:nvSpPr>
        <xdr:cNvPr id="6" name="Rectangle: Rounded Corners 5">
          <a:extLst>
            <a:ext uri="{FF2B5EF4-FFF2-40B4-BE49-F238E27FC236}">
              <a16:creationId xmlns:a16="http://schemas.microsoft.com/office/drawing/2014/main" id="{A7EDD575-F966-4E9E-9A57-8296C0CA9C80}"/>
            </a:ext>
          </a:extLst>
        </xdr:cNvPr>
        <xdr:cNvSpPr/>
      </xdr:nvSpPr>
      <xdr:spPr>
        <a:xfrm>
          <a:off x="19050" y="0"/>
          <a:ext cx="2238375" cy="6229350"/>
        </a:xfrm>
        <a:prstGeom prst="roundRect">
          <a:avLst>
            <a:gd name="adj" fmla="val 587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24</xdr:row>
      <xdr:rowOff>76200</xdr:rowOff>
    </xdr:from>
    <xdr:to>
      <xdr:col>3</xdr:col>
      <xdr:colOff>398689</xdr:colOff>
      <xdr:row>27</xdr:row>
      <xdr:rowOff>168728</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C19E35D5-8B6C-4A7D-816A-0FCBAFB7396E}"/>
            </a:ext>
          </a:extLst>
        </xdr:cNvPr>
        <xdr:cNvSpPr/>
      </xdr:nvSpPr>
      <xdr:spPr>
        <a:xfrm>
          <a:off x="38100" y="46482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20</xdr:row>
      <xdr:rowOff>66675</xdr:rowOff>
    </xdr:from>
    <xdr:to>
      <xdr:col>3</xdr:col>
      <xdr:colOff>703489</xdr:colOff>
      <xdr:row>23</xdr:row>
      <xdr:rowOff>159203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473ED670-8BF7-45A1-8D31-8DA9CB7FF208}"/>
            </a:ext>
          </a:extLst>
        </xdr:cNvPr>
        <xdr:cNvSpPr/>
      </xdr:nvSpPr>
      <xdr:spPr>
        <a:xfrm>
          <a:off x="342900" y="3876675"/>
          <a:ext cx="2189389" cy="66402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15</xdr:row>
      <xdr:rowOff>57150</xdr:rowOff>
    </xdr:from>
    <xdr:to>
      <xdr:col>3</xdr:col>
      <xdr:colOff>408214</xdr:colOff>
      <xdr:row>18</xdr:row>
      <xdr:rowOff>149678</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8457F706-253A-4A1E-B6C7-7BA14BFB17DF}"/>
            </a:ext>
          </a:extLst>
        </xdr:cNvPr>
        <xdr:cNvSpPr/>
      </xdr:nvSpPr>
      <xdr:spPr>
        <a:xfrm>
          <a:off x="47625" y="29146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6</xdr:row>
      <xdr:rowOff>114300</xdr:rowOff>
    </xdr:from>
    <xdr:to>
      <xdr:col>3</xdr:col>
      <xdr:colOff>417739</xdr:colOff>
      <xdr:row>10</xdr:row>
      <xdr:rowOff>16328</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AF2CD8CA-7DD2-4BFC-89B0-2AAC979079A0}"/>
            </a:ext>
          </a:extLst>
        </xdr:cNvPr>
        <xdr:cNvSpPr/>
      </xdr:nvSpPr>
      <xdr:spPr>
        <a:xfrm>
          <a:off x="57150" y="12573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10</xdr:row>
      <xdr:rowOff>161925</xdr:rowOff>
    </xdr:from>
    <xdr:to>
      <xdr:col>3</xdr:col>
      <xdr:colOff>427264</xdr:colOff>
      <xdr:row>14</xdr:row>
      <xdr:rowOff>63953</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083F3D1D-6F5C-4A40-85BA-049EA3EDF5E5}"/>
            </a:ext>
          </a:extLst>
        </xdr:cNvPr>
        <xdr:cNvSpPr/>
      </xdr:nvSpPr>
      <xdr:spPr>
        <a:xfrm>
          <a:off x="66675" y="20669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xdr:row>
      <xdr:rowOff>161925</xdr:rowOff>
    </xdr:from>
    <xdr:to>
      <xdr:col>3</xdr:col>
      <xdr:colOff>417739</xdr:colOff>
      <xdr:row>5</xdr:row>
      <xdr:rowOff>63953</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C26B5CFB-97AB-483F-9F85-5D290976C8B4}"/>
            </a:ext>
          </a:extLst>
        </xdr:cNvPr>
        <xdr:cNvSpPr/>
      </xdr:nvSpPr>
      <xdr:spPr>
        <a:xfrm>
          <a:off x="57150" y="3524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266700</xdr:colOff>
      <xdr:row>1</xdr:row>
      <xdr:rowOff>171450</xdr:rowOff>
    </xdr:from>
    <xdr:to>
      <xdr:col>3</xdr:col>
      <xdr:colOff>428625</xdr:colOff>
      <xdr:row>5</xdr:row>
      <xdr:rowOff>66675</xdr:rowOff>
    </xdr:to>
    <xdr:sp macro="" textlink="">
      <xdr:nvSpPr>
        <xdr:cNvPr id="14" name="Rectangle 13">
          <a:extLst>
            <a:ext uri="{FF2B5EF4-FFF2-40B4-BE49-F238E27FC236}">
              <a16:creationId xmlns:a16="http://schemas.microsoft.com/office/drawing/2014/main" id="{1A83FAB6-74BF-4CB9-9BA9-3EB106087547}"/>
            </a:ext>
          </a:extLst>
        </xdr:cNvPr>
        <xdr:cNvSpPr/>
      </xdr:nvSpPr>
      <xdr:spPr>
        <a:xfrm>
          <a:off x="876300" y="361950"/>
          <a:ext cx="1381125" cy="657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n>
                <a:noFill/>
              </a:ln>
              <a:solidFill>
                <a:schemeClr val="accent6">
                  <a:lumMod val="50000"/>
                </a:schemeClr>
              </a:solidFill>
              <a:latin typeface="Bahnschrift SemiBold SemiConden" panose="020B0502040204020203" pitchFamily="34" charset="0"/>
            </a:rPr>
            <a:t>Ocean Super Market</a:t>
          </a:r>
        </a:p>
      </xdr:txBody>
    </xdr:sp>
    <xdr:clientData/>
  </xdr:twoCellAnchor>
  <xdr:twoCellAnchor editAs="oneCell">
    <xdr:from>
      <xdr:col>0</xdr:col>
      <xdr:colOff>95250</xdr:colOff>
      <xdr:row>7</xdr:row>
      <xdr:rowOff>57150</xdr:rowOff>
    </xdr:from>
    <xdr:to>
      <xdr:col>1</xdr:col>
      <xdr:colOff>38099</xdr:colOff>
      <xdr:row>10</xdr:row>
      <xdr:rowOff>38099</xdr:rowOff>
    </xdr:to>
    <xdr:pic>
      <xdr:nvPicPr>
        <xdr:cNvPr id="15" name="Picture 14">
          <a:hlinkClick xmlns:r="http://schemas.openxmlformats.org/officeDocument/2006/relationships" r:id="rId7"/>
          <a:extLst>
            <a:ext uri="{FF2B5EF4-FFF2-40B4-BE49-F238E27FC236}">
              <a16:creationId xmlns:a16="http://schemas.microsoft.com/office/drawing/2014/main" id="{22FB8B88-0BF0-41B6-A1E1-CCD2860A193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0800000" flipV="1">
          <a:off x="95250" y="1390650"/>
          <a:ext cx="552449" cy="552449"/>
        </a:xfrm>
        <a:prstGeom prst="rect">
          <a:avLst/>
        </a:prstGeom>
      </xdr:spPr>
    </xdr:pic>
    <xdr:clientData/>
  </xdr:twoCellAnchor>
  <xdr:twoCellAnchor>
    <xdr:from>
      <xdr:col>1</xdr:col>
      <xdr:colOff>228600</xdr:colOff>
      <xdr:row>10</xdr:row>
      <xdr:rowOff>142875</xdr:rowOff>
    </xdr:from>
    <xdr:to>
      <xdr:col>3</xdr:col>
      <xdr:colOff>419100</xdr:colOff>
      <xdr:row>14</xdr:row>
      <xdr:rowOff>114300</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B9EBB7F-A699-4789-98FE-ABB20DD2B91C}"/>
            </a:ext>
          </a:extLst>
        </xdr:cNvPr>
        <xdr:cNvSpPr txBox="1"/>
      </xdr:nvSpPr>
      <xdr:spPr>
        <a:xfrm>
          <a:off x="838200" y="2047875"/>
          <a:ext cx="14097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Executive</a:t>
          </a:r>
          <a:r>
            <a:rPr lang="en-IN" sz="1800" b="1" baseline="0">
              <a:solidFill>
                <a:schemeClr val="bg1"/>
              </a:solidFill>
            </a:rPr>
            <a:t> Summary</a:t>
          </a:r>
          <a:endParaRPr lang="en-IN" sz="1800" b="1">
            <a:solidFill>
              <a:schemeClr val="bg1"/>
            </a:solidFill>
          </a:endParaRPr>
        </a:p>
      </xdr:txBody>
    </xdr:sp>
    <xdr:clientData/>
  </xdr:twoCellAnchor>
  <xdr:twoCellAnchor>
    <xdr:from>
      <xdr:col>1</xdr:col>
      <xdr:colOff>209550</xdr:colOff>
      <xdr:row>7</xdr:row>
      <xdr:rowOff>66675</xdr:rowOff>
    </xdr:from>
    <xdr:to>
      <xdr:col>3</xdr:col>
      <xdr:colOff>352425</xdr:colOff>
      <xdr:row>9</xdr:row>
      <xdr:rowOff>38100</xdr:rowOff>
    </xdr:to>
    <xdr:sp macro="" textlink="">
      <xdr:nvSpPr>
        <xdr:cNvPr id="17" name="TextBox 16">
          <a:hlinkClick xmlns:r="http://schemas.openxmlformats.org/officeDocument/2006/relationships" r:id="rId7"/>
          <a:extLst>
            <a:ext uri="{FF2B5EF4-FFF2-40B4-BE49-F238E27FC236}">
              <a16:creationId xmlns:a16="http://schemas.microsoft.com/office/drawing/2014/main" id="{9D251828-B2DB-426E-9BF8-DEABB5B903C3}"/>
            </a:ext>
          </a:extLst>
        </xdr:cNvPr>
        <xdr:cNvSpPr txBox="1"/>
      </xdr:nvSpPr>
      <xdr:spPr>
        <a:xfrm>
          <a:off x="819150" y="1400175"/>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editAs="oneCell">
    <xdr:from>
      <xdr:col>0</xdr:col>
      <xdr:colOff>180975</xdr:colOff>
      <xdr:row>10</xdr:row>
      <xdr:rowOff>104775</xdr:rowOff>
    </xdr:from>
    <xdr:to>
      <xdr:col>1</xdr:col>
      <xdr:colOff>168034</xdr:colOff>
      <xdr:row>14</xdr:row>
      <xdr:rowOff>133349</xdr:rowOff>
    </xdr:to>
    <xdr:pic>
      <xdr:nvPicPr>
        <xdr:cNvPr id="18" name="Picture 17">
          <a:hlinkClick xmlns:r="http://schemas.openxmlformats.org/officeDocument/2006/relationships" r:id="rId8"/>
          <a:extLst>
            <a:ext uri="{FF2B5EF4-FFF2-40B4-BE49-F238E27FC236}">
              <a16:creationId xmlns:a16="http://schemas.microsoft.com/office/drawing/2014/main" id="{9DD2F20F-F212-41E7-B1BE-46FAA7185A8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0975" y="2009775"/>
          <a:ext cx="596659" cy="790574"/>
        </a:xfrm>
        <a:prstGeom prst="rect">
          <a:avLst/>
        </a:prstGeom>
      </xdr:spPr>
    </xdr:pic>
    <xdr:clientData/>
  </xdr:twoCellAnchor>
  <xdr:twoCellAnchor>
    <xdr:from>
      <xdr:col>0</xdr:col>
      <xdr:colOff>19050</xdr:colOff>
      <xdr:row>19</xdr:row>
      <xdr:rowOff>142875</xdr:rowOff>
    </xdr:from>
    <xdr:to>
      <xdr:col>3</xdr:col>
      <xdr:colOff>590550</xdr:colOff>
      <xdr:row>23</xdr:row>
      <xdr:rowOff>44903</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557FF53-3245-438E-9707-072D1C47A93D}"/>
            </a:ext>
          </a:extLst>
        </xdr:cNvPr>
        <xdr:cNvSpPr/>
      </xdr:nvSpPr>
      <xdr:spPr>
        <a:xfrm>
          <a:off x="19050" y="3762375"/>
          <a:ext cx="2400300"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28</xdr:row>
      <xdr:rowOff>114300</xdr:rowOff>
    </xdr:from>
    <xdr:to>
      <xdr:col>3</xdr:col>
      <xdr:colOff>389164</xdr:colOff>
      <xdr:row>32</xdr:row>
      <xdr:rowOff>16328</xdr:rowOff>
    </xdr:to>
    <xdr:sp macro="" textlink="">
      <xdr:nvSpPr>
        <xdr:cNvPr id="19" name="Rectangle: Rounded Corners 18">
          <a:hlinkClick xmlns:r="http://schemas.openxmlformats.org/officeDocument/2006/relationships" r:id="rId11"/>
          <a:extLst>
            <a:ext uri="{FF2B5EF4-FFF2-40B4-BE49-F238E27FC236}">
              <a16:creationId xmlns:a16="http://schemas.microsoft.com/office/drawing/2014/main" id="{5AB08AB2-1BA3-45A8-AB54-C2B2503BF449}"/>
            </a:ext>
          </a:extLst>
        </xdr:cNvPr>
        <xdr:cNvSpPr/>
      </xdr:nvSpPr>
      <xdr:spPr>
        <a:xfrm>
          <a:off x="28575" y="54483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600075</xdr:colOff>
      <xdr:row>28</xdr:row>
      <xdr:rowOff>104775</xdr:rowOff>
    </xdr:from>
    <xdr:to>
      <xdr:col>3</xdr:col>
      <xdr:colOff>476250</xdr:colOff>
      <xdr:row>32</xdr:row>
      <xdr:rowOff>0</xdr:rowOff>
    </xdr:to>
    <xdr:sp macro="" textlink="">
      <xdr:nvSpPr>
        <xdr:cNvPr id="20" name="TextBox 19">
          <a:hlinkClick xmlns:r="http://schemas.openxmlformats.org/officeDocument/2006/relationships" r:id="rId11"/>
          <a:extLst>
            <a:ext uri="{FF2B5EF4-FFF2-40B4-BE49-F238E27FC236}">
              <a16:creationId xmlns:a16="http://schemas.microsoft.com/office/drawing/2014/main" id="{CC07167B-98B0-4D3C-89CD-19183DCACEE6}"/>
            </a:ext>
          </a:extLst>
        </xdr:cNvPr>
        <xdr:cNvSpPr txBox="1"/>
      </xdr:nvSpPr>
      <xdr:spPr>
        <a:xfrm>
          <a:off x="600075" y="5438775"/>
          <a:ext cx="17049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Payment&amp;Time</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38100</xdr:colOff>
      <xdr:row>28</xdr:row>
      <xdr:rowOff>142875</xdr:rowOff>
    </xdr:from>
    <xdr:to>
      <xdr:col>1</xdr:col>
      <xdr:colOff>57149</xdr:colOff>
      <xdr:row>32</xdr:row>
      <xdr:rowOff>9524</xdr:rowOff>
    </xdr:to>
    <xdr:pic>
      <xdr:nvPicPr>
        <xdr:cNvPr id="21" name="Picture 20">
          <a:hlinkClick xmlns:r="http://schemas.openxmlformats.org/officeDocument/2006/relationships" r:id="rId11"/>
          <a:extLst>
            <a:ext uri="{FF2B5EF4-FFF2-40B4-BE49-F238E27FC236}">
              <a16:creationId xmlns:a16="http://schemas.microsoft.com/office/drawing/2014/main" id="{C6A0FBF8-6C1F-4C3F-A977-ED1D8F01F63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100" y="5476875"/>
          <a:ext cx="628649" cy="628649"/>
        </a:xfrm>
        <a:prstGeom prst="rect">
          <a:avLst/>
        </a:prstGeom>
      </xdr:spPr>
    </xdr:pic>
    <xdr:clientData/>
  </xdr:twoCellAnchor>
  <xdr:twoCellAnchor>
    <xdr:from>
      <xdr:col>0</xdr:col>
      <xdr:colOff>561975</xdr:colOff>
      <xdr:row>24</xdr:row>
      <xdr:rowOff>38100</xdr:rowOff>
    </xdr:from>
    <xdr:to>
      <xdr:col>3</xdr:col>
      <xdr:colOff>485775</xdr:colOff>
      <xdr:row>27</xdr:row>
      <xdr:rowOff>161925</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6036CF8E-C926-44E7-B876-272E0F0372DB}"/>
            </a:ext>
          </a:extLst>
        </xdr:cNvPr>
        <xdr:cNvSpPr txBox="1"/>
      </xdr:nvSpPr>
      <xdr:spPr>
        <a:xfrm>
          <a:off x="561975" y="4610100"/>
          <a:ext cx="17526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Product&amp;Pricing</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0</xdr:colOff>
      <xdr:row>24</xdr:row>
      <xdr:rowOff>85725</xdr:rowOff>
    </xdr:from>
    <xdr:to>
      <xdr:col>1</xdr:col>
      <xdr:colOff>47625</xdr:colOff>
      <xdr:row>27</xdr:row>
      <xdr:rowOff>104989</xdr:rowOff>
    </xdr:to>
    <xdr:pic>
      <xdr:nvPicPr>
        <xdr:cNvPr id="23" name="Picture 22">
          <a:hlinkClick xmlns:r="http://schemas.openxmlformats.org/officeDocument/2006/relationships" r:id="rId4"/>
          <a:extLst>
            <a:ext uri="{FF2B5EF4-FFF2-40B4-BE49-F238E27FC236}">
              <a16:creationId xmlns:a16="http://schemas.microsoft.com/office/drawing/2014/main" id="{CE4AD74D-5249-4CD0-AB41-192C076A8B2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4657725"/>
          <a:ext cx="657225" cy="590764"/>
        </a:xfrm>
        <a:prstGeom prst="rect">
          <a:avLst/>
        </a:prstGeom>
      </xdr:spPr>
    </xdr:pic>
    <xdr:clientData/>
  </xdr:twoCellAnchor>
  <xdr:twoCellAnchor>
    <xdr:from>
      <xdr:col>1</xdr:col>
      <xdr:colOff>276225</xdr:colOff>
      <xdr:row>15</xdr:row>
      <xdr:rowOff>104775</xdr:rowOff>
    </xdr:from>
    <xdr:to>
      <xdr:col>3</xdr:col>
      <xdr:colOff>495300</xdr:colOff>
      <xdr:row>19</xdr:row>
      <xdr:rowOff>104775</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8376FCCE-B4B9-4642-8BF8-1A1B11C84D81}"/>
            </a:ext>
          </a:extLst>
        </xdr:cNvPr>
        <xdr:cNvSpPr txBox="1"/>
      </xdr:nvSpPr>
      <xdr:spPr>
        <a:xfrm>
          <a:off x="885825" y="2962275"/>
          <a:ext cx="14382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Performance</a:t>
          </a:r>
        </a:p>
      </xdr:txBody>
    </xdr:sp>
    <xdr:clientData/>
  </xdr:twoCellAnchor>
  <xdr:twoCellAnchor editAs="oneCell">
    <xdr:from>
      <xdr:col>0</xdr:col>
      <xdr:colOff>152400</xdr:colOff>
      <xdr:row>15</xdr:row>
      <xdr:rowOff>142875</xdr:rowOff>
    </xdr:from>
    <xdr:to>
      <xdr:col>1</xdr:col>
      <xdr:colOff>200025</xdr:colOff>
      <xdr:row>18</xdr:row>
      <xdr:rowOff>47425</xdr:rowOff>
    </xdr:to>
    <xdr:pic>
      <xdr:nvPicPr>
        <xdr:cNvPr id="25" name="Picture 24">
          <a:hlinkClick xmlns:r="http://schemas.openxmlformats.org/officeDocument/2006/relationships" r:id="rId6"/>
          <a:extLst>
            <a:ext uri="{FF2B5EF4-FFF2-40B4-BE49-F238E27FC236}">
              <a16:creationId xmlns:a16="http://schemas.microsoft.com/office/drawing/2014/main" id="{47EA4A23-1CFD-4EF8-A3E0-1E0EF652518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2400" y="3000375"/>
          <a:ext cx="657225" cy="476050"/>
        </a:xfrm>
        <a:prstGeom prst="rect">
          <a:avLst/>
        </a:prstGeom>
      </xdr:spPr>
    </xdr:pic>
    <xdr:clientData/>
  </xdr:twoCellAnchor>
  <xdr:twoCellAnchor>
    <xdr:from>
      <xdr:col>1</xdr:col>
      <xdr:colOff>457200</xdr:colOff>
      <xdr:row>19</xdr:row>
      <xdr:rowOff>133350</xdr:rowOff>
    </xdr:from>
    <xdr:to>
      <xdr:col>3</xdr:col>
      <xdr:colOff>590550</xdr:colOff>
      <xdr:row>23</xdr:row>
      <xdr:rowOff>95249</xdr:rowOff>
    </xdr:to>
    <xdr:sp macro="" textlink="">
      <xdr:nvSpPr>
        <xdr:cNvPr id="26" name="TextBox 25">
          <a:hlinkClick xmlns:r="http://schemas.openxmlformats.org/officeDocument/2006/relationships" r:id="rId5"/>
          <a:extLst>
            <a:ext uri="{FF2B5EF4-FFF2-40B4-BE49-F238E27FC236}">
              <a16:creationId xmlns:a16="http://schemas.microsoft.com/office/drawing/2014/main" id="{3D33F159-0168-4784-8D86-97FDC69AFBFF}"/>
            </a:ext>
          </a:extLst>
        </xdr:cNvPr>
        <xdr:cNvSpPr txBox="1"/>
      </xdr:nvSpPr>
      <xdr:spPr>
        <a:xfrm>
          <a:off x="1066800" y="3752850"/>
          <a:ext cx="135255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Insights</a:t>
          </a:r>
        </a:p>
      </xdr:txBody>
    </xdr:sp>
    <xdr:clientData/>
  </xdr:twoCellAnchor>
  <xdr:twoCellAnchor>
    <xdr:from>
      <xdr:col>0</xdr:col>
      <xdr:colOff>209550</xdr:colOff>
      <xdr:row>19</xdr:row>
      <xdr:rowOff>171450</xdr:rowOff>
    </xdr:from>
    <xdr:to>
      <xdr:col>1</xdr:col>
      <xdr:colOff>323850</xdr:colOff>
      <xdr:row>23</xdr:row>
      <xdr:rowOff>38100</xdr:rowOff>
    </xdr:to>
    <xdr:sp macro="" textlink="">
      <xdr:nvSpPr>
        <xdr:cNvPr id="28" name="Oval 27">
          <a:extLst>
            <a:ext uri="{FF2B5EF4-FFF2-40B4-BE49-F238E27FC236}">
              <a16:creationId xmlns:a16="http://schemas.microsoft.com/office/drawing/2014/main" id="{33D0474B-E2FC-4E8C-9096-F04100CF3EF8}"/>
            </a:ext>
          </a:extLst>
        </xdr:cNvPr>
        <xdr:cNvSpPr/>
      </xdr:nvSpPr>
      <xdr:spPr>
        <a:xfrm>
          <a:off x="209550" y="3790950"/>
          <a:ext cx="723900" cy="6286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314325</xdr:colOff>
      <xdr:row>20</xdr:row>
      <xdr:rowOff>19050</xdr:rowOff>
    </xdr:from>
    <xdr:to>
      <xdr:col>1</xdr:col>
      <xdr:colOff>289185</xdr:colOff>
      <xdr:row>22</xdr:row>
      <xdr:rowOff>95249</xdr:rowOff>
    </xdr:to>
    <xdr:pic>
      <xdr:nvPicPr>
        <xdr:cNvPr id="27" name="Picture 26">
          <a:hlinkClick xmlns:r="http://schemas.openxmlformats.org/officeDocument/2006/relationships" r:id="rId5"/>
          <a:extLst>
            <a:ext uri="{FF2B5EF4-FFF2-40B4-BE49-F238E27FC236}">
              <a16:creationId xmlns:a16="http://schemas.microsoft.com/office/drawing/2014/main" id="{669BADA2-0D87-49FA-864C-DCA2A9B23B8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14325" y="3829050"/>
          <a:ext cx="584460" cy="457199"/>
        </a:xfrm>
        <a:prstGeom prst="rect">
          <a:avLst/>
        </a:prstGeom>
      </xdr:spPr>
    </xdr:pic>
    <xdr:clientData/>
  </xdr:twoCellAnchor>
  <xdr:twoCellAnchor>
    <xdr:from>
      <xdr:col>0</xdr:col>
      <xdr:colOff>180975</xdr:colOff>
      <xdr:row>2</xdr:row>
      <xdr:rowOff>57150</xdr:rowOff>
    </xdr:from>
    <xdr:to>
      <xdr:col>1</xdr:col>
      <xdr:colOff>114300</xdr:colOff>
      <xdr:row>5</xdr:row>
      <xdr:rowOff>0</xdr:rowOff>
    </xdr:to>
    <xdr:sp macro="" textlink="">
      <xdr:nvSpPr>
        <xdr:cNvPr id="30" name="Oval 29">
          <a:extLst>
            <a:ext uri="{FF2B5EF4-FFF2-40B4-BE49-F238E27FC236}">
              <a16:creationId xmlns:a16="http://schemas.microsoft.com/office/drawing/2014/main" id="{67AC59A4-179E-4A61-B342-701BC9234779}"/>
            </a:ext>
          </a:extLst>
        </xdr:cNvPr>
        <xdr:cNvSpPr/>
      </xdr:nvSpPr>
      <xdr:spPr>
        <a:xfrm>
          <a:off x="180975" y="438150"/>
          <a:ext cx="542925" cy="51435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2</xdr:row>
      <xdr:rowOff>85725</xdr:rowOff>
    </xdr:from>
    <xdr:to>
      <xdr:col>1</xdr:col>
      <xdr:colOff>180975</xdr:colOff>
      <xdr:row>5</xdr:row>
      <xdr:rowOff>32491</xdr:rowOff>
    </xdr:to>
    <xdr:pic>
      <xdr:nvPicPr>
        <xdr:cNvPr id="29" name="Picture 28">
          <a:extLst>
            <a:ext uri="{FF2B5EF4-FFF2-40B4-BE49-F238E27FC236}">
              <a16:creationId xmlns:a16="http://schemas.microsoft.com/office/drawing/2014/main" id="{3C681117-8061-43C4-8429-9D4544EAB04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8600" y="466725"/>
          <a:ext cx="561975" cy="518266"/>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85725</xdr:colOff>
      <xdr:row>0</xdr:row>
      <xdr:rowOff>95250</xdr:rowOff>
    </xdr:from>
    <xdr:to>
      <xdr:col>15</xdr:col>
      <xdr:colOff>962025</xdr:colOff>
      <xdr:row>17</xdr:row>
      <xdr:rowOff>38100</xdr:rowOff>
    </xdr:to>
    <xdr:graphicFrame macro="">
      <xdr:nvGraphicFramePr>
        <xdr:cNvPr id="2" name="Chart 1">
          <a:extLst>
            <a:ext uri="{FF2B5EF4-FFF2-40B4-BE49-F238E27FC236}">
              <a16:creationId xmlns:a16="http://schemas.microsoft.com/office/drawing/2014/main" id="{920B12AB-D3FB-856F-E825-052AD1990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85726</xdr:colOff>
      <xdr:row>10</xdr:row>
      <xdr:rowOff>161925</xdr:rowOff>
    </xdr:from>
    <xdr:to>
      <xdr:col>9</xdr:col>
      <xdr:colOff>752476</xdr:colOff>
      <xdr:row>25</xdr:row>
      <xdr:rowOff>47625</xdr:rowOff>
    </xdr:to>
    <xdr:graphicFrame macro="">
      <xdr:nvGraphicFramePr>
        <xdr:cNvPr id="5" name="Chart 4">
          <a:extLst>
            <a:ext uri="{FF2B5EF4-FFF2-40B4-BE49-F238E27FC236}">
              <a16:creationId xmlns:a16="http://schemas.microsoft.com/office/drawing/2014/main" id="{692DD8AE-8777-7E5A-708D-C10B43E45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0</xdr:row>
      <xdr:rowOff>47625</xdr:rowOff>
    </xdr:from>
    <xdr:to>
      <xdr:col>2</xdr:col>
      <xdr:colOff>685800</xdr:colOff>
      <xdr:row>34</xdr:row>
      <xdr:rowOff>38100</xdr:rowOff>
    </xdr:to>
    <xdr:sp macro="" textlink="">
      <xdr:nvSpPr>
        <xdr:cNvPr id="4" name="Rectangle: Rounded Corners 3">
          <a:extLst>
            <a:ext uri="{FF2B5EF4-FFF2-40B4-BE49-F238E27FC236}">
              <a16:creationId xmlns:a16="http://schemas.microsoft.com/office/drawing/2014/main" id="{2FFE9EC1-0BE5-43BB-91A3-FC8050925074}"/>
            </a:ext>
          </a:extLst>
        </xdr:cNvPr>
        <xdr:cNvSpPr/>
      </xdr:nvSpPr>
      <xdr:spPr>
        <a:xfrm>
          <a:off x="57150" y="47625"/>
          <a:ext cx="2238375" cy="6467475"/>
        </a:xfrm>
        <a:prstGeom prst="roundRect">
          <a:avLst>
            <a:gd name="adj" fmla="val 587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xdr:row>
      <xdr:rowOff>28575</xdr:rowOff>
    </xdr:from>
    <xdr:to>
      <xdr:col>2</xdr:col>
      <xdr:colOff>655864</xdr:colOff>
      <xdr:row>5</xdr:row>
      <xdr:rowOff>121103</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D7971375-A0A6-4910-964C-4446C0195E0D}"/>
            </a:ext>
          </a:extLst>
        </xdr:cNvPr>
        <xdr:cNvSpPr/>
      </xdr:nvSpPr>
      <xdr:spPr>
        <a:xfrm>
          <a:off x="76200" y="4095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25</xdr:row>
      <xdr:rowOff>133350</xdr:rowOff>
    </xdr:from>
    <xdr:to>
      <xdr:col>2</xdr:col>
      <xdr:colOff>808264</xdr:colOff>
      <xdr:row>29</xdr:row>
      <xdr:rowOff>35378</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D3B7231B-F0EE-47B0-A78F-E04A3D1A67AD}"/>
            </a:ext>
          </a:extLst>
        </xdr:cNvPr>
        <xdr:cNvSpPr/>
      </xdr:nvSpPr>
      <xdr:spPr>
        <a:xfrm>
          <a:off x="228600" y="4895850"/>
          <a:ext cx="2189389" cy="66402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11</xdr:row>
      <xdr:rowOff>180975</xdr:rowOff>
    </xdr:from>
    <xdr:to>
      <xdr:col>2</xdr:col>
      <xdr:colOff>636814</xdr:colOff>
      <xdr:row>15</xdr:row>
      <xdr:rowOff>83003</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42091363-4A78-481C-90DB-0C1975C77BAB}"/>
            </a:ext>
          </a:extLst>
        </xdr:cNvPr>
        <xdr:cNvSpPr/>
      </xdr:nvSpPr>
      <xdr:spPr>
        <a:xfrm>
          <a:off x="57150" y="22764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16</xdr:row>
      <xdr:rowOff>66675</xdr:rowOff>
    </xdr:from>
    <xdr:to>
      <xdr:col>2</xdr:col>
      <xdr:colOff>627289</xdr:colOff>
      <xdr:row>19</xdr:row>
      <xdr:rowOff>159203</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03559133-B502-47E9-AF07-060B9D6D17B4}"/>
            </a:ext>
          </a:extLst>
        </xdr:cNvPr>
        <xdr:cNvSpPr/>
      </xdr:nvSpPr>
      <xdr:spPr>
        <a:xfrm>
          <a:off x="47625" y="31146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24</xdr:row>
      <xdr:rowOff>180975</xdr:rowOff>
    </xdr:from>
    <xdr:to>
      <xdr:col>2</xdr:col>
      <xdr:colOff>646339</xdr:colOff>
      <xdr:row>28</xdr:row>
      <xdr:rowOff>83003</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150FAF01-1C8E-4E51-BEC0-DD89445CC873}"/>
            </a:ext>
          </a:extLst>
        </xdr:cNvPr>
        <xdr:cNvSpPr/>
      </xdr:nvSpPr>
      <xdr:spPr>
        <a:xfrm>
          <a:off x="66675" y="47529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30</xdr:row>
      <xdr:rowOff>19050</xdr:rowOff>
    </xdr:from>
    <xdr:to>
      <xdr:col>2</xdr:col>
      <xdr:colOff>665389</xdr:colOff>
      <xdr:row>33</xdr:row>
      <xdr:rowOff>111578</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52A07571-E8CA-40E2-892F-855BC24A03D4}"/>
            </a:ext>
          </a:extLst>
        </xdr:cNvPr>
        <xdr:cNvSpPr/>
      </xdr:nvSpPr>
      <xdr:spPr>
        <a:xfrm>
          <a:off x="85725" y="57340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7</xdr:row>
      <xdr:rowOff>0</xdr:rowOff>
    </xdr:from>
    <xdr:to>
      <xdr:col>2</xdr:col>
      <xdr:colOff>646339</xdr:colOff>
      <xdr:row>10</xdr:row>
      <xdr:rowOff>92528</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550B99F4-AAF9-4D59-9EE4-63FE4A4D3A4E}"/>
            </a:ext>
          </a:extLst>
        </xdr:cNvPr>
        <xdr:cNvSpPr/>
      </xdr:nvSpPr>
      <xdr:spPr>
        <a:xfrm>
          <a:off x="66675" y="13335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314325</xdr:colOff>
      <xdr:row>2</xdr:row>
      <xdr:rowOff>38101</xdr:rowOff>
    </xdr:from>
    <xdr:to>
      <xdr:col>2</xdr:col>
      <xdr:colOff>676275</xdr:colOff>
      <xdr:row>5</xdr:row>
      <xdr:rowOff>133351</xdr:rowOff>
    </xdr:to>
    <xdr:sp macro="" textlink="">
      <xdr:nvSpPr>
        <xdr:cNvPr id="12" name="Rectangle 11">
          <a:extLst>
            <a:ext uri="{FF2B5EF4-FFF2-40B4-BE49-F238E27FC236}">
              <a16:creationId xmlns:a16="http://schemas.microsoft.com/office/drawing/2014/main" id="{F9D8ED1E-4248-45EE-BB1C-C234B0850A4E}"/>
            </a:ext>
          </a:extLst>
        </xdr:cNvPr>
        <xdr:cNvSpPr/>
      </xdr:nvSpPr>
      <xdr:spPr>
        <a:xfrm>
          <a:off x="923925" y="419101"/>
          <a:ext cx="1362075" cy="666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n>
                <a:noFill/>
              </a:ln>
              <a:solidFill>
                <a:schemeClr val="accent6">
                  <a:lumMod val="50000"/>
                </a:schemeClr>
              </a:solidFill>
              <a:latin typeface="Bahnschrift SemiBold SemiConden" panose="020B0502040204020203" pitchFamily="34" charset="0"/>
            </a:rPr>
            <a:t>Ocean Super Market</a:t>
          </a:r>
        </a:p>
      </xdr:txBody>
    </xdr:sp>
    <xdr:clientData/>
  </xdr:twoCellAnchor>
  <xdr:twoCellAnchor editAs="oneCell">
    <xdr:from>
      <xdr:col>0</xdr:col>
      <xdr:colOff>104775</xdr:colOff>
      <xdr:row>7</xdr:row>
      <xdr:rowOff>114300</xdr:rowOff>
    </xdr:from>
    <xdr:to>
      <xdr:col>1</xdr:col>
      <xdr:colOff>47624</xdr:colOff>
      <xdr:row>10</xdr:row>
      <xdr:rowOff>95249</xdr:rowOff>
    </xdr:to>
    <xdr:pic>
      <xdr:nvPicPr>
        <xdr:cNvPr id="13" name="Picture 12">
          <a:hlinkClick xmlns:r="http://schemas.openxmlformats.org/officeDocument/2006/relationships" r:id="rId8"/>
          <a:extLst>
            <a:ext uri="{FF2B5EF4-FFF2-40B4-BE49-F238E27FC236}">
              <a16:creationId xmlns:a16="http://schemas.microsoft.com/office/drawing/2014/main" id="{03EE9CD8-2D79-4C9C-9408-66D59BA8EA0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0800000" flipV="1">
          <a:off x="104775" y="1447800"/>
          <a:ext cx="552449" cy="552449"/>
        </a:xfrm>
        <a:prstGeom prst="rect">
          <a:avLst/>
        </a:prstGeom>
      </xdr:spPr>
    </xdr:pic>
    <xdr:clientData/>
  </xdr:twoCellAnchor>
  <xdr:twoCellAnchor>
    <xdr:from>
      <xdr:col>1</xdr:col>
      <xdr:colOff>257175</xdr:colOff>
      <xdr:row>11</xdr:row>
      <xdr:rowOff>180975</xdr:rowOff>
    </xdr:from>
    <xdr:to>
      <xdr:col>2</xdr:col>
      <xdr:colOff>666750</xdr:colOff>
      <xdr:row>15</xdr:row>
      <xdr:rowOff>152400</xdr:rowOff>
    </xdr:to>
    <xdr:sp macro="" textlink="">
      <xdr:nvSpPr>
        <xdr:cNvPr id="14" name="TextBox 13">
          <a:hlinkClick xmlns:r="http://schemas.openxmlformats.org/officeDocument/2006/relationships" r:id="rId5"/>
          <a:extLst>
            <a:ext uri="{FF2B5EF4-FFF2-40B4-BE49-F238E27FC236}">
              <a16:creationId xmlns:a16="http://schemas.microsoft.com/office/drawing/2014/main" id="{8C2CF844-E88E-4E8C-8047-2F31BFAF3648}"/>
            </a:ext>
          </a:extLst>
        </xdr:cNvPr>
        <xdr:cNvSpPr txBox="1"/>
      </xdr:nvSpPr>
      <xdr:spPr>
        <a:xfrm>
          <a:off x="866775" y="2276475"/>
          <a:ext cx="14097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Executive</a:t>
          </a:r>
          <a:r>
            <a:rPr lang="en-IN" sz="1800" b="1" baseline="0">
              <a:solidFill>
                <a:schemeClr val="bg1"/>
              </a:solidFill>
            </a:rPr>
            <a:t> Summary</a:t>
          </a:r>
          <a:endParaRPr lang="en-IN" sz="1800" b="1">
            <a:solidFill>
              <a:schemeClr val="bg1"/>
            </a:solidFill>
          </a:endParaRPr>
        </a:p>
      </xdr:txBody>
    </xdr:sp>
    <xdr:clientData/>
  </xdr:twoCellAnchor>
  <xdr:twoCellAnchor>
    <xdr:from>
      <xdr:col>1</xdr:col>
      <xdr:colOff>219075</xdr:colOff>
      <xdr:row>7</xdr:row>
      <xdr:rowOff>133350</xdr:rowOff>
    </xdr:from>
    <xdr:to>
      <xdr:col>2</xdr:col>
      <xdr:colOff>581025</xdr:colOff>
      <xdr:row>9</xdr:row>
      <xdr:rowOff>104775</xdr:rowOff>
    </xdr:to>
    <xdr:sp macro="" textlink="">
      <xdr:nvSpPr>
        <xdr:cNvPr id="15" name="TextBox 14">
          <a:hlinkClick xmlns:r="http://schemas.openxmlformats.org/officeDocument/2006/relationships" r:id="rId8"/>
          <a:extLst>
            <a:ext uri="{FF2B5EF4-FFF2-40B4-BE49-F238E27FC236}">
              <a16:creationId xmlns:a16="http://schemas.microsoft.com/office/drawing/2014/main" id="{9978FCD4-3B58-4DB5-8E08-D9872E556C1D}"/>
            </a:ext>
          </a:extLst>
        </xdr:cNvPr>
        <xdr:cNvSpPr txBox="1"/>
      </xdr:nvSpPr>
      <xdr:spPr>
        <a:xfrm>
          <a:off x="828675" y="1466850"/>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editAs="oneCell">
    <xdr:from>
      <xdr:col>0</xdr:col>
      <xdr:colOff>142875</xdr:colOff>
      <xdr:row>11</xdr:row>
      <xdr:rowOff>133350</xdr:rowOff>
    </xdr:from>
    <xdr:to>
      <xdr:col>1</xdr:col>
      <xdr:colOff>129934</xdr:colOff>
      <xdr:row>15</xdr:row>
      <xdr:rowOff>161924</xdr:rowOff>
    </xdr:to>
    <xdr:pic>
      <xdr:nvPicPr>
        <xdr:cNvPr id="16" name="Picture 15">
          <a:hlinkClick xmlns:r="http://schemas.openxmlformats.org/officeDocument/2006/relationships" r:id="rId5"/>
          <a:extLst>
            <a:ext uri="{FF2B5EF4-FFF2-40B4-BE49-F238E27FC236}">
              <a16:creationId xmlns:a16="http://schemas.microsoft.com/office/drawing/2014/main" id="{CDB2F9E7-BDFE-4B4D-8690-561E72C5ACB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2875" y="2228850"/>
          <a:ext cx="596659" cy="790574"/>
        </a:xfrm>
        <a:prstGeom prst="rect">
          <a:avLst/>
        </a:prstGeom>
      </xdr:spPr>
    </xdr:pic>
    <xdr:clientData/>
  </xdr:twoCellAnchor>
  <xdr:twoCellAnchor>
    <xdr:from>
      <xdr:col>0</xdr:col>
      <xdr:colOff>76200</xdr:colOff>
      <xdr:row>20</xdr:row>
      <xdr:rowOff>133350</xdr:rowOff>
    </xdr:from>
    <xdr:to>
      <xdr:col>2</xdr:col>
      <xdr:colOff>655864</xdr:colOff>
      <xdr:row>24</xdr:row>
      <xdr:rowOff>35378</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B7E8609A-7B12-4AD6-A4AD-03C348963A5A}"/>
            </a:ext>
          </a:extLst>
        </xdr:cNvPr>
        <xdr:cNvSpPr/>
      </xdr:nvSpPr>
      <xdr:spPr>
        <a:xfrm>
          <a:off x="76200" y="394335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28575</xdr:colOff>
      <xdr:row>29</xdr:row>
      <xdr:rowOff>180975</xdr:rowOff>
    </xdr:from>
    <xdr:to>
      <xdr:col>2</xdr:col>
      <xdr:colOff>733425</xdr:colOff>
      <xdr:row>33</xdr:row>
      <xdr:rowOff>76200</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78C0722E-93AF-4FC0-ACAF-1F01437D8867}"/>
            </a:ext>
          </a:extLst>
        </xdr:cNvPr>
        <xdr:cNvSpPr txBox="1"/>
      </xdr:nvSpPr>
      <xdr:spPr>
        <a:xfrm>
          <a:off x="638175" y="5705475"/>
          <a:ext cx="17049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Payment&amp;Time</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85725</xdr:colOff>
      <xdr:row>30</xdr:row>
      <xdr:rowOff>47625</xdr:rowOff>
    </xdr:from>
    <xdr:to>
      <xdr:col>1</xdr:col>
      <xdr:colOff>104774</xdr:colOff>
      <xdr:row>33</xdr:row>
      <xdr:rowOff>104774</xdr:rowOff>
    </xdr:to>
    <xdr:pic>
      <xdr:nvPicPr>
        <xdr:cNvPr id="19" name="Picture 18">
          <a:hlinkClick xmlns:r="http://schemas.openxmlformats.org/officeDocument/2006/relationships" r:id="rId7"/>
          <a:extLst>
            <a:ext uri="{FF2B5EF4-FFF2-40B4-BE49-F238E27FC236}">
              <a16:creationId xmlns:a16="http://schemas.microsoft.com/office/drawing/2014/main" id="{74AE9DD1-41C2-4BF4-ACBB-2BC32C420E3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725" y="5762625"/>
          <a:ext cx="628649" cy="628649"/>
        </a:xfrm>
        <a:prstGeom prst="rect">
          <a:avLst/>
        </a:prstGeom>
      </xdr:spPr>
    </xdr:pic>
    <xdr:clientData/>
  </xdr:twoCellAnchor>
  <xdr:twoCellAnchor>
    <xdr:from>
      <xdr:col>0</xdr:col>
      <xdr:colOff>590550</xdr:colOff>
      <xdr:row>25</xdr:row>
      <xdr:rowOff>9525</xdr:rowOff>
    </xdr:from>
    <xdr:to>
      <xdr:col>2</xdr:col>
      <xdr:colOff>733425</xdr:colOff>
      <xdr:row>28</xdr:row>
      <xdr:rowOff>133350</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06A0001A-3BFD-4E38-AFC3-B75A04CFB3BF}"/>
            </a:ext>
          </a:extLst>
        </xdr:cNvPr>
        <xdr:cNvSpPr txBox="1"/>
      </xdr:nvSpPr>
      <xdr:spPr>
        <a:xfrm>
          <a:off x="590550" y="4772025"/>
          <a:ext cx="17526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Product&amp;Pricing</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9525</xdr:colOff>
      <xdr:row>25</xdr:row>
      <xdr:rowOff>19050</xdr:rowOff>
    </xdr:from>
    <xdr:to>
      <xdr:col>1</xdr:col>
      <xdr:colOff>57150</xdr:colOff>
      <xdr:row>28</xdr:row>
      <xdr:rowOff>38314</xdr:rowOff>
    </xdr:to>
    <xdr:pic>
      <xdr:nvPicPr>
        <xdr:cNvPr id="21" name="Picture 20">
          <a:hlinkClick xmlns:r="http://schemas.openxmlformats.org/officeDocument/2006/relationships" r:id="rId4"/>
          <a:extLst>
            <a:ext uri="{FF2B5EF4-FFF2-40B4-BE49-F238E27FC236}">
              <a16:creationId xmlns:a16="http://schemas.microsoft.com/office/drawing/2014/main" id="{F55C1F99-F071-493E-9B48-CAC83F4D416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525" y="4781550"/>
          <a:ext cx="657225" cy="590764"/>
        </a:xfrm>
        <a:prstGeom prst="rect">
          <a:avLst/>
        </a:prstGeom>
      </xdr:spPr>
    </xdr:pic>
    <xdr:clientData/>
  </xdr:twoCellAnchor>
  <xdr:twoCellAnchor>
    <xdr:from>
      <xdr:col>1</xdr:col>
      <xdr:colOff>247650</xdr:colOff>
      <xdr:row>16</xdr:row>
      <xdr:rowOff>95250</xdr:rowOff>
    </xdr:from>
    <xdr:to>
      <xdr:col>2</xdr:col>
      <xdr:colOff>685800</xdr:colOff>
      <xdr:row>20</xdr:row>
      <xdr:rowOff>95250</xdr:rowOff>
    </xdr:to>
    <xdr:sp macro="" textlink="">
      <xdr:nvSpPr>
        <xdr:cNvPr id="23" name="TextBox 22">
          <a:hlinkClick xmlns:r="http://schemas.openxmlformats.org/officeDocument/2006/relationships" r:id="rId6"/>
          <a:extLst>
            <a:ext uri="{FF2B5EF4-FFF2-40B4-BE49-F238E27FC236}">
              <a16:creationId xmlns:a16="http://schemas.microsoft.com/office/drawing/2014/main" id="{D5EE923C-87D6-4874-92F2-52BF0EA9B634}"/>
            </a:ext>
          </a:extLst>
        </xdr:cNvPr>
        <xdr:cNvSpPr txBox="1"/>
      </xdr:nvSpPr>
      <xdr:spPr>
        <a:xfrm>
          <a:off x="857250" y="3143250"/>
          <a:ext cx="14382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Performance</a:t>
          </a:r>
        </a:p>
      </xdr:txBody>
    </xdr:sp>
    <xdr:clientData/>
  </xdr:twoCellAnchor>
  <xdr:twoCellAnchor editAs="oneCell">
    <xdr:from>
      <xdr:col>0</xdr:col>
      <xdr:colOff>133350</xdr:colOff>
      <xdr:row>17</xdr:row>
      <xdr:rowOff>0</xdr:rowOff>
    </xdr:from>
    <xdr:to>
      <xdr:col>1</xdr:col>
      <xdr:colOff>180975</xdr:colOff>
      <xdr:row>19</xdr:row>
      <xdr:rowOff>95050</xdr:rowOff>
    </xdr:to>
    <xdr:pic>
      <xdr:nvPicPr>
        <xdr:cNvPr id="24" name="Picture 23">
          <a:hlinkClick xmlns:r="http://schemas.openxmlformats.org/officeDocument/2006/relationships" r:id="rId6"/>
          <a:extLst>
            <a:ext uri="{FF2B5EF4-FFF2-40B4-BE49-F238E27FC236}">
              <a16:creationId xmlns:a16="http://schemas.microsoft.com/office/drawing/2014/main" id="{174585DC-B4C9-4E6A-A345-CF71514706E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3350" y="3238500"/>
          <a:ext cx="657225" cy="476050"/>
        </a:xfrm>
        <a:prstGeom prst="rect">
          <a:avLst/>
        </a:prstGeom>
      </xdr:spPr>
    </xdr:pic>
    <xdr:clientData/>
  </xdr:twoCellAnchor>
  <xdr:twoCellAnchor>
    <xdr:from>
      <xdr:col>1</xdr:col>
      <xdr:colOff>390525</xdr:colOff>
      <xdr:row>20</xdr:row>
      <xdr:rowOff>133350</xdr:rowOff>
    </xdr:from>
    <xdr:to>
      <xdr:col>2</xdr:col>
      <xdr:colOff>742950</xdr:colOff>
      <xdr:row>24</xdr:row>
      <xdr:rowOff>95249</xdr:rowOff>
    </xdr:to>
    <xdr:sp macro="" textlink="">
      <xdr:nvSpPr>
        <xdr:cNvPr id="25" name="TextBox 24">
          <a:hlinkClick xmlns:r="http://schemas.openxmlformats.org/officeDocument/2006/relationships" r:id="rId3"/>
          <a:extLst>
            <a:ext uri="{FF2B5EF4-FFF2-40B4-BE49-F238E27FC236}">
              <a16:creationId xmlns:a16="http://schemas.microsoft.com/office/drawing/2014/main" id="{0C3EA8B5-9FD7-40DD-9224-F0C3B9056558}"/>
            </a:ext>
          </a:extLst>
        </xdr:cNvPr>
        <xdr:cNvSpPr txBox="1"/>
      </xdr:nvSpPr>
      <xdr:spPr>
        <a:xfrm>
          <a:off x="1000125" y="3943350"/>
          <a:ext cx="135255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Insights</a:t>
          </a:r>
        </a:p>
      </xdr:txBody>
    </xdr:sp>
    <xdr:clientData/>
  </xdr:twoCellAnchor>
  <xdr:twoCellAnchor>
    <xdr:from>
      <xdr:col>0</xdr:col>
      <xdr:colOff>161925</xdr:colOff>
      <xdr:row>20</xdr:row>
      <xdr:rowOff>152400</xdr:rowOff>
    </xdr:from>
    <xdr:to>
      <xdr:col>1</xdr:col>
      <xdr:colOff>276225</xdr:colOff>
      <xdr:row>24</xdr:row>
      <xdr:rowOff>19050</xdr:rowOff>
    </xdr:to>
    <xdr:sp macro="" textlink="">
      <xdr:nvSpPr>
        <xdr:cNvPr id="27" name="Oval 26">
          <a:extLst>
            <a:ext uri="{FF2B5EF4-FFF2-40B4-BE49-F238E27FC236}">
              <a16:creationId xmlns:a16="http://schemas.microsoft.com/office/drawing/2014/main" id="{0CB29143-A90F-4A77-9038-A9A34C819A62}"/>
            </a:ext>
          </a:extLst>
        </xdr:cNvPr>
        <xdr:cNvSpPr/>
      </xdr:nvSpPr>
      <xdr:spPr>
        <a:xfrm>
          <a:off x="161925" y="3962400"/>
          <a:ext cx="723900" cy="6286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276225</xdr:colOff>
      <xdr:row>21</xdr:row>
      <xdr:rowOff>57150</xdr:rowOff>
    </xdr:from>
    <xdr:to>
      <xdr:col>1</xdr:col>
      <xdr:colOff>251085</xdr:colOff>
      <xdr:row>23</xdr:row>
      <xdr:rowOff>133349</xdr:rowOff>
    </xdr:to>
    <xdr:pic>
      <xdr:nvPicPr>
        <xdr:cNvPr id="26" name="Picture 25">
          <a:hlinkClick xmlns:r="http://schemas.openxmlformats.org/officeDocument/2006/relationships" r:id="rId3"/>
          <a:extLst>
            <a:ext uri="{FF2B5EF4-FFF2-40B4-BE49-F238E27FC236}">
              <a16:creationId xmlns:a16="http://schemas.microsoft.com/office/drawing/2014/main" id="{E6488051-52CA-46D9-829A-06C2BEF11F1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76225" y="4057650"/>
          <a:ext cx="584460" cy="457199"/>
        </a:xfrm>
        <a:prstGeom prst="rect">
          <a:avLst/>
        </a:prstGeom>
      </xdr:spPr>
    </xdr:pic>
    <xdr:clientData/>
  </xdr:twoCellAnchor>
  <xdr:twoCellAnchor>
    <xdr:from>
      <xdr:col>0</xdr:col>
      <xdr:colOff>190500</xdr:colOff>
      <xdr:row>2</xdr:row>
      <xdr:rowOff>123825</xdr:rowOff>
    </xdr:from>
    <xdr:to>
      <xdr:col>1</xdr:col>
      <xdr:colOff>123825</xdr:colOff>
      <xdr:row>5</xdr:row>
      <xdr:rowOff>66675</xdr:rowOff>
    </xdr:to>
    <xdr:sp macro="" textlink="">
      <xdr:nvSpPr>
        <xdr:cNvPr id="29" name="Oval 28">
          <a:extLst>
            <a:ext uri="{FF2B5EF4-FFF2-40B4-BE49-F238E27FC236}">
              <a16:creationId xmlns:a16="http://schemas.microsoft.com/office/drawing/2014/main" id="{5467AB23-6906-43DB-9058-039181540019}"/>
            </a:ext>
          </a:extLst>
        </xdr:cNvPr>
        <xdr:cNvSpPr/>
      </xdr:nvSpPr>
      <xdr:spPr>
        <a:xfrm>
          <a:off x="190500" y="504825"/>
          <a:ext cx="542925" cy="51435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219075</xdr:colOff>
      <xdr:row>2</xdr:row>
      <xdr:rowOff>133350</xdr:rowOff>
    </xdr:from>
    <xdr:to>
      <xdr:col>1</xdr:col>
      <xdr:colOff>171450</xdr:colOff>
      <xdr:row>5</xdr:row>
      <xdr:rowOff>80116</xdr:rowOff>
    </xdr:to>
    <xdr:pic>
      <xdr:nvPicPr>
        <xdr:cNvPr id="28" name="Picture 27">
          <a:extLst>
            <a:ext uri="{FF2B5EF4-FFF2-40B4-BE49-F238E27FC236}">
              <a16:creationId xmlns:a16="http://schemas.microsoft.com/office/drawing/2014/main" id="{621E4BB5-5FA6-410B-BAF6-486C71E9457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19075" y="514350"/>
          <a:ext cx="561975" cy="518266"/>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1362074</xdr:colOff>
      <xdr:row>11</xdr:row>
      <xdr:rowOff>28575</xdr:rowOff>
    </xdr:from>
    <xdr:to>
      <xdr:col>16</xdr:col>
      <xdr:colOff>209550</xdr:colOff>
      <xdr:row>26</xdr:row>
      <xdr:rowOff>171449</xdr:rowOff>
    </xdr:to>
    <xdr:graphicFrame macro="">
      <xdr:nvGraphicFramePr>
        <xdr:cNvPr id="2" name="Chart 1">
          <a:extLst>
            <a:ext uri="{FF2B5EF4-FFF2-40B4-BE49-F238E27FC236}">
              <a16:creationId xmlns:a16="http://schemas.microsoft.com/office/drawing/2014/main" id="{07E00CFC-DFB5-2CBE-8746-5751F9053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166687</xdr:colOff>
      <xdr:row>11</xdr:row>
      <xdr:rowOff>9525</xdr:rowOff>
    </xdr:from>
    <xdr:to>
      <xdr:col>11</xdr:col>
      <xdr:colOff>1114425</xdr:colOff>
      <xdr:row>27</xdr:row>
      <xdr:rowOff>38100</xdr:rowOff>
    </xdr:to>
    <xdr:graphicFrame macro="">
      <xdr:nvGraphicFramePr>
        <xdr:cNvPr id="3" name="Chart 2">
          <a:extLst>
            <a:ext uri="{FF2B5EF4-FFF2-40B4-BE49-F238E27FC236}">
              <a16:creationId xmlns:a16="http://schemas.microsoft.com/office/drawing/2014/main" id="{CE3C21E6-4DAC-9E2C-2201-D7D87D3DE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0</xdr:row>
      <xdr:rowOff>85725</xdr:rowOff>
    </xdr:from>
    <xdr:to>
      <xdr:col>3</xdr:col>
      <xdr:colOff>485775</xdr:colOff>
      <xdr:row>33</xdr:row>
      <xdr:rowOff>104775</xdr:rowOff>
    </xdr:to>
    <xdr:sp macro="" textlink="">
      <xdr:nvSpPr>
        <xdr:cNvPr id="5" name="Rectangle: Rounded Corners 4">
          <a:extLst>
            <a:ext uri="{FF2B5EF4-FFF2-40B4-BE49-F238E27FC236}">
              <a16:creationId xmlns:a16="http://schemas.microsoft.com/office/drawing/2014/main" id="{25893065-6CCB-4212-BB4A-ADF70D0935EC}"/>
            </a:ext>
          </a:extLst>
        </xdr:cNvPr>
        <xdr:cNvSpPr/>
      </xdr:nvSpPr>
      <xdr:spPr>
        <a:xfrm>
          <a:off x="76200" y="85725"/>
          <a:ext cx="2238375" cy="6305550"/>
        </a:xfrm>
        <a:prstGeom prst="roundRect">
          <a:avLst>
            <a:gd name="adj" fmla="val 5876"/>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238125</xdr:colOff>
      <xdr:row>29</xdr:row>
      <xdr:rowOff>171450</xdr:rowOff>
    </xdr:from>
    <xdr:to>
      <xdr:col>3</xdr:col>
      <xdr:colOff>598714</xdr:colOff>
      <xdr:row>33</xdr:row>
      <xdr:rowOff>73478</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DDAFAC7C-1434-4C54-9F5E-FE7CD56DD273}"/>
            </a:ext>
          </a:extLst>
        </xdr:cNvPr>
        <xdr:cNvSpPr/>
      </xdr:nvSpPr>
      <xdr:spPr>
        <a:xfrm>
          <a:off x="238125" y="5695950"/>
          <a:ext cx="2189389" cy="66402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29</xdr:row>
      <xdr:rowOff>9525</xdr:rowOff>
    </xdr:from>
    <xdr:to>
      <xdr:col>3</xdr:col>
      <xdr:colOff>446314</xdr:colOff>
      <xdr:row>32</xdr:row>
      <xdr:rowOff>102053</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FE6025D3-470E-47F3-A0D7-F19AA8A44514}"/>
            </a:ext>
          </a:extLst>
        </xdr:cNvPr>
        <xdr:cNvSpPr/>
      </xdr:nvSpPr>
      <xdr:spPr>
        <a:xfrm>
          <a:off x="85725" y="55340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20</xdr:row>
      <xdr:rowOff>161925</xdr:rowOff>
    </xdr:from>
    <xdr:to>
      <xdr:col>3</xdr:col>
      <xdr:colOff>427264</xdr:colOff>
      <xdr:row>24</xdr:row>
      <xdr:rowOff>63953</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9BE812EB-AEA7-4A02-AF20-81032E7E8DC5}"/>
            </a:ext>
          </a:extLst>
        </xdr:cNvPr>
        <xdr:cNvSpPr/>
      </xdr:nvSpPr>
      <xdr:spPr>
        <a:xfrm>
          <a:off x="66675" y="397192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16</xdr:row>
      <xdr:rowOff>66675</xdr:rowOff>
    </xdr:from>
    <xdr:to>
      <xdr:col>3</xdr:col>
      <xdr:colOff>436789</xdr:colOff>
      <xdr:row>19</xdr:row>
      <xdr:rowOff>159203</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ABFD9F7D-41F7-4E36-97EB-D854F64195A5}"/>
            </a:ext>
          </a:extLst>
        </xdr:cNvPr>
        <xdr:cNvSpPr/>
      </xdr:nvSpPr>
      <xdr:spPr>
        <a:xfrm>
          <a:off x="76200" y="31146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11</xdr:row>
      <xdr:rowOff>152400</xdr:rowOff>
    </xdr:from>
    <xdr:to>
      <xdr:col>3</xdr:col>
      <xdr:colOff>455839</xdr:colOff>
      <xdr:row>15</xdr:row>
      <xdr:rowOff>54428</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96EFD147-EFB9-45C9-80A4-A16108B6E1D6}"/>
            </a:ext>
          </a:extLst>
        </xdr:cNvPr>
        <xdr:cNvSpPr/>
      </xdr:nvSpPr>
      <xdr:spPr>
        <a:xfrm>
          <a:off x="95250" y="22479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7</xdr:row>
      <xdr:rowOff>38100</xdr:rowOff>
    </xdr:from>
    <xdr:to>
      <xdr:col>3</xdr:col>
      <xdr:colOff>455839</xdr:colOff>
      <xdr:row>10</xdr:row>
      <xdr:rowOff>130628</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1ECBEF07-3D7D-45BC-80A8-4D06487F6D6C}"/>
            </a:ext>
          </a:extLst>
        </xdr:cNvPr>
        <xdr:cNvSpPr/>
      </xdr:nvSpPr>
      <xdr:spPr>
        <a:xfrm>
          <a:off x="95250" y="1371600"/>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2</xdr:row>
      <xdr:rowOff>28575</xdr:rowOff>
    </xdr:from>
    <xdr:to>
      <xdr:col>3</xdr:col>
      <xdr:colOff>455839</xdr:colOff>
      <xdr:row>5</xdr:row>
      <xdr:rowOff>121103</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3BA55D3-1200-427E-A765-AA4B605F6BD4}"/>
            </a:ext>
          </a:extLst>
        </xdr:cNvPr>
        <xdr:cNvSpPr/>
      </xdr:nvSpPr>
      <xdr:spPr>
        <a:xfrm>
          <a:off x="95250" y="4095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333375</xdr:colOff>
      <xdr:row>2</xdr:row>
      <xdr:rowOff>38100</xdr:rowOff>
    </xdr:from>
    <xdr:to>
      <xdr:col>3</xdr:col>
      <xdr:colOff>476250</xdr:colOff>
      <xdr:row>5</xdr:row>
      <xdr:rowOff>133350</xdr:rowOff>
    </xdr:to>
    <xdr:sp macro="" textlink="">
      <xdr:nvSpPr>
        <xdr:cNvPr id="13" name="Rectangle 12">
          <a:extLst>
            <a:ext uri="{FF2B5EF4-FFF2-40B4-BE49-F238E27FC236}">
              <a16:creationId xmlns:a16="http://schemas.microsoft.com/office/drawing/2014/main" id="{3F0F327B-E063-4E96-9C9F-D6E03C9C5438}"/>
            </a:ext>
          </a:extLst>
        </xdr:cNvPr>
        <xdr:cNvSpPr/>
      </xdr:nvSpPr>
      <xdr:spPr>
        <a:xfrm>
          <a:off x="942975" y="419100"/>
          <a:ext cx="1362075" cy="666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n>
                <a:noFill/>
              </a:ln>
              <a:solidFill>
                <a:schemeClr val="accent6">
                  <a:lumMod val="50000"/>
                </a:schemeClr>
              </a:solidFill>
              <a:latin typeface="Bahnschrift SemiBold SemiConden" panose="020B0502040204020203" pitchFamily="34" charset="0"/>
            </a:rPr>
            <a:t>Ocean Super Market</a:t>
          </a:r>
        </a:p>
      </xdr:txBody>
    </xdr:sp>
    <xdr:clientData/>
  </xdr:twoCellAnchor>
  <xdr:twoCellAnchor editAs="oneCell">
    <xdr:from>
      <xdr:col>0</xdr:col>
      <xdr:colOff>133350</xdr:colOff>
      <xdr:row>7</xdr:row>
      <xdr:rowOff>142875</xdr:rowOff>
    </xdr:from>
    <xdr:to>
      <xdr:col>1</xdr:col>
      <xdr:colOff>76199</xdr:colOff>
      <xdr:row>10</xdr:row>
      <xdr:rowOff>123824</xdr:rowOff>
    </xdr:to>
    <xdr:pic>
      <xdr:nvPicPr>
        <xdr:cNvPr id="14" name="Picture 13">
          <a:hlinkClick xmlns:r="http://schemas.openxmlformats.org/officeDocument/2006/relationships" r:id="rId7"/>
          <a:extLst>
            <a:ext uri="{FF2B5EF4-FFF2-40B4-BE49-F238E27FC236}">
              <a16:creationId xmlns:a16="http://schemas.microsoft.com/office/drawing/2014/main" id="{6F3CD325-C1C7-4535-8CA4-F5A6CF7FE81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flipV="1">
          <a:off x="133350" y="1476375"/>
          <a:ext cx="552449" cy="552449"/>
        </a:xfrm>
        <a:prstGeom prst="rect">
          <a:avLst/>
        </a:prstGeom>
      </xdr:spPr>
    </xdr:pic>
    <xdr:clientData/>
  </xdr:twoCellAnchor>
  <xdr:twoCellAnchor>
    <xdr:from>
      <xdr:col>1</xdr:col>
      <xdr:colOff>438150</xdr:colOff>
      <xdr:row>11</xdr:row>
      <xdr:rowOff>142875</xdr:rowOff>
    </xdr:from>
    <xdr:to>
      <xdr:col>3</xdr:col>
      <xdr:colOff>628650</xdr:colOff>
      <xdr:row>15</xdr:row>
      <xdr:rowOff>114300</xdr:rowOff>
    </xdr:to>
    <xdr:sp macro="" textlink="">
      <xdr:nvSpPr>
        <xdr:cNvPr id="15" name="TextBox 14">
          <a:hlinkClick xmlns:r="http://schemas.openxmlformats.org/officeDocument/2006/relationships" r:id="rId6"/>
          <a:extLst>
            <a:ext uri="{FF2B5EF4-FFF2-40B4-BE49-F238E27FC236}">
              <a16:creationId xmlns:a16="http://schemas.microsoft.com/office/drawing/2014/main" id="{BBB2B08E-12CE-4CAF-9D99-AD023516C37C}"/>
            </a:ext>
          </a:extLst>
        </xdr:cNvPr>
        <xdr:cNvSpPr txBox="1"/>
      </xdr:nvSpPr>
      <xdr:spPr>
        <a:xfrm>
          <a:off x="1047750" y="2238375"/>
          <a:ext cx="140970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Executive</a:t>
          </a:r>
          <a:r>
            <a:rPr lang="en-IN" sz="1800" b="1" baseline="0">
              <a:solidFill>
                <a:schemeClr val="bg1"/>
              </a:solidFill>
            </a:rPr>
            <a:t> Summary</a:t>
          </a:r>
          <a:endParaRPr lang="en-IN" sz="1800" b="1">
            <a:solidFill>
              <a:schemeClr val="bg1"/>
            </a:solidFill>
          </a:endParaRPr>
        </a:p>
      </xdr:txBody>
    </xdr:sp>
    <xdr:clientData/>
  </xdr:twoCellAnchor>
  <xdr:twoCellAnchor>
    <xdr:from>
      <xdr:col>1</xdr:col>
      <xdr:colOff>219075</xdr:colOff>
      <xdr:row>7</xdr:row>
      <xdr:rowOff>171450</xdr:rowOff>
    </xdr:from>
    <xdr:to>
      <xdr:col>3</xdr:col>
      <xdr:colOff>361950</xdr:colOff>
      <xdr:row>9</xdr:row>
      <xdr:rowOff>142875</xdr:rowOff>
    </xdr:to>
    <xdr:sp macro="" textlink="">
      <xdr:nvSpPr>
        <xdr:cNvPr id="16" name="TextBox 15">
          <a:hlinkClick xmlns:r="http://schemas.openxmlformats.org/officeDocument/2006/relationships" r:id="rId7"/>
          <a:extLst>
            <a:ext uri="{FF2B5EF4-FFF2-40B4-BE49-F238E27FC236}">
              <a16:creationId xmlns:a16="http://schemas.microsoft.com/office/drawing/2014/main" id="{D5749B62-CA74-471C-B042-6CBD6532941C}"/>
            </a:ext>
          </a:extLst>
        </xdr:cNvPr>
        <xdr:cNvSpPr txBox="1"/>
      </xdr:nvSpPr>
      <xdr:spPr>
        <a:xfrm>
          <a:off x="828675" y="1504950"/>
          <a:ext cx="13620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DashBoard</a:t>
          </a:r>
        </a:p>
      </xdr:txBody>
    </xdr:sp>
    <xdr:clientData/>
  </xdr:twoCellAnchor>
  <xdr:twoCellAnchor editAs="oneCell">
    <xdr:from>
      <xdr:col>0</xdr:col>
      <xdr:colOff>238125</xdr:colOff>
      <xdr:row>11</xdr:row>
      <xdr:rowOff>66675</xdr:rowOff>
    </xdr:from>
    <xdr:to>
      <xdr:col>1</xdr:col>
      <xdr:colOff>225184</xdr:colOff>
      <xdr:row>15</xdr:row>
      <xdr:rowOff>95249</xdr:rowOff>
    </xdr:to>
    <xdr:pic>
      <xdr:nvPicPr>
        <xdr:cNvPr id="17" name="Picture 16">
          <a:hlinkClick xmlns:r="http://schemas.openxmlformats.org/officeDocument/2006/relationships" r:id="rId6"/>
          <a:extLst>
            <a:ext uri="{FF2B5EF4-FFF2-40B4-BE49-F238E27FC236}">
              <a16:creationId xmlns:a16="http://schemas.microsoft.com/office/drawing/2014/main" id="{0C43416A-FB82-417A-A843-AE99FBAECA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38125" y="2162175"/>
          <a:ext cx="596659" cy="790574"/>
        </a:xfrm>
        <a:prstGeom prst="rect">
          <a:avLst/>
        </a:prstGeom>
      </xdr:spPr>
    </xdr:pic>
    <xdr:clientData/>
  </xdr:twoCellAnchor>
  <xdr:twoCellAnchor>
    <xdr:from>
      <xdr:col>0</xdr:col>
      <xdr:colOff>76200</xdr:colOff>
      <xdr:row>24</xdr:row>
      <xdr:rowOff>180975</xdr:rowOff>
    </xdr:from>
    <xdr:to>
      <xdr:col>3</xdr:col>
      <xdr:colOff>436789</xdr:colOff>
      <xdr:row>28</xdr:row>
      <xdr:rowOff>83003</xdr:rowOff>
    </xdr:to>
    <xdr:sp macro="" textlink="">
      <xdr:nvSpPr>
        <xdr:cNvPr id="18" name="Rectangle: Rounded Corners 17">
          <a:hlinkClick xmlns:r="http://schemas.openxmlformats.org/officeDocument/2006/relationships" r:id="rId10"/>
          <a:extLst>
            <a:ext uri="{FF2B5EF4-FFF2-40B4-BE49-F238E27FC236}">
              <a16:creationId xmlns:a16="http://schemas.microsoft.com/office/drawing/2014/main" id="{18737BCE-B2ED-4F15-8636-836B9CA69DD5}"/>
            </a:ext>
          </a:extLst>
        </xdr:cNvPr>
        <xdr:cNvSpPr/>
      </xdr:nvSpPr>
      <xdr:spPr>
        <a:xfrm>
          <a:off x="76200" y="4752975"/>
          <a:ext cx="2189389" cy="66402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85725</xdr:colOff>
      <xdr:row>29</xdr:row>
      <xdr:rowOff>19050</xdr:rowOff>
    </xdr:from>
    <xdr:to>
      <xdr:col>3</xdr:col>
      <xdr:colOff>571500</xdr:colOff>
      <xdr:row>32</xdr:row>
      <xdr:rowOff>104775</xdr:rowOff>
    </xdr:to>
    <xdr:sp macro="" textlink="">
      <xdr:nvSpPr>
        <xdr:cNvPr id="19" name="TextBox 18">
          <a:hlinkClick xmlns:r="http://schemas.openxmlformats.org/officeDocument/2006/relationships" r:id="rId3"/>
          <a:extLst>
            <a:ext uri="{FF2B5EF4-FFF2-40B4-BE49-F238E27FC236}">
              <a16:creationId xmlns:a16="http://schemas.microsoft.com/office/drawing/2014/main" id="{84D0F19F-B9EB-4844-97DE-22DC44FBAF66}"/>
            </a:ext>
          </a:extLst>
        </xdr:cNvPr>
        <xdr:cNvSpPr txBox="1"/>
      </xdr:nvSpPr>
      <xdr:spPr>
        <a:xfrm>
          <a:off x="695325" y="5543550"/>
          <a:ext cx="170497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Payment&amp;Time</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104775</xdr:colOff>
      <xdr:row>29</xdr:row>
      <xdr:rowOff>47625</xdr:rowOff>
    </xdr:from>
    <xdr:to>
      <xdr:col>1</xdr:col>
      <xdr:colOff>123824</xdr:colOff>
      <xdr:row>32</xdr:row>
      <xdr:rowOff>104774</xdr:rowOff>
    </xdr:to>
    <xdr:pic>
      <xdr:nvPicPr>
        <xdr:cNvPr id="20" name="Picture 19">
          <a:hlinkClick xmlns:r="http://schemas.openxmlformats.org/officeDocument/2006/relationships" r:id="rId3"/>
          <a:extLst>
            <a:ext uri="{FF2B5EF4-FFF2-40B4-BE49-F238E27FC236}">
              <a16:creationId xmlns:a16="http://schemas.microsoft.com/office/drawing/2014/main" id="{E377A604-F07B-49F2-B1D7-5426D54F624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4775" y="5572125"/>
          <a:ext cx="628649" cy="628649"/>
        </a:xfrm>
        <a:prstGeom prst="rect">
          <a:avLst/>
        </a:prstGeom>
      </xdr:spPr>
    </xdr:pic>
    <xdr:clientData/>
  </xdr:twoCellAnchor>
  <xdr:twoCellAnchor>
    <xdr:from>
      <xdr:col>1</xdr:col>
      <xdr:colOff>19050</xdr:colOff>
      <xdr:row>25</xdr:row>
      <xdr:rowOff>0</xdr:rowOff>
    </xdr:from>
    <xdr:to>
      <xdr:col>3</xdr:col>
      <xdr:colOff>552450</xdr:colOff>
      <xdr:row>28</xdr:row>
      <xdr:rowOff>123825</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C0C82DEC-3E76-4F93-9D5D-09B0AC88E290}"/>
            </a:ext>
          </a:extLst>
        </xdr:cNvPr>
        <xdr:cNvSpPr txBox="1"/>
      </xdr:nvSpPr>
      <xdr:spPr>
        <a:xfrm>
          <a:off x="628650" y="4762500"/>
          <a:ext cx="17526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Product&amp;Pricing</a:t>
          </a:r>
          <a:r>
            <a:rPr lang="en-IN" sz="1800" b="1" baseline="0">
              <a:solidFill>
                <a:schemeClr val="bg1"/>
              </a:solidFill>
            </a:rPr>
            <a:t> Analysis</a:t>
          </a:r>
          <a:endParaRPr lang="en-IN" sz="1800" b="1">
            <a:solidFill>
              <a:schemeClr val="bg1"/>
            </a:solidFill>
          </a:endParaRPr>
        </a:p>
      </xdr:txBody>
    </xdr:sp>
    <xdr:clientData/>
  </xdr:twoCellAnchor>
  <xdr:twoCellAnchor editAs="oneCell">
    <xdr:from>
      <xdr:col>0</xdr:col>
      <xdr:colOff>28575</xdr:colOff>
      <xdr:row>24</xdr:row>
      <xdr:rowOff>152400</xdr:rowOff>
    </xdr:from>
    <xdr:to>
      <xdr:col>1</xdr:col>
      <xdr:colOff>76200</xdr:colOff>
      <xdr:row>27</xdr:row>
      <xdr:rowOff>171664</xdr:rowOff>
    </xdr:to>
    <xdr:pic>
      <xdr:nvPicPr>
        <xdr:cNvPr id="22" name="Picture 21">
          <a:hlinkClick xmlns:r="http://schemas.openxmlformats.org/officeDocument/2006/relationships" r:id="rId10"/>
          <a:extLst>
            <a:ext uri="{FF2B5EF4-FFF2-40B4-BE49-F238E27FC236}">
              <a16:creationId xmlns:a16="http://schemas.microsoft.com/office/drawing/2014/main" id="{FF693E2D-CB22-4890-98D6-068B9992689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8575" y="4724400"/>
          <a:ext cx="657225" cy="590764"/>
        </a:xfrm>
        <a:prstGeom prst="rect">
          <a:avLst/>
        </a:prstGeom>
      </xdr:spPr>
    </xdr:pic>
    <xdr:clientData/>
  </xdr:twoCellAnchor>
  <xdr:twoCellAnchor>
    <xdr:from>
      <xdr:col>1</xdr:col>
      <xdr:colOff>295275</xdr:colOff>
      <xdr:row>16</xdr:row>
      <xdr:rowOff>66675</xdr:rowOff>
    </xdr:from>
    <xdr:to>
      <xdr:col>3</xdr:col>
      <xdr:colOff>514350</xdr:colOff>
      <xdr:row>20</xdr:row>
      <xdr:rowOff>66675</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8C5EA0C0-7862-4B9D-B185-79C46DC7C081}"/>
            </a:ext>
          </a:extLst>
        </xdr:cNvPr>
        <xdr:cNvSpPr txBox="1"/>
      </xdr:nvSpPr>
      <xdr:spPr>
        <a:xfrm>
          <a:off x="904875" y="3114675"/>
          <a:ext cx="143827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 Performance</a:t>
          </a:r>
        </a:p>
      </xdr:txBody>
    </xdr:sp>
    <xdr:clientData/>
  </xdr:twoCellAnchor>
  <xdr:twoCellAnchor editAs="oneCell">
    <xdr:from>
      <xdr:col>0</xdr:col>
      <xdr:colOff>190500</xdr:colOff>
      <xdr:row>16</xdr:row>
      <xdr:rowOff>142875</xdr:rowOff>
    </xdr:from>
    <xdr:to>
      <xdr:col>1</xdr:col>
      <xdr:colOff>238125</xdr:colOff>
      <xdr:row>19</xdr:row>
      <xdr:rowOff>47425</xdr:rowOff>
    </xdr:to>
    <xdr:pic>
      <xdr:nvPicPr>
        <xdr:cNvPr id="24" name="Picture 23">
          <a:hlinkClick xmlns:r="http://schemas.openxmlformats.org/officeDocument/2006/relationships" r:id="rId5"/>
          <a:extLst>
            <a:ext uri="{FF2B5EF4-FFF2-40B4-BE49-F238E27FC236}">
              <a16:creationId xmlns:a16="http://schemas.microsoft.com/office/drawing/2014/main" id="{0ABE7EA8-6083-4003-837B-4F1721BC320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0500" y="3190875"/>
          <a:ext cx="657225" cy="476050"/>
        </a:xfrm>
        <a:prstGeom prst="rect">
          <a:avLst/>
        </a:prstGeom>
      </xdr:spPr>
    </xdr:pic>
    <xdr:clientData/>
  </xdr:twoCellAnchor>
  <xdr:twoCellAnchor>
    <xdr:from>
      <xdr:col>1</xdr:col>
      <xdr:colOff>352425</xdr:colOff>
      <xdr:row>20</xdr:row>
      <xdr:rowOff>142875</xdr:rowOff>
    </xdr:from>
    <xdr:to>
      <xdr:col>3</xdr:col>
      <xdr:colOff>485775</xdr:colOff>
      <xdr:row>24</xdr:row>
      <xdr:rowOff>104774</xdr:rowOff>
    </xdr:to>
    <xdr:sp macro="" textlink="">
      <xdr:nvSpPr>
        <xdr:cNvPr id="25" name="TextBox 24">
          <a:hlinkClick xmlns:r="http://schemas.openxmlformats.org/officeDocument/2006/relationships" r:id="rId4"/>
          <a:extLst>
            <a:ext uri="{FF2B5EF4-FFF2-40B4-BE49-F238E27FC236}">
              <a16:creationId xmlns:a16="http://schemas.microsoft.com/office/drawing/2014/main" id="{70F9A268-2762-40D3-A24E-44F17975EB8A}"/>
            </a:ext>
          </a:extLst>
        </xdr:cNvPr>
        <xdr:cNvSpPr txBox="1"/>
      </xdr:nvSpPr>
      <xdr:spPr>
        <a:xfrm>
          <a:off x="962025" y="3952875"/>
          <a:ext cx="1352550" cy="72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Customer Insights</a:t>
          </a:r>
        </a:p>
      </xdr:txBody>
    </xdr:sp>
    <xdr:clientData/>
  </xdr:twoCellAnchor>
  <xdr:twoCellAnchor>
    <xdr:from>
      <xdr:col>0</xdr:col>
      <xdr:colOff>123825</xdr:colOff>
      <xdr:row>21</xdr:row>
      <xdr:rowOff>0</xdr:rowOff>
    </xdr:from>
    <xdr:to>
      <xdr:col>1</xdr:col>
      <xdr:colOff>238125</xdr:colOff>
      <xdr:row>24</xdr:row>
      <xdr:rowOff>57150</xdr:rowOff>
    </xdr:to>
    <xdr:sp macro="" textlink="">
      <xdr:nvSpPr>
        <xdr:cNvPr id="27" name="Oval 26">
          <a:extLst>
            <a:ext uri="{FF2B5EF4-FFF2-40B4-BE49-F238E27FC236}">
              <a16:creationId xmlns:a16="http://schemas.microsoft.com/office/drawing/2014/main" id="{9B39081D-E42C-4A8B-BA34-F26A39A66F8E}"/>
            </a:ext>
          </a:extLst>
        </xdr:cNvPr>
        <xdr:cNvSpPr/>
      </xdr:nvSpPr>
      <xdr:spPr>
        <a:xfrm>
          <a:off x="123825" y="4000500"/>
          <a:ext cx="723900" cy="6286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238125</xdr:colOff>
      <xdr:row>21</xdr:row>
      <xdr:rowOff>104775</xdr:rowOff>
    </xdr:from>
    <xdr:to>
      <xdr:col>1</xdr:col>
      <xdr:colOff>212985</xdr:colOff>
      <xdr:row>23</xdr:row>
      <xdr:rowOff>180974</xdr:rowOff>
    </xdr:to>
    <xdr:pic>
      <xdr:nvPicPr>
        <xdr:cNvPr id="26" name="Picture 25">
          <a:hlinkClick xmlns:r="http://schemas.openxmlformats.org/officeDocument/2006/relationships" r:id="rId4"/>
          <a:extLst>
            <a:ext uri="{FF2B5EF4-FFF2-40B4-BE49-F238E27FC236}">
              <a16:creationId xmlns:a16="http://schemas.microsoft.com/office/drawing/2014/main" id="{ECA8CA4B-915F-4BD0-9B3A-B91C0A1C231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8125" y="4105275"/>
          <a:ext cx="584460" cy="457199"/>
        </a:xfrm>
        <a:prstGeom prst="rect">
          <a:avLst/>
        </a:prstGeom>
      </xdr:spPr>
    </xdr:pic>
    <xdr:clientData/>
  </xdr:twoCellAnchor>
  <xdr:twoCellAnchor>
    <xdr:from>
      <xdr:col>0</xdr:col>
      <xdr:colOff>190500</xdr:colOff>
      <xdr:row>2</xdr:row>
      <xdr:rowOff>104775</xdr:rowOff>
    </xdr:from>
    <xdr:to>
      <xdr:col>1</xdr:col>
      <xdr:colOff>123825</xdr:colOff>
      <xdr:row>5</xdr:row>
      <xdr:rowOff>47625</xdr:rowOff>
    </xdr:to>
    <xdr:sp macro="" textlink="">
      <xdr:nvSpPr>
        <xdr:cNvPr id="29" name="Oval 28">
          <a:extLst>
            <a:ext uri="{FF2B5EF4-FFF2-40B4-BE49-F238E27FC236}">
              <a16:creationId xmlns:a16="http://schemas.microsoft.com/office/drawing/2014/main" id="{156B5B6B-03BB-481C-A63A-3E7140B1AD39}"/>
            </a:ext>
          </a:extLst>
        </xdr:cNvPr>
        <xdr:cNvSpPr/>
      </xdr:nvSpPr>
      <xdr:spPr>
        <a:xfrm>
          <a:off x="190500" y="485775"/>
          <a:ext cx="542925" cy="51435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238125</xdr:colOff>
      <xdr:row>2</xdr:row>
      <xdr:rowOff>123825</xdr:rowOff>
    </xdr:from>
    <xdr:to>
      <xdr:col>1</xdr:col>
      <xdr:colOff>190500</xdr:colOff>
      <xdr:row>5</xdr:row>
      <xdr:rowOff>70591</xdr:rowOff>
    </xdr:to>
    <xdr:pic>
      <xdr:nvPicPr>
        <xdr:cNvPr id="28" name="Picture 27">
          <a:extLst>
            <a:ext uri="{FF2B5EF4-FFF2-40B4-BE49-F238E27FC236}">
              <a16:creationId xmlns:a16="http://schemas.microsoft.com/office/drawing/2014/main" id="{B3A4D76D-BA9F-4D7D-B004-45424AE948A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8125" y="504825"/>
          <a:ext cx="561975" cy="518266"/>
        </a:xfrm>
        <a:prstGeom prst="rect">
          <a:avLst/>
        </a:prstGeom>
        <a:ln>
          <a:noFill/>
        </a:ln>
        <a:effectLst>
          <a:outerShdw blurRad="292100" dist="139700" dir="2700000" algn="tl" rotWithShape="0">
            <a:srgbClr val="333333">
              <a:alpha val="65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ne" refreshedDate="46024.754935185185" createdVersion="8" refreshedVersion="8" minRefreshableVersion="3" recordCount="1002" xr:uid="{15BD1310-59B9-4F4D-BB61-BAD9902E6D76}">
  <cacheSource type="worksheet">
    <worksheetSource ref="A1:Q1048576" sheet="Sourse Data"/>
  </cacheSource>
  <cacheFields count="21">
    <cacheField name="Invoice ID" numFmtId="2">
      <sharedItems containsBlank="1"/>
    </cacheField>
    <cacheField name="Branch" numFmtId="49">
      <sharedItems containsBlank="1" count="4">
        <s v="A"/>
        <s v="C"/>
        <s v="B"/>
        <m/>
      </sharedItems>
    </cacheField>
    <cacheField name="City" numFmtId="49">
      <sharedItems containsBlank="1" count="4">
        <s v="Yangon"/>
        <s v="Naypyidaw"/>
        <s v="Mandalay"/>
        <m/>
      </sharedItems>
    </cacheField>
    <cacheField name="Customer type" numFmtId="49">
      <sharedItems containsBlank="1"/>
    </cacheField>
    <cacheField name="Gender" numFmtId="49">
      <sharedItems containsBlank="1"/>
    </cacheField>
    <cacheField name="Product Type" numFmtId="49">
      <sharedItems containsBlank="1" count="7">
        <s v="Health and beauty"/>
        <s v="Electronic accessories"/>
        <s v="Home and lifestyle"/>
        <s v="Sports and travel"/>
        <s v="Food and beverages"/>
        <s v="Fashion accessories"/>
        <m/>
      </sharedItems>
    </cacheField>
    <cacheField name="Unit price" numFmtId="165">
      <sharedItems containsString="0" containsBlank="1" containsNumber="1" minValue="10.08" maxValue="99.96"/>
    </cacheField>
    <cacheField name="Quantity" numFmtId="1">
      <sharedItems containsString="0" containsBlank="1" containsNumber="1" containsInteger="1" minValue="1" maxValue="10"/>
    </cacheField>
    <cacheField name="Tax 5%" numFmtId="165">
      <sharedItems containsString="0" containsBlank="1" containsNumber="1" minValue="0.50849999999999995" maxValue="49.65"/>
    </cacheField>
    <cacheField name="Total" numFmtId="165">
      <sharedItems containsString="0" containsBlank="1" containsNumber="1" minValue="10.6785" maxValue="1042.6500000000001"/>
    </cacheField>
    <cacheField name="Date" numFmtId="168">
      <sharedItems containsNonDate="0" containsDate="1" containsString="0" containsBlank="1" minDate="2019-01-01T00:00:00" maxDate="2019-03-31T00:00:00" count="90">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m/>
      </sharedItems>
      <fieldGroup par="18"/>
    </cacheField>
    <cacheField name="Time" numFmtId="164">
      <sharedItems containsNonDate="0" containsDate="1" containsString="0" containsBlank="1" minDate="1899-12-30T10:00:00" maxDate="1899-12-30T20:59:00" count="507">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m/>
      </sharedItems>
      <fieldGroup par="20"/>
    </cacheField>
    <cacheField name="Payment" numFmtId="49">
      <sharedItems containsBlank="1" count="4">
        <s v="Ewallet"/>
        <s v="Cash"/>
        <s v="Credit card"/>
        <m/>
      </sharedItems>
    </cacheField>
    <cacheField name="Cost of Goods Sold(CODS)" numFmtId="167">
      <sharedItems containsString="0" containsBlank="1" containsNumber="1" minValue="10.17" maxValue="993"/>
    </cacheField>
    <cacheField name="Gross Margin Percentage" numFmtId="43">
      <sharedItems containsString="0" containsBlank="1" containsNumber="1" minValue="4.7619047620000003" maxValue="4.7619047620000003"/>
    </cacheField>
    <cacheField name="Gross Income" numFmtId="165">
      <sharedItems containsString="0" containsBlank="1" containsNumber="1" minValue="0.50849999999999995" maxValue="49.65"/>
    </cacheField>
    <cacheField name="Rating" numFmtId="166">
      <sharedItems containsString="0" containsBlank="1" containsNumber="1" minValue="4" maxValue="10"/>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4676951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ne" refreshedDate="46024.786464583332" createdVersion="8" refreshedVersion="8" minRefreshableVersion="3" recordCount="1000" xr:uid="{2DCA2D70-6A9B-4904-A872-A9D660C3E9D4}">
  <cacheSource type="worksheet">
    <worksheetSource name="Table3"/>
  </cacheSource>
  <cacheFields count="17">
    <cacheField name="Invoice ID" numFmtId="2">
      <sharedItems/>
    </cacheField>
    <cacheField name="Branch" numFmtId="49">
      <sharedItems/>
    </cacheField>
    <cacheField name="City" numFmtId="49">
      <sharedItems/>
    </cacheField>
    <cacheField name="Customer type" numFmtId="49">
      <sharedItems count="2">
        <s v="Member"/>
        <s v="Normal"/>
      </sharedItems>
    </cacheField>
    <cacheField name="Gender" numFmtId="49">
      <sharedItems count="2">
        <s v="Female"/>
        <s v="Male"/>
      </sharedItems>
    </cacheField>
    <cacheField name="Product Type" numFmtId="49">
      <sharedItems count="6">
        <s v="Health and beauty"/>
        <s v="Electronic accessories"/>
        <s v="Home and lifestyle"/>
        <s v="Sports and travel"/>
        <s v="Food and beverages"/>
        <s v="Fashion accessories"/>
      </sharedItems>
    </cacheField>
    <cacheField name="Unit price" numFmtId="165">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1">
      <sharedItems containsSemiMixedTypes="0" containsString="0" containsNumber="1" containsInteger="1" minValue="1" maxValue="10" count="10">
        <n v="7"/>
        <n v="5"/>
        <n v="8"/>
        <n v="6"/>
        <n v="10"/>
        <n v="2"/>
        <n v="3"/>
        <n v="4"/>
        <n v="1"/>
        <n v="9"/>
      </sharedItems>
    </cacheField>
    <cacheField name="Tax 5%" numFmtId="165">
      <sharedItems containsSemiMixedTypes="0" containsString="0" containsNumber="1" minValue="0.50849999999999995" maxValue="49.65"/>
    </cacheField>
    <cacheField name="Total Sales" numFmtId="165">
      <sharedItems containsSemiMixedTypes="0" containsString="0" containsNumber="1" minValue="10.6785" maxValue="1042.6500000000001"/>
    </cacheField>
    <cacheField name="Date" numFmtId="168">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49">
      <sharedItems/>
    </cacheField>
    <cacheField name="Cost of Goods Sold(CODS)" numFmtId="167">
      <sharedItems containsSemiMixedTypes="0" containsString="0" containsNumber="1" minValue="10.17" maxValue="993"/>
    </cacheField>
    <cacheField name="Gross Margin Percentage" numFmtId="43">
      <sharedItems containsSemiMixedTypes="0" containsString="0" containsNumber="1" minValue="4.7619047620000003" maxValue="4.7619047620000003"/>
    </cacheField>
    <cacheField name="Gross Income" numFmtId="165">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166">
      <sharedItems containsSemiMixedTypes="0" containsString="0" containsNumber="1" minValue="4"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750-67-8428"/>
    <x v="0"/>
    <x v="0"/>
    <s v="Member"/>
    <s v="Female"/>
    <x v="0"/>
    <n v="74.69"/>
    <n v="7"/>
    <n v="26.141500000000001"/>
    <n v="548.97149999999999"/>
    <x v="0"/>
    <x v="0"/>
    <x v="0"/>
    <n v="522.83000000000004"/>
    <n v="4.7619047620000003"/>
    <n v="26.141500000000001"/>
    <n v="9.1"/>
  </r>
  <r>
    <s v="226-31-3081"/>
    <x v="1"/>
    <x v="1"/>
    <s v="Normal"/>
    <s v="Female"/>
    <x v="1"/>
    <n v="15.28"/>
    <n v="5"/>
    <n v="3.82"/>
    <n v="80.22"/>
    <x v="1"/>
    <x v="1"/>
    <x v="1"/>
    <n v="76.400000000000006"/>
    <n v="4.7619047620000003"/>
    <n v="3.82"/>
    <n v="9.6"/>
  </r>
  <r>
    <s v="631-41-3108"/>
    <x v="0"/>
    <x v="0"/>
    <s v="Normal"/>
    <s v="Male"/>
    <x v="2"/>
    <n v="46.33"/>
    <n v="7"/>
    <n v="16.215499999999999"/>
    <n v="340.52550000000002"/>
    <x v="2"/>
    <x v="2"/>
    <x v="2"/>
    <n v="324.31"/>
    <n v="4.7619047620000003"/>
    <n v="16.215499999999999"/>
    <n v="7.4"/>
  </r>
  <r>
    <s v="123-19-1176"/>
    <x v="0"/>
    <x v="0"/>
    <s v="Member"/>
    <s v="Male"/>
    <x v="0"/>
    <n v="58.22"/>
    <n v="8"/>
    <n v="23.288"/>
    <n v="489.048"/>
    <x v="3"/>
    <x v="3"/>
    <x v="0"/>
    <n v="465.76"/>
    <n v="4.7619047620000003"/>
    <n v="23.288"/>
    <n v="8.4"/>
  </r>
  <r>
    <s v="373-73-7910"/>
    <x v="0"/>
    <x v="0"/>
    <s v="Normal"/>
    <s v="Male"/>
    <x v="3"/>
    <n v="86.31"/>
    <n v="7"/>
    <n v="30.208500000000001"/>
    <n v="634.37850000000003"/>
    <x v="4"/>
    <x v="4"/>
    <x v="0"/>
    <n v="604.16999999999996"/>
    <n v="4.7619047620000003"/>
    <n v="30.208500000000001"/>
    <n v="5.3"/>
  </r>
  <r>
    <s v="699-14-3026"/>
    <x v="1"/>
    <x v="1"/>
    <s v="Normal"/>
    <s v="Male"/>
    <x v="1"/>
    <n v="85.39"/>
    <n v="7"/>
    <n v="29.886500000000002"/>
    <n v="627.61649999999997"/>
    <x v="5"/>
    <x v="5"/>
    <x v="0"/>
    <n v="597.73"/>
    <n v="4.7619047620000003"/>
    <n v="29.886500000000002"/>
    <n v="4.0999999999999996"/>
  </r>
  <r>
    <s v="355-53-5943"/>
    <x v="0"/>
    <x v="0"/>
    <s v="Member"/>
    <s v="Female"/>
    <x v="1"/>
    <n v="68.84"/>
    <n v="6"/>
    <n v="20.652000000000001"/>
    <n v="433.69200000000001"/>
    <x v="6"/>
    <x v="6"/>
    <x v="0"/>
    <n v="413.04"/>
    <n v="4.7619047620000003"/>
    <n v="20.652000000000001"/>
    <n v="5.8"/>
  </r>
  <r>
    <s v="315-22-5665"/>
    <x v="1"/>
    <x v="1"/>
    <s v="Normal"/>
    <s v="Female"/>
    <x v="2"/>
    <n v="73.56"/>
    <n v="10"/>
    <n v="36.78"/>
    <n v="772.38"/>
    <x v="7"/>
    <x v="7"/>
    <x v="0"/>
    <n v="735.6"/>
    <n v="4.7619047620000003"/>
    <n v="36.78"/>
    <n v="8"/>
  </r>
  <r>
    <s v="665-32-9167"/>
    <x v="0"/>
    <x v="0"/>
    <s v="Member"/>
    <s v="Female"/>
    <x v="0"/>
    <n v="36.26"/>
    <n v="2"/>
    <n v="3.6259999999999999"/>
    <n v="76.146000000000001"/>
    <x v="8"/>
    <x v="8"/>
    <x v="2"/>
    <n v="72.52"/>
    <n v="4.7619047620000003"/>
    <n v="3.6259999999999999"/>
    <n v="7.2"/>
  </r>
  <r>
    <s v="692-92-5582"/>
    <x v="2"/>
    <x v="2"/>
    <s v="Member"/>
    <s v="Female"/>
    <x v="4"/>
    <n v="54.84"/>
    <n v="3"/>
    <n v="8.2260000000000009"/>
    <n v="172.74600000000001"/>
    <x v="9"/>
    <x v="9"/>
    <x v="2"/>
    <n v="164.52"/>
    <n v="4.7619047620000003"/>
    <n v="8.2260000000000009"/>
    <n v="5.9"/>
  </r>
  <r>
    <s v="351-62-0822"/>
    <x v="2"/>
    <x v="2"/>
    <s v="Member"/>
    <s v="Female"/>
    <x v="5"/>
    <n v="14.48"/>
    <n v="4"/>
    <n v="2.8959999999999999"/>
    <n v="60.816000000000003"/>
    <x v="10"/>
    <x v="10"/>
    <x v="0"/>
    <n v="57.92"/>
    <n v="4.7619047620000003"/>
    <n v="2.8959999999999999"/>
    <n v="4.5"/>
  </r>
  <r>
    <s v="529-56-3974"/>
    <x v="2"/>
    <x v="2"/>
    <s v="Member"/>
    <s v="Male"/>
    <x v="1"/>
    <n v="25.51"/>
    <n v="4"/>
    <n v="5.1020000000000003"/>
    <n v="107.142"/>
    <x v="11"/>
    <x v="11"/>
    <x v="1"/>
    <n v="102.04"/>
    <n v="4.7619047620000003"/>
    <n v="5.1020000000000003"/>
    <n v="6.8"/>
  </r>
  <r>
    <s v="365-64-0515"/>
    <x v="0"/>
    <x v="0"/>
    <s v="Normal"/>
    <s v="Female"/>
    <x v="1"/>
    <n v="46.95"/>
    <n v="5"/>
    <n v="11.737500000000001"/>
    <n v="246.48750000000001"/>
    <x v="12"/>
    <x v="12"/>
    <x v="0"/>
    <n v="234.75"/>
    <n v="4.7619047620000003"/>
    <n v="11.737500000000001"/>
    <n v="7.1"/>
  </r>
  <r>
    <s v="252-56-2699"/>
    <x v="0"/>
    <x v="0"/>
    <s v="Normal"/>
    <s v="Male"/>
    <x v="4"/>
    <n v="43.19"/>
    <n v="10"/>
    <n v="21.594999999999999"/>
    <n v="453.495"/>
    <x v="13"/>
    <x v="13"/>
    <x v="0"/>
    <n v="431.9"/>
    <n v="4.7619047620000003"/>
    <n v="21.594999999999999"/>
    <n v="8.1999999999999993"/>
  </r>
  <r>
    <s v="829-34-3910"/>
    <x v="0"/>
    <x v="0"/>
    <s v="Normal"/>
    <s v="Female"/>
    <x v="0"/>
    <n v="71.38"/>
    <n v="10"/>
    <n v="35.69"/>
    <n v="749.49"/>
    <x v="14"/>
    <x v="14"/>
    <x v="1"/>
    <n v="713.8"/>
    <n v="4.7619047620000003"/>
    <n v="35.69"/>
    <n v="5.7"/>
  </r>
  <r>
    <s v="299-46-1805"/>
    <x v="2"/>
    <x v="2"/>
    <s v="Member"/>
    <s v="Female"/>
    <x v="3"/>
    <n v="93.72"/>
    <n v="6"/>
    <n v="28.116"/>
    <n v="590.43600000000004"/>
    <x v="15"/>
    <x v="15"/>
    <x v="1"/>
    <n v="562.32000000000005"/>
    <n v="4.7619047620000003"/>
    <n v="28.116"/>
    <n v="4.5"/>
  </r>
  <r>
    <s v="656-95-9349"/>
    <x v="0"/>
    <x v="0"/>
    <s v="Member"/>
    <s v="Female"/>
    <x v="0"/>
    <n v="68.930000000000007"/>
    <n v="7"/>
    <n v="24.125499999999999"/>
    <n v="506.63549999999998"/>
    <x v="16"/>
    <x v="16"/>
    <x v="2"/>
    <n v="482.51"/>
    <n v="4.7619047620000003"/>
    <n v="24.125499999999999"/>
    <n v="4.5999999999999996"/>
  </r>
  <r>
    <s v="765-26-6951"/>
    <x v="0"/>
    <x v="0"/>
    <s v="Normal"/>
    <s v="Male"/>
    <x v="3"/>
    <n v="72.61"/>
    <n v="6"/>
    <n v="21.783000000000001"/>
    <n v="457.44299999999998"/>
    <x v="17"/>
    <x v="17"/>
    <x v="2"/>
    <n v="435.66"/>
    <n v="4.7619047620000003"/>
    <n v="21.783000000000001"/>
    <n v="6.9"/>
  </r>
  <r>
    <s v="329-62-1586"/>
    <x v="0"/>
    <x v="0"/>
    <s v="Normal"/>
    <s v="Male"/>
    <x v="4"/>
    <n v="54.67"/>
    <n v="3"/>
    <n v="8.2004999999999999"/>
    <n v="172.2105"/>
    <x v="18"/>
    <x v="18"/>
    <x v="2"/>
    <n v="164.01"/>
    <n v="4.7619047620000003"/>
    <n v="8.2004999999999999"/>
    <n v="8.6"/>
  </r>
  <r>
    <s v="319-50-3348"/>
    <x v="2"/>
    <x v="2"/>
    <s v="Normal"/>
    <s v="Female"/>
    <x v="2"/>
    <n v="40.299999999999997"/>
    <n v="2"/>
    <n v="4.03"/>
    <n v="84.63"/>
    <x v="16"/>
    <x v="19"/>
    <x v="0"/>
    <n v="80.599999999999994"/>
    <n v="4.7619047620000003"/>
    <n v="4.03"/>
    <n v="4.4000000000000004"/>
  </r>
  <r>
    <s v="300-71-4605"/>
    <x v="1"/>
    <x v="1"/>
    <s v="Member"/>
    <s v="Male"/>
    <x v="1"/>
    <n v="86.04"/>
    <n v="5"/>
    <n v="21.51"/>
    <n v="451.71"/>
    <x v="6"/>
    <x v="20"/>
    <x v="0"/>
    <n v="430.2"/>
    <n v="4.7619047620000003"/>
    <n v="21.51"/>
    <n v="4.8"/>
  </r>
  <r>
    <s v="371-85-5789"/>
    <x v="2"/>
    <x v="2"/>
    <s v="Normal"/>
    <s v="Male"/>
    <x v="0"/>
    <n v="87.98"/>
    <n v="3"/>
    <n v="13.196999999999999"/>
    <n v="277.137"/>
    <x v="19"/>
    <x v="21"/>
    <x v="0"/>
    <n v="263.94"/>
    <n v="4.7619047620000003"/>
    <n v="13.196999999999999"/>
    <n v="5.0999999999999996"/>
  </r>
  <r>
    <s v="273-16-6619"/>
    <x v="2"/>
    <x v="2"/>
    <s v="Normal"/>
    <s v="Male"/>
    <x v="2"/>
    <n v="33.200000000000003"/>
    <n v="2"/>
    <n v="3.32"/>
    <n v="69.72"/>
    <x v="20"/>
    <x v="22"/>
    <x v="2"/>
    <n v="66.400000000000006"/>
    <n v="4.7619047620000003"/>
    <n v="3.32"/>
    <n v="4.4000000000000004"/>
  </r>
  <r>
    <s v="636-48-8204"/>
    <x v="0"/>
    <x v="0"/>
    <s v="Normal"/>
    <s v="Male"/>
    <x v="1"/>
    <n v="34.56"/>
    <n v="5"/>
    <n v="8.64"/>
    <n v="181.44"/>
    <x v="21"/>
    <x v="23"/>
    <x v="0"/>
    <n v="172.8"/>
    <n v="4.7619047620000003"/>
    <n v="8.64"/>
    <n v="9.9"/>
  </r>
  <r>
    <s v="549-59-1358"/>
    <x v="0"/>
    <x v="0"/>
    <s v="Member"/>
    <s v="Male"/>
    <x v="3"/>
    <n v="88.63"/>
    <n v="3"/>
    <n v="13.294499999999999"/>
    <n v="279.18450000000001"/>
    <x v="22"/>
    <x v="24"/>
    <x v="0"/>
    <n v="265.89"/>
    <n v="4.7619047620000003"/>
    <n v="13.294499999999999"/>
    <n v="6"/>
  </r>
  <r>
    <s v="227-03-5010"/>
    <x v="0"/>
    <x v="0"/>
    <s v="Member"/>
    <s v="Female"/>
    <x v="2"/>
    <n v="52.59"/>
    <n v="8"/>
    <n v="21.036000000000001"/>
    <n v="441.75599999999997"/>
    <x v="23"/>
    <x v="25"/>
    <x v="2"/>
    <n v="420.72"/>
    <n v="4.7619047620000003"/>
    <n v="21.036000000000001"/>
    <n v="8.5"/>
  </r>
  <r>
    <s v="649-29-6775"/>
    <x v="2"/>
    <x v="2"/>
    <s v="Normal"/>
    <s v="Male"/>
    <x v="5"/>
    <n v="33.520000000000003"/>
    <n v="1"/>
    <n v="1.6759999999999999"/>
    <n v="35.195999999999998"/>
    <x v="4"/>
    <x v="26"/>
    <x v="1"/>
    <n v="33.520000000000003"/>
    <n v="4.7619047620000003"/>
    <n v="1.6759999999999999"/>
    <n v="6.7"/>
  </r>
  <r>
    <s v="189-17-4241"/>
    <x v="0"/>
    <x v="0"/>
    <s v="Normal"/>
    <s v="Female"/>
    <x v="5"/>
    <n v="87.67"/>
    <n v="2"/>
    <n v="8.7669999999999995"/>
    <n v="184.107"/>
    <x v="24"/>
    <x v="27"/>
    <x v="2"/>
    <n v="175.34"/>
    <n v="4.7619047620000003"/>
    <n v="8.7669999999999995"/>
    <n v="7.7"/>
  </r>
  <r>
    <s v="145-94-9061"/>
    <x v="2"/>
    <x v="2"/>
    <s v="Normal"/>
    <s v="Female"/>
    <x v="4"/>
    <n v="88.36"/>
    <n v="5"/>
    <n v="22.09"/>
    <n v="463.89"/>
    <x v="25"/>
    <x v="28"/>
    <x v="1"/>
    <n v="441.8"/>
    <n v="4.7619047620000003"/>
    <n v="22.09"/>
    <n v="9.6"/>
  </r>
  <r>
    <s v="848-62-7243"/>
    <x v="0"/>
    <x v="0"/>
    <s v="Normal"/>
    <s v="Male"/>
    <x v="0"/>
    <n v="24.89"/>
    <n v="9"/>
    <n v="11.2005"/>
    <n v="235.2105"/>
    <x v="20"/>
    <x v="29"/>
    <x v="1"/>
    <n v="224.01"/>
    <n v="4.7619047620000003"/>
    <n v="11.2005"/>
    <n v="7.4"/>
  </r>
  <r>
    <s v="871-79-8483"/>
    <x v="2"/>
    <x v="2"/>
    <s v="Normal"/>
    <s v="Male"/>
    <x v="5"/>
    <n v="94.13"/>
    <n v="5"/>
    <n v="23.532499999999999"/>
    <n v="494.1825"/>
    <x v="6"/>
    <x v="30"/>
    <x v="2"/>
    <n v="470.65"/>
    <n v="4.7619047620000003"/>
    <n v="23.532499999999999"/>
    <n v="4.8"/>
  </r>
  <r>
    <s v="149-71-6266"/>
    <x v="2"/>
    <x v="2"/>
    <s v="Member"/>
    <s v="Male"/>
    <x v="3"/>
    <n v="78.069999999999993"/>
    <n v="9"/>
    <n v="35.131500000000003"/>
    <n v="737.76149999999996"/>
    <x v="26"/>
    <x v="31"/>
    <x v="1"/>
    <n v="702.63"/>
    <n v="4.7619047620000003"/>
    <n v="35.131500000000003"/>
    <n v="4.5"/>
  </r>
  <r>
    <s v="640-49-2076"/>
    <x v="2"/>
    <x v="2"/>
    <s v="Normal"/>
    <s v="Male"/>
    <x v="3"/>
    <n v="83.78"/>
    <n v="8"/>
    <n v="33.512"/>
    <n v="703.75199999999995"/>
    <x v="8"/>
    <x v="32"/>
    <x v="1"/>
    <n v="670.24"/>
    <n v="4.7619047620000003"/>
    <n v="33.512"/>
    <n v="5.0999999999999996"/>
  </r>
  <r>
    <s v="595-11-5460"/>
    <x v="0"/>
    <x v="0"/>
    <s v="Normal"/>
    <s v="Male"/>
    <x v="0"/>
    <n v="96.58"/>
    <n v="2"/>
    <n v="9.6579999999999995"/>
    <n v="202.81800000000001"/>
    <x v="20"/>
    <x v="33"/>
    <x v="2"/>
    <n v="193.16"/>
    <n v="4.7619047620000003"/>
    <n v="9.6579999999999995"/>
    <n v="5.0999999999999996"/>
  </r>
  <r>
    <s v="183-56-6882"/>
    <x v="1"/>
    <x v="1"/>
    <s v="Member"/>
    <s v="Female"/>
    <x v="4"/>
    <n v="99.42"/>
    <n v="4"/>
    <n v="19.884"/>
    <n v="417.56400000000002"/>
    <x v="10"/>
    <x v="34"/>
    <x v="0"/>
    <n v="397.68"/>
    <n v="4.7619047620000003"/>
    <n v="19.884"/>
    <n v="7.5"/>
  </r>
  <r>
    <s v="232-16-2483"/>
    <x v="1"/>
    <x v="1"/>
    <s v="Member"/>
    <s v="Female"/>
    <x v="3"/>
    <n v="68.12"/>
    <n v="1"/>
    <n v="3.4060000000000001"/>
    <n v="71.525999999999996"/>
    <x v="27"/>
    <x v="35"/>
    <x v="0"/>
    <n v="68.12"/>
    <n v="4.7619047620000003"/>
    <n v="3.4060000000000001"/>
    <n v="6.8"/>
  </r>
  <r>
    <s v="129-29-8530"/>
    <x v="0"/>
    <x v="0"/>
    <s v="Member"/>
    <s v="Male"/>
    <x v="3"/>
    <n v="62.62"/>
    <n v="5"/>
    <n v="15.654999999999999"/>
    <n v="328.755"/>
    <x v="24"/>
    <x v="36"/>
    <x v="0"/>
    <n v="313.10000000000002"/>
    <n v="4.7619047620000003"/>
    <n v="15.654999999999999"/>
    <n v="7"/>
  </r>
  <r>
    <s v="272-65-1806"/>
    <x v="0"/>
    <x v="0"/>
    <s v="Normal"/>
    <s v="Female"/>
    <x v="1"/>
    <n v="60.88"/>
    <n v="9"/>
    <n v="27.396000000000001"/>
    <n v="575.31600000000003"/>
    <x v="15"/>
    <x v="37"/>
    <x v="0"/>
    <n v="547.91999999999996"/>
    <n v="4.7619047620000003"/>
    <n v="27.396000000000001"/>
    <n v="4.7"/>
  </r>
  <r>
    <s v="333-73-7901"/>
    <x v="1"/>
    <x v="1"/>
    <s v="Normal"/>
    <s v="Female"/>
    <x v="0"/>
    <n v="54.92"/>
    <n v="8"/>
    <n v="21.968"/>
    <n v="461.32799999999997"/>
    <x v="28"/>
    <x v="38"/>
    <x v="0"/>
    <n v="439.36"/>
    <n v="4.7619047620000003"/>
    <n v="21.968"/>
    <n v="7.6"/>
  </r>
  <r>
    <s v="777-82-7220"/>
    <x v="2"/>
    <x v="2"/>
    <s v="Member"/>
    <s v="Male"/>
    <x v="2"/>
    <n v="30.12"/>
    <n v="8"/>
    <n v="12.048"/>
    <n v="253.00800000000001"/>
    <x v="2"/>
    <x v="39"/>
    <x v="1"/>
    <n v="240.96"/>
    <n v="4.7619047620000003"/>
    <n v="12.048"/>
    <n v="7.7"/>
  </r>
  <r>
    <s v="280-35-5823"/>
    <x v="2"/>
    <x v="2"/>
    <s v="Member"/>
    <s v="Female"/>
    <x v="2"/>
    <n v="86.72"/>
    <n v="1"/>
    <n v="4.3360000000000003"/>
    <n v="91.055999999999997"/>
    <x v="29"/>
    <x v="40"/>
    <x v="0"/>
    <n v="86.72"/>
    <n v="4.7619047620000003"/>
    <n v="4.3360000000000003"/>
    <n v="7.9"/>
  </r>
  <r>
    <s v="554-53-8700"/>
    <x v="1"/>
    <x v="1"/>
    <s v="Member"/>
    <s v="Male"/>
    <x v="2"/>
    <n v="56.11"/>
    <n v="2"/>
    <n v="5.6109999999999998"/>
    <n v="117.831"/>
    <x v="30"/>
    <x v="41"/>
    <x v="1"/>
    <n v="112.22"/>
    <n v="4.7619047620000003"/>
    <n v="5.6109999999999998"/>
    <n v="6.3"/>
  </r>
  <r>
    <s v="354-25-5821"/>
    <x v="2"/>
    <x v="2"/>
    <s v="Member"/>
    <s v="Female"/>
    <x v="3"/>
    <n v="69.12"/>
    <n v="6"/>
    <n v="20.736000000000001"/>
    <n v="435.45600000000002"/>
    <x v="4"/>
    <x v="42"/>
    <x v="1"/>
    <n v="414.72"/>
    <n v="4.7619047620000003"/>
    <n v="20.736000000000001"/>
    <n v="5.6"/>
  </r>
  <r>
    <s v="228-96-1411"/>
    <x v="1"/>
    <x v="1"/>
    <s v="Member"/>
    <s v="Female"/>
    <x v="4"/>
    <n v="98.7"/>
    <n v="8"/>
    <n v="39.479999999999997"/>
    <n v="829.08"/>
    <x v="31"/>
    <x v="43"/>
    <x v="1"/>
    <n v="789.6"/>
    <n v="4.7619047620000003"/>
    <n v="39.479999999999997"/>
    <n v="7.6"/>
  </r>
  <r>
    <s v="617-15-4209"/>
    <x v="1"/>
    <x v="1"/>
    <s v="Member"/>
    <s v="Male"/>
    <x v="0"/>
    <n v="15.37"/>
    <n v="2"/>
    <n v="1.5369999999999999"/>
    <n v="32.277000000000001"/>
    <x v="32"/>
    <x v="44"/>
    <x v="1"/>
    <n v="30.74"/>
    <n v="4.7619047620000003"/>
    <n v="1.5369999999999999"/>
    <n v="7.2"/>
  </r>
  <r>
    <s v="132-32-9879"/>
    <x v="2"/>
    <x v="2"/>
    <s v="Member"/>
    <s v="Female"/>
    <x v="1"/>
    <n v="93.96"/>
    <n v="4"/>
    <n v="18.792000000000002"/>
    <n v="394.63200000000001"/>
    <x v="11"/>
    <x v="18"/>
    <x v="1"/>
    <n v="375.84"/>
    <n v="4.7619047620000003"/>
    <n v="18.792000000000002"/>
    <n v="9.5"/>
  </r>
  <r>
    <s v="370-41-7321"/>
    <x v="2"/>
    <x v="2"/>
    <s v="Member"/>
    <s v="Male"/>
    <x v="0"/>
    <n v="56.69"/>
    <n v="9"/>
    <n v="25.5105"/>
    <n v="535.72050000000002"/>
    <x v="33"/>
    <x v="45"/>
    <x v="2"/>
    <n v="510.21"/>
    <n v="4.7619047620000003"/>
    <n v="25.5105"/>
    <n v="8.4"/>
  </r>
  <r>
    <s v="727-46-3608"/>
    <x v="2"/>
    <x v="2"/>
    <s v="Member"/>
    <s v="Female"/>
    <x v="4"/>
    <n v="20.010000000000002"/>
    <n v="9"/>
    <n v="9.0045000000000002"/>
    <n v="189.09450000000001"/>
    <x v="10"/>
    <x v="46"/>
    <x v="0"/>
    <n v="180.09"/>
    <n v="4.7619047620000003"/>
    <n v="9.0045000000000002"/>
    <n v="4.0999999999999996"/>
  </r>
  <r>
    <s v="669-54-1719"/>
    <x v="2"/>
    <x v="2"/>
    <s v="Member"/>
    <s v="Male"/>
    <x v="1"/>
    <n v="18.93"/>
    <n v="6"/>
    <n v="5.6790000000000003"/>
    <n v="119.259"/>
    <x v="34"/>
    <x v="47"/>
    <x v="2"/>
    <n v="113.58"/>
    <n v="4.7619047620000003"/>
    <n v="5.6790000000000003"/>
    <n v="8.1"/>
  </r>
  <r>
    <s v="574-22-5561"/>
    <x v="1"/>
    <x v="1"/>
    <s v="Member"/>
    <s v="Female"/>
    <x v="5"/>
    <n v="82.63"/>
    <n v="10"/>
    <n v="41.314999999999998"/>
    <n v="867.61500000000001"/>
    <x v="35"/>
    <x v="48"/>
    <x v="0"/>
    <n v="826.3"/>
    <n v="4.7619047620000003"/>
    <n v="41.314999999999998"/>
    <n v="7.9"/>
  </r>
  <r>
    <s v="326-78-5178"/>
    <x v="1"/>
    <x v="1"/>
    <s v="Member"/>
    <s v="Male"/>
    <x v="4"/>
    <n v="91.4"/>
    <n v="7"/>
    <n v="31.99"/>
    <n v="671.79"/>
    <x v="36"/>
    <x v="49"/>
    <x v="1"/>
    <n v="639.79999999999995"/>
    <n v="4.7619047620000003"/>
    <n v="31.99"/>
    <n v="9.5"/>
  </r>
  <r>
    <s v="162-48-8011"/>
    <x v="0"/>
    <x v="0"/>
    <s v="Member"/>
    <s v="Female"/>
    <x v="4"/>
    <n v="44.59"/>
    <n v="5"/>
    <n v="11.147500000000001"/>
    <n v="234.0975"/>
    <x v="34"/>
    <x v="50"/>
    <x v="1"/>
    <n v="222.95"/>
    <n v="4.7619047620000003"/>
    <n v="11.147500000000001"/>
    <n v="8.5"/>
  </r>
  <r>
    <s v="616-24-2851"/>
    <x v="2"/>
    <x v="2"/>
    <s v="Member"/>
    <s v="Female"/>
    <x v="5"/>
    <n v="17.87"/>
    <n v="4"/>
    <n v="3.5739999999999998"/>
    <n v="75.054000000000002"/>
    <x v="23"/>
    <x v="51"/>
    <x v="0"/>
    <n v="71.48"/>
    <n v="4.7619047620000003"/>
    <n v="3.5739999999999998"/>
    <n v="6.5"/>
  </r>
  <r>
    <s v="778-71-5554"/>
    <x v="1"/>
    <x v="1"/>
    <s v="Member"/>
    <s v="Male"/>
    <x v="5"/>
    <n v="15.43"/>
    <n v="1"/>
    <n v="0.77149999999999996"/>
    <n v="16.201499999999999"/>
    <x v="25"/>
    <x v="52"/>
    <x v="2"/>
    <n v="15.43"/>
    <n v="4.7619047620000003"/>
    <n v="0.77149999999999996"/>
    <n v="6.1"/>
  </r>
  <r>
    <s v="242-55-6721"/>
    <x v="2"/>
    <x v="2"/>
    <s v="Normal"/>
    <s v="Male"/>
    <x v="2"/>
    <n v="16.16"/>
    <n v="2"/>
    <n v="1.6160000000000001"/>
    <n v="33.936"/>
    <x v="37"/>
    <x v="53"/>
    <x v="0"/>
    <n v="32.32"/>
    <n v="4.7619047620000003"/>
    <n v="1.6160000000000001"/>
    <n v="6.5"/>
  </r>
  <r>
    <s v="399-46-5918"/>
    <x v="1"/>
    <x v="1"/>
    <s v="Normal"/>
    <s v="Female"/>
    <x v="1"/>
    <n v="85.98"/>
    <n v="8"/>
    <n v="34.392000000000003"/>
    <n v="722.23199999999997"/>
    <x v="38"/>
    <x v="54"/>
    <x v="1"/>
    <n v="687.84"/>
    <n v="4.7619047620000003"/>
    <n v="34.392000000000003"/>
    <n v="8.1999999999999993"/>
  </r>
  <r>
    <s v="106-35-6779"/>
    <x v="0"/>
    <x v="0"/>
    <s v="Member"/>
    <s v="Male"/>
    <x v="2"/>
    <n v="44.34"/>
    <n v="2"/>
    <n v="4.4340000000000002"/>
    <n v="93.114000000000004"/>
    <x v="39"/>
    <x v="55"/>
    <x v="1"/>
    <n v="88.68"/>
    <n v="4.7619047620000003"/>
    <n v="4.4340000000000002"/>
    <n v="5.8"/>
  </r>
  <r>
    <s v="635-40-6220"/>
    <x v="0"/>
    <x v="0"/>
    <s v="Normal"/>
    <s v="Male"/>
    <x v="0"/>
    <n v="89.6"/>
    <n v="8"/>
    <n v="35.840000000000003"/>
    <n v="752.64"/>
    <x v="13"/>
    <x v="56"/>
    <x v="0"/>
    <n v="716.8"/>
    <n v="4.7619047620000003"/>
    <n v="35.840000000000003"/>
    <n v="6.6"/>
  </r>
  <r>
    <s v="817-48-8732"/>
    <x v="0"/>
    <x v="0"/>
    <s v="Member"/>
    <s v="Female"/>
    <x v="2"/>
    <n v="72.349999999999994"/>
    <n v="10"/>
    <n v="36.174999999999997"/>
    <n v="759.67499999999995"/>
    <x v="40"/>
    <x v="57"/>
    <x v="1"/>
    <n v="723.5"/>
    <n v="4.7619047620000003"/>
    <n v="36.174999999999997"/>
    <n v="5.4"/>
  </r>
  <r>
    <s v="120-06-4233"/>
    <x v="1"/>
    <x v="1"/>
    <s v="Normal"/>
    <s v="Male"/>
    <x v="1"/>
    <n v="30.61"/>
    <n v="6"/>
    <n v="9.1829999999999998"/>
    <n v="192.84299999999999"/>
    <x v="41"/>
    <x v="58"/>
    <x v="1"/>
    <n v="183.66"/>
    <n v="4.7619047620000003"/>
    <n v="9.1829999999999998"/>
    <n v="9.3000000000000007"/>
  </r>
  <r>
    <s v="285-68-5083"/>
    <x v="1"/>
    <x v="1"/>
    <s v="Member"/>
    <s v="Female"/>
    <x v="3"/>
    <n v="24.74"/>
    <n v="3"/>
    <n v="3.7109999999999999"/>
    <n v="77.930999999999997"/>
    <x v="42"/>
    <x v="59"/>
    <x v="2"/>
    <n v="74.22"/>
    <n v="4.7619047620000003"/>
    <n v="3.7109999999999999"/>
    <n v="10"/>
  </r>
  <r>
    <s v="803-83-5989"/>
    <x v="1"/>
    <x v="1"/>
    <s v="Normal"/>
    <s v="Male"/>
    <x v="2"/>
    <n v="55.73"/>
    <n v="6"/>
    <n v="16.719000000000001"/>
    <n v="351.09899999999999"/>
    <x v="7"/>
    <x v="60"/>
    <x v="0"/>
    <n v="334.38"/>
    <n v="4.7619047620000003"/>
    <n v="16.719000000000001"/>
    <n v="7"/>
  </r>
  <r>
    <s v="347-34-2234"/>
    <x v="2"/>
    <x v="2"/>
    <s v="Member"/>
    <s v="Female"/>
    <x v="3"/>
    <n v="55.07"/>
    <n v="9"/>
    <n v="24.781500000000001"/>
    <n v="520.41150000000005"/>
    <x v="36"/>
    <x v="61"/>
    <x v="0"/>
    <n v="495.63"/>
    <n v="4.7619047620000003"/>
    <n v="24.781500000000001"/>
    <n v="10"/>
  </r>
  <r>
    <s v="199-75-8169"/>
    <x v="0"/>
    <x v="0"/>
    <s v="Member"/>
    <s v="Male"/>
    <x v="3"/>
    <n v="15.81"/>
    <n v="10"/>
    <n v="7.9050000000000002"/>
    <n v="166.005"/>
    <x v="43"/>
    <x v="62"/>
    <x v="2"/>
    <n v="158.1"/>
    <n v="4.7619047620000003"/>
    <n v="7.9050000000000002"/>
    <n v="8.6"/>
  </r>
  <r>
    <s v="853-23-2453"/>
    <x v="2"/>
    <x v="2"/>
    <s v="Member"/>
    <s v="Male"/>
    <x v="0"/>
    <n v="75.739999999999995"/>
    <n v="4"/>
    <n v="15.148"/>
    <n v="318.108"/>
    <x v="44"/>
    <x v="63"/>
    <x v="1"/>
    <n v="302.95999999999998"/>
    <n v="4.7619047620000003"/>
    <n v="15.148"/>
    <n v="7.6"/>
  </r>
  <r>
    <s v="877-22-3308"/>
    <x v="0"/>
    <x v="0"/>
    <s v="Member"/>
    <s v="Male"/>
    <x v="0"/>
    <n v="15.87"/>
    <n v="10"/>
    <n v="7.9349999999999996"/>
    <n v="166.63499999999999"/>
    <x v="45"/>
    <x v="64"/>
    <x v="1"/>
    <n v="158.69999999999999"/>
    <n v="4.7619047620000003"/>
    <n v="7.9349999999999996"/>
    <n v="5.8"/>
  </r>
  <r>
    <s v="838-78-4295"/>
    <x v="1"/>
    <x v="1"/>
    <s v="Normal"/>
    <s v="Female"/>
    <x v="0"/>
    <n v="33.47"/>
    <n v="2"/>
    <n v="3.347"/>
    <n v="70.287000000000006"/>
    <x v="34"/>
    <x v="65"/>
    <x v="0"/>
    <n v="66.94"/>
    <n v="4.7619047620000003"/>
    <n v="3.347"/>
    <n v="6.7"/>
  </r>
  <r>
    <s v="109-28-2512"/>
    <x v="2"/>
    <x v="2"/>
    <s v="Member"/>
    <s v="Female"/>
    <x v="5"/>
    <n v="97.61"/>
    <n v="6"/>
    <n v="29.283000000000001"/>
    <n v="614.94299999999998"/>
    <x v="27"/>
    <x v="66"/>
    <x v="0"/>
    <n v="585.66"/>
    <n v="4.7619047620000003"/>
    <n v="29.283000000000001"/>
    <n v="9.9"/>
  </r>
  <r>
    <s v="232-11-3025"/>
    <x v="0"/>
    <x v="0"/>
    <s v="Normal"/>
    <s v="Male"/>
    <x v="3"/>
    <n v="78.77"/>
    <n v="10"/>
    <n v="39.384999999999998"/>
    <n v="827.08500000000004"/>
    <x v="46"/>
    <x v="67"/>
    <x v="1"/>
    <n v="787.7"/>
    <n v="4.7619047620000003"/>
    <n v="39.384999999999998"/>
    <n v="6.4"/>
  </r>
  <r>
    <s v="382-03-4532"/>
    <x v="0"/>
    <x v="0"/>
    <s v="Member"/>
    <s v="Female"/>
    <x v="0"/>
    <n v="18.329999999999998"/>
    <n v="1"/>
    <n v="0.91649999999999998"/>
    <n v="19.246500000000001"/>
    <x v="30"/>
    <x v="68"/>
    <x v="1"/>
    <n v="18.329999999999998"/>
    <n v="4.7619047620000003"/>
    <n v="0.91649999999999998"/>
    <n v="4.3"/>
  </r>
  <r>
    <s v="393-65-2792"/>
    <x v="1"/>
    <x v="1"/>
    <s v="Normal"/>
    <s v="Male"/>
    <x v="4"/>
    <n v="89.48"/>
    <n v="10"/>
    <n v="44.74"/>
    <n v="939.54"/>
    <x v="47"/>
    <x v="69"/>
    <x v="2"/>
    <n v="894.8"/>
    <n v="4.7619047620000003"/>
    <n v="44.74"/>
    <n v="9.6"/>
  </r>
  <r>
    <s v="796-12-2025"/>
    <x v="1"/>
    <x v="1"/>
    <s v="Normal"/>
    <s v="Male"/>
    <x v="5"/>
    <n v="62.12"/>
    <n v="10"/>
    <n v="31.06"/>
    <n v="652.26"/>
    <x v="48"/>
    <x v="15"/>
    <x v="1"/>
    <n v="621.20000000000005"/>
    <n v="4.7619047620000003"/>
    <n v="31.06"/>
    <n v="5.9"/>
  </r>
  <r>
    <s v="510-95-6347"/>
    <x v="2"/>
    <x v="2"/>
    <s v="Member"/>
    <s v="Female"/>
    <x v="4"/>
    <n v="48.52"/>
    <n v="3"/>
    <n v="7.2779999999999996"/>
    <n v="152.83799999999999"/>
    <x v="19"/>
    <x v="70"/>
    <x v="0"/>
    <n v="145.56"/>
    <n v="4.7619047620000003"/>
    <n v="7.2779999999999996"/>
    <n v="4"/>
  </r>
  <r>
    <s v="841-35-6630"/>
    <x v="1"/>
    <x v="1"/>
    <s v="Normal"/>
    <s v="Female"/>
    <x v="1"/>
    <n v="75.91"/>
    <n v="6"/>
    <n v="22.773"/>
    <n v="478.233"/>
    <x v="11"/>
    <x v="71"/>
    <x v="1"/>
    <n v="455.46"/>
    <n v="4.7619047620000003"/>
    <n v="22.773"/>
    <n v="8.6999999999999993"/>
  </r>
  <r>
    <s v="287-21-9091"/>
    <x v="0"/>
    <x v="0"/>
    <s v="Normal"/>
    <s v="Male"/>
    <x v="2"/>
    <n v="74.67"/>
    <n v="9"/>
    <n v="33.601500000000001"/>
    <n v="705.63149999999996"/>
    <x v="49"/>
    <x v="60"/>
    <x v="0"/>
    <n v="672.03"/>
    <n v="4.7619047620000003"/>
    <n v="33.601500000000001"/>
    <n v="9.4"/>
  </r>
  <r>
    <s v="732-94-0499"/>
    <x v="1"/>
    <x v="1"/>
    <s v="Normal"/>
    <s v="Female"/>
    <x v="1"/>
    <n v="41.65"/>
    <n v="10"/>
    <n v="20.824999999999999"/>
    <n v="437.32499999999999"/>
    <x v="50"/>
    <x v="72"/>
    <x v="2"/>
    <n v="416.5"/>
    <n v="4.7619047620000003"/>
    <n v="20.824999999999999"/>
    <n v="5.4"/>
  </r>
  <r>
    <s v="263-10-3913"/>
    <x v="1"/>
    <x v="1"/>
    <s v="Member"/>
    <s v="Male"/>
    <x v="5"/>
    <n v="49.04"/>
    <n v="9"/>
    <n v="22.068000000000001"/>
    <n v="463.428"/>
    <x v="51"/>
    <x v="73"/>
    <x v="2"/>
    <n v="441.36"/>
    <n v="4.7619047620000003"/>
    <n v="22.068000000000001"/>
    <n v="8.6"/>
  </r>
  <r>
    <s v="381-20-0914"/>
    <x v="0"/>
    <x v="0"/>
    <s v="Member"/>
    <s v="Female"/>
    <x v="5"/>
    <n v="20.010000000000002"/>
    <n v="9"/>
    <n v="9.0045000000000002"/>
    <n v="189.09450000000001"/>
    <x v="52"/>
    <x v="74"/>
    <x v="2"/>
    <n v="180.09"/>
    <n v="4.7619047620000003"/>
    <n v="9.0045000000000002"/>
    <n v="5.7"/>
  </r>
  <r>
    <s v="829-49-1914"/>
    <x v="1"/>
    <x v="1"/>
    <s v="Member"/>
    <s v="Female"/>
    <x v="4"/>
    <n v="78.31"/>
    <n v="10"/>
    <n v="39.155000000000001"/>
    <n v="822.255"/>
    <x v="19"/>
    <x v="75"/>
    <x v="0"/>
    <n v="783.1"/>
    <n v="4.7619047620000003"/>
    <n v="39.155000000000001"/>
    <n v="6.6"/>
  </r>
  <r>
    <s v="756-01-7507"/>
    <x v="1"/>
    <x v="1"/>
    <s v="Normal"/>
    <s v="Female"/>
    <x v="0"/>
    <n v="20.38"/>
    <n v="5"/>
    <n v="5.0949999999999998"/>
    <n v="106.995"/>
    <x v="49"/>
    <x v="76"/>
    <x v="1"/>
    <n v="101.9"/>
    <n v="4.7619047620000003"/>
    <n v="5.0949999999999998"/>
    <n v="6"/>
  </r>
  <r>
    <s v="870-72-4431"/>
    <x v="1"/>
    <x v="1"/>
    <s v="Normal"/>
    <s v="Female"/>
    <x v="0"/>
    <n v="99.19"/>
    <n v="6"/>
    <n v="29.757000000000001"/>
    <n v="624.89700000000005"/>
    <x v="18"/>
    <x v="51"/>
    <x v="2"/>
    <n v="595.14"/>
    <n v="4.7619047620000003"/>
    <n v="29.757000000000001"/>
    <n v="5.5"/>
  </r>
  <r>
    <s v="847-38-7188"/>
    <x v="2"/>
    <x v="2"/>
    <s v="Normal"/>
    <s v="Female"/>
    <x v="4"/>
    <n v="96.68"/>
    <n v="3"/>
    <n v="14.502000000000001"/>
    <n v="304.54199999999997"/>
    <x v="53"/>
    <x v="77"/>
    <x v="0"/>
    <n v="290.04000000000002"/>
    <n v="4.7619047620000003"/>
    <n v="14.502000000000001"/>
    <n v="6.4"/>
  </r>
  <r>
    <s v="480-63-2856"/>
    <x v="1"/>
    <x v="1"/>
    <s v="Normal"/>
    <s v="Male"/>
    <x v="4"/>
    <n v="19.25"/>
    <n v="8"/>
    <n v="7.7"/>
    <n v="161.69999999999999"/>
    <x v="54"/>
    <x v="78"/>
    <x v="0"/>
    <n v="154"/>
    <n v="4.7619047620000003"/>
    <n v="7.7"/>
    <n v="6.6"/>
  </r>
  <r>
    <s v="787-56-0757"/>
    <x v="1"/>
    <x v="1"/>
    <s v="Member"/>
    <s v="Female"/>
    <x v="4"/>
    <n v="80.36"/>
    <n v="4"/>
    <n v="16.071999999999999"/>
    <n v="337.512"/>
    <x v="55"/>
    <x v="40"/>
    <x v="2"/>
    <n v="321.44"/>
    <n v="4.7619047620000003"/>
    <n v="16.071999999999999"/>
    <n v="8.3000000000000007"/>
  </r>
  <r>
    <s v="360-39-5055"/>
    <x v="1"/>
    <x v="1"/>
    <s v="Member"/>
    <s v="Male"/>
    <x v="3"/>
    <n v="48.91"/>
    <n v="5"/>
    <n v="12.227499999999999"/>
    <n v="256.77749999999997"/>
    <x v="11"/>
    <x v="79"/>
    <x v="1"/>
    <n v="244.55"/>
    <n v="4.7619047620000003"/>
    <n v="12.227499999999999"/>
    <n v="6.6"/>
  </r>
  <r>
    <s v="730-50-9884"/>
    <x v="1"/>
    <x v="1"/>
    <s v="Normal"/>
    <s v="Female"/>
    <x v="3"/>
    <n v="83.06"/>
    <n v="7"/>
    <n v="29.071000000000002"/>
    <n v="610.49099999999999"/>
    <x v="19"/>
    <x v="80"/>
    <x v="0"/>
    <n v="581.41999999999996"/>
    <n v="4.7619047620000003"/>
    <n v="29.071000000000002"/>
    <n v="4"/>
  </r>
  <r>
    <s v="362-58-8315"/>
    <x v="1"/>
    <x v="1"/>
    <s v="Normal"/>
    <s v="Male"/>
    <x v="5"/>
    <n v="76.52"/>
    <n v="5"/>
    <n v="19.13"/>
    <n v="401.73"/>
    <x v="5"/>
    <x v="81"/>
    <x v="1"/>
    <n v="382.6"/>
    <n v="4.7619047620000003"/>
    <n v="19.13"/>
    <n v="9.9"/>
  </r>
  <r>
    <s v="633-44-8566"/>
    <x v="0"/>
    <x v="0"/>
    <s v="Member"/>
    <s v="Male"/>
    <x v="4"/>
    <n v="49.38"/>
    <n v="7"/>
    <n v="17.283000000000001"/>
    <n v="362.94299999999998"/>
    <x v="39"/>
    <x v="82"/>
    <x v="2"/>
    <n v="345.66"/>
    <n v="4.7619047620000003"/>
    <n v="17.283000000000001"/>
    <n v="7.3"/>
  </r>
  <r>
    <s v="504-35-8843"/>
    <x v="0"/>
    <x v="0"/>
    <s v="Normal"/>
    <s v="Male"/>
    <x v="3"/>
    <n v="42.47"/>
    <n v="1"/>
    <n v="2.1234999999999999"/>
    <n v="44.593499999999999"/>
    <x v="56"/>
    <x v="83"/>
    <x v="1"/>
    <n v="42.47"/>
    <n v="4.7619047620000003"/>
    <n v="2.1234999999999999"/>
    <n v="5.7"/>
  </r>
  <r>
    <s v="318-68-5053"/>
    <x v="2"/>
    <x v="2"/>
    <s v="Normal"/>
    <s v="Female"/>
    <x v="0"/>
    <n v="76.989999999999995"/>
    <n v="6"/>
    <n v="23.097000000000001"/>
    <n v="485.03699999999998"/>
    <x v="33"/>
    <x v="84"/>
    <x v="1"/>
    <n v="461.94"/>
    <n v="4.7619047620000003"/>
    <n v="23.097000000000001"/>
    <n v="6.1"/>
  </r>
  <r>
    <s v="565-80-5980"/>
    <x v="1"/>
    <x v="1"/>
    <s v="Member"/>
    <s v="Female"/>
    <x v="2"/>
    <n v="47.38"/>
    <n v="4"/>
    <n v="9.4760000000000009"/>
    <n v="198.99600000000001"/>
    <x v="54"/>
    <x v="12"/>
    <x v="1"/>
    <n v="189.52"/>
    <n v="4.7619047620000003"/>
    <n v="9.4760000000000009"/>
    <n v="7.1"/>
  </r>
  <r>
    <s v="225-32-0908"/>
    <x v="1"/>
    <x v="1"/>
    <s v="Normal"/>
    <s v="Female"/>
    <x v="3"/>
    <n v="44.86"/>
    <n v="10"/>
    <n v="22.43"/>
    <n v="471.03"/>
    <x v="53"/>
    <x v="85"/>
    <x v="0"/>
    <n v="448.6"/>
    <n v="4.7619047620000003"/>
    <n v="22.43"/>
    <n v="8.1999999999999993"/>
  </r>
  <r>
    <s v="873-51-0671"/>
    <x v="0"/>
    <x v="0"/>
    <s v="Member"/>
    <s v="Female"/>
    <x v="3"/>
    <n v="21.98"/>
    <n v="7"/>
    <n v="7.6929999999999996"/>
    <n v="161.553"/>
    <x v="8"/>
    <x v="86"/>
    <x v="0"/>
    <n v="153.86000000000001"/>
    <n v="4.7619047620000003"/>
    <n v="7.6929999999999996"/>
    <n v="5.0999999999999996"/>
  </r>
  <r>
    <s v="152-08-9985"/>
    <x v="2"/>
    <x v="2"/>
    <s v="Member"/>
    <s v="Male"/>
    <x v="0"/>
    <n v="64.36"/>
    <n v="9"/>
    <n v="28.962"/>
    <n v="608.202"/>
    <x v="41"/>
    <x v="87"/>
    <x v="2"/>
    <n v="579.24"/>
    <n v="4.7619047620000003"/>
    <n v="28.962"/>
    <n v="8.6"/>
  </r>
  <r>
    <s v="512-91-0811"/>
    <x v="1"/>
    <x v="1"/>
    <s v="Normal"/>
    <s v="Male"/>
    <x v="0"/>
    <n v="89.75"/>
    <n v="1"/>
    <n v="4.4874999999999998"/>
    <n v="94.237499999999997"/>
    <x v="10"/>
    <x v="88"/>
    <x v="2"/>
    <n v="89.75"/>
    <n v="4.7619047620000003"/>
    <n v="4.4874999999999998"/>
    <n v="6.6"/>
  </r>
  <r>
    <s v="594-34-4444"/>
    <x v="0"/>
    <x v="0"/>
    <s v="Normal"/>
    <s v="Male"/>
    <x v="1"/>
    <n v="97.16"/>
    <n v="1"/>
    <n v="4.8579999999999997"/>
    <n v="102.018"/>
    <x v="1"/>
    <x v="89"/>
    <x v="0"/>
    <n v="97.16"/>
    <n v="4.7619047620000003"/>
    <n v="4.8579999999999997"/>
    <n v="7.2"/>
  </r>
  <r>
    <s v="766-85-7061"/>
    <x v="2"/>
    <x v="2"/>
    <s v="Normal"/>
    <s v="Male"/>
    <x v="0"/>
    <n v="87.87"/>
    <n v="10"/>
    <n v="43.935000000000002"/>
    <n v="922.63499999999999"/>
    <x v="14"/>
    <x v="12"/>
    <x v="0"/>
    <n v="878.7"/>
    <n v="4.7619047620000003"/>
    <n v="43.935000000000002"/>
    <n v="5.0999999999999996"/>
  </r>
  <r>
    <s v="871-39-9221"/>
    <x v="1"/>
    <x v="1"/>
    <s v="Normal"/>
    <s v="Female"/>
    <x v="1"/>
    <n v="12.45"/>
    <n v="6"/>
    <n v="3.7349999999999999"/>
    <n v="78.435000000000002"/>
    <x v="57"/>
    <x v="90"/>
    <x v="1"/>
    <n v="74.7"/>
    <n v="4.7619047620000003"/>
    <n v="3.7349999999999999"/>
    <n v="4.0999999999999996"/>
  </r>
  <r>
    <s v="865-92-6136"/>
    <x v="0"/>
    <x v="0"/>
    <s v="Normal"/>
    <s v="Male"/>
    <x v="4"/>
    <n v="52.75"/>
    <n v="3"/>
    <n v="7.9124999999999996"/>
    <n v="166.16249999999999"/>
    <x v="28"/>
    <x v="91"/>
    <x v="0"/>
    <n v="158.25"/>
    <n v="4.7619047620000003"/>
    <n v="7.9124999999999996"/>
    <n v="9.3000000000000007"/>
  </r>
  <r>
    <s v="733-01-9107"/>
    <x v="2"/>
    <x v="2"/>
    <s v="Normal"/>
    <s v="Male"/>
    <x v="2"/>
    <n v="82.7"/>
    <n v="6"/>
    <n v="24.81"/>
    <n v="521.01"/>
    <x v="19"/>
    <x v="92"/>
    <x v="1"/>
    <n v="496.2"/>
    <n v="4.7619047620000003"/>
    <n v="24.81"/>
    <n v="7.4"/>
  </r>
  <r>
    <s v="163-56-7055"/>
    <x v="1"/>
    <x v="1"/>
    <s v="Member"/>
    <s v="Male"/>
    <x v="5"/>
    <n v="48.71"/>
    <n v="1"/>
    <n v="2.4355000000000002"/>
    <n v="51.145499999999998"/>
    <x v="58"/>
    <x v="25"/>
    <x v="1"/>
    <n v="48.71"/>
    <n v="4.7619047620000003"/>
    <n v="2.4355000000000002"/>
    <n v="4.0999999999999996"/>
  </r>
  <r>
    <s v="189-98-2939"/>
    <x v="1"/>
    <x v="1"/>
    <s v="Normal"/>
    <s v="Male"/>
    <x v="5"/>
    <n v="78.55"/>
    <n v="9"/>
    <n v="35.347499999999997"/>
    <n v="742.29750000000001"/>
    <x v="59"/>
    <x v="93"/>
    <x v="1"/>
    <n v="706.95"/>
    <n v="4.7619047620000003"/>
    <n v="35.347499999999997"/>
    <n v="7.2"/>
  </r>
  <r>
    <s v="551-21-3069"/>
    <x v="1"/>
    <x v="1"/>
    <s v="Normal"/>
    <s v="Female"/>
    <x v="1"/>
    <n v="23.07"/>
    <n v="9"/>
    <n v="10.381500000000001"/>
    <n v="218.01150000000001"/>
    <x v="60"/>
    <x v="94"/>
    <x v="1"/>
    <n v="207.63"/>
    <n v="4.7619047620000003"/>
    <n v="10.381500000000001"/>
    <n v="4.9000000000000004"/>
  </r>
  <r>
    <s v="212-62-1842"/>
    <x v="0"/>
    <x v="0"/>
    <s v="Normal"/>
    <s v="Male"/>
    <x v="4"/>
    <n v="58.26"/>
    <n v="6"/>
    <n v="17.478000000000002"/>
    <n v="367.03800000000001"/>
    <x v="61"/>
    <x v="95"/>
    <x v="1"/>
    <n v="349.56"/>
    <n v="4.7619047620000003"/>
    <n v="17.478000000000002"/>
    <n v="9.9"/>
  </r>
  <r>
    <s v="716-39-1409"/>
    <x v="2"/>
    <x v="2"/>
    <s v="Normal"/>
    <s v="Male"/>
    <x v="0"/>
    <n v="30.35"/>
    <n v="7"/>
    <n v="10.6225"/>
    <n v="223.07249999999999"/>
    <x v="35"/>
    <x v="96"/>
    <x v="1"/>
    <n v="212.45"/>
    <n v="4.7619047620000003"/>
    <n v="10.6225"/>
    <n v="8"/>
  </r>
  <r>
    <s v="704-48-3927"/>
    <x v="0"/>
    <x v="0"/>
    <s v="Member"/>
    <s v="Male"/>
    <x v="1"/>
    <n v="88.67"/>
    <n v="10"/>
    <n v="44.335000000000001"/>
    <n v="931.03499999999997"/>
    <x v="52"/>
    <x v="97"/>
    <x v="0"/>
    <n v="886.7"/>
    <n v="4.7619047620000003"/>
    <n v="44.335000000000001"/>
    <n v="7.3"/>
  </r>
  <r>
    <s v="628-34-3388"/>
    <x v="1"/>
    <x v="1"/>
    <s v="Normal"/>
    <s v="Male"/>
    <x v="5"/>
    <n v="27.38"/>
    <n v="6"/>
    <n v="8.2140000000000004"/>
    <n v="172.494"/>
    <x v="0"/>
    <x v="98"/>
    <x v="2"/>
    <n v="164.28"/>
    <n v="4.7619047620000003"/>
    <n v="8.2140000000000004"/>
    <n v="7.9"/>
  </r>
  <r>
    <s v="630-74-5166"/>
    <x v="0"/>
    <x v="0"/>
    <s v="Normal"/>
    <s v="Male"/>
    <x v="3"/>
    <n v="62.13"/>
    <n v="6"/>
    <n v="18.638999999999999"/>
    <n v="391.41899999999998"/>
    <x v="23"/>
    <x v="99"/>
    <x v="1"/>
    <n v="372.78"/>
    <n v="4.7619047620000003"/>
    <n v="18.638999999999999"/>
    <n v="7.4"/>
  </r>
  <r>
    <s v="588-01-7461"/>
    <x v="1"/>
    <x v="1"/>
    <s v="Normal"/>
    <s v="Female"/>
    <x v="4"/>
    <n v="33.979999999999997"/>
    <n v="9"/>
    <n v="15.291"/>
    <n v="321.11099999999999"/>
    <x v="62"/>
    <x v="100"/>
    <x v="1"/>
    <n v="305.82"/>
    <n v="4.7619047620000003"/>
    <n v="15.291"/>
    <n v="4.2"/>
  </r>
  <r>
    <s v="861-77-0145"/>
    <x v="1"/>
    <x v="1"/>
    <s v="Member"/>
    <s v="Male"/>
    <x v="1"/>
    <n v="81.97"/>
    <n v="10"/>
    <n v="40.984999999999999"/>
    <n v="860.68499999999995"/>
    <x v="2"/>
    <x v="101"/>
    <x v="1"/>
    <n v="819.7"/>
    <n v="4.7619047620000003"/>
    <n v="40.984999999999999"/>
    <n v="9.1999999999999993"/>
  </r>
  <r>
    <s v="479-26-8945"/>
    <x v="2"/>
    <x v="2"/>
    <s v="Member"/>
    <s v="Female"/>
    <x v="3"/>
    <n v="16.489999999999998"/>
    <n v="2"/>
    <n v="1.649"/>
    <n v="34.628999999999998"/>
    <x v="63"/>
    <x v="102"/>
    <x v="0"/>
    <n v="32.979999999999997"/>
    <n v="4.7619047620000003"/>
    <n v="1.649"/>
    <n v="4.5999999999999996"/>
  </r>
  <r>
    <s v="210-67-5886"/>
    <x v="1"/>
    <x v="1"/>
    <s v="Member"/>
    <s v="Female"/>
    <x v="0"/>
    <n v="98.21"/>
    <n v="3"/>
    <n v="14.7315"/>
    <n v="309.36149999999998"/>
    <x v="63"/>
    <x v="103"/>
    <x v="2"/>
    <n v="294.63"/>
    <n v="4.7619047620000003"/>
    <n v="14.7315"/>
    <n v="7.8"/>
  </r>
  <r>
    <s v="227-78-1148"/>
    <x v="2"/>
    <x v="2"/>
    <s v="Normal"/>
    <s v="Female"/>
    <x v="5"/>
    <n v="72.84"/>
    <n v="7"/>
    <n v="25.494"/>
    <n v="535.37400000000002"/>
    <x v="42"/>
    <x v="104"/>
    <x v="1"/>
    <n v="509.88"/>
    <n v="4.7619047620000003"/>
    <n v="25.494"/>
    <n v="8.4"/>
  </r>
  <r>
    <s v="645-44-1170"/>
    <x v="0"/>
    <x v="0"/>
    <s v="Member"/>
    <s v="Male"/>
    <x v="2"/>
    <n v="58.07"/>
    <n v="9"/>
    <n v="26.131499999999999"/>
    <n v="548.76149999999996"/>
    <x v="64"/>
    <x v="105"/>
    <x v="0"/>
    <n v="522.63"/>
    <n v="4.7619047620000003"/>
    <n v="26.131499999999999"/>
    <n v="4.3"/>
  </r>
  <r>
    <s v="237-01-6122"/>
    <x v="1"/>
    <x v="1"/>
    <s v="Member"/>
    <s v="Female"/>
    <x v="2"/>
    <n v="80.790000000000006"/>
    <n v="9"/>
    <n v="36.355499999999999"/>
    <n v="763.46550000000002"/>
    <x v="60"/>
    <x v="106"/>
    <x v="2"/>
    <n v="727.11"/>
    <n v="4.7619047620000003"/>
    <n v="36.355499999999999"/>
    <n v="9.5"/>
  </r>
  <r>
    <s v="225-98-1496"/>
    <x v="1"/>
    <x v="1"/>
    <s v="Normal"/>
    <s v="Female"/>
    <x v="5"/>
    <n v="27.02"/>
    <n v="3"/>
    <n v="4.0529999999999999"/>
    <n v="85.113"/>
    <x v="22"/>
    <x v="39"/>
    <x v="2"/>
    <n v="81.06"/>
    <n v="4.7619047620000003"/>
    <n v="4.0529999999999999"/>
    <n v="7.1"/>
  </r>
  <r>
    <s v="291-32-1427"/>
    <x v="2"/>
    <x v="2"/>
    <s v="Member"/>
    <s v="Male"/>
    <x v="5"/>
    <n v="21.94"/>
    <n v="5"/>
    <n v="5.4850000000000003"/>
    <n v="115.185"/>
    <x v="19"/>
    <x v="107"/>
    <x v="0"/>
    <n v="109.7"/>
    <n v="4.7619047620000003"/>
    <n v="5.4850000000000003"/>
    <n v="5.3"/>
  </r>
  <r>
    <s v="659-65-8956"/>
    <x v="2"/>
    <x v="2"/>
    <s v="Member"/>
    <s v="Male"/>
    <x v="5"/>
    <n v="51.36"/>
    <n v="1"/>
    <n v="2.5680000000000001"/>
    <n v="53.927999999999997"/>
    <x v="65"/>
    <x v="108"/>
    <x v="0"/>
    <n v="51.36"/>
    <n v="4.7619047620000003"/>
    <n v="2.5680000000000001"/>
    <n v="5.2"/>
  </r>
  <r>
    <s v="642-32-2990"/>
    <x v="0"/>
    <x v="0"/>
    <s v="Normal"/>
    <s v="Female"/>
    <x v="4"/>
    <n v="10.96"/>
    <n v="10"/>
    <n v="5.48"/>
    <n v="115.08"/>
    <x v="30"/>
    <x v="109"/>
    <x v="0"/>
    <n v="109.6"/>
    <n v="4.7619047620000003"/>
    <n v="5.48"/>
    <n v="6"/>
  </r>
  <r>
    <s v="378-24-2715"/>
    <x v="2"/>
    <x v="2"/>
    <s v="Normal"/>
    <s v="Male"/>
    <x v="2"/>
    <n v="53.44"/>
    <n v="2"/>
    <n v="5.3440000000000003"/>
    <n v="112.224"/>
    <x v="40"/>
    <x v="89"/>
    <x v="0"/>
    <n v="106.88"/>
    <n v="4.7619047620000003"/>
    <n v="5.3440000000000003"/>
    <n v="4.0999999999999996"/>
  </r>
  <r>
    <s v="638-60-7125"/>
    <x v="0"/>
    <x v="0"/>
    <s v="Normal"/>
    <s v="Female"/>
    <x v="1"/>
    <n v="99.56"/>
    <n v="8"/>
    <n v="39.823999999999998"/>
    <n v="836.30399999999997"/>
    <x v="44"/>
    <x v="11"/>
    <x v="2"/>
    <n v="796.48"/>
    <n v="4.7619047620000003"/>
    <n v="39.823999999999998"/>
    <n v="5.2"/>
  </r>
  <r>
    <s v="659-36-1684"/>
    <x v="1"/>
    <x v="1"/>
    <s v="Member"/>
    <s v="Male"/>
    <x v="3"/>
    <n v="57.12"/>
    <n v="7"/>
    <n v="19.992000000000001"/>
    <n v="419.83199999999999"/>
    <x v="52"/>
    <x v="110"/>
    <x v="2"/>
    <n v="399.84"/>
    <n v="4.7619047620000003"/>
    <n v="19.992000000000001"/>
    <n v="6.5"/>
  </r>
  <r>
    <s v="219-22-9386"/>
    <x v="2"/>
    <x v="2"/>
    <s v="Member"/>
    <s v="Male"/>
    <x v="3"/>
    <n v="99.96"/>
    <n v="9"/>
    <n v="44.981999999999999"/>
    <n v="944.62199999999996"/>
    <x v="11"/>
    <x v="111"/>
    <x v="2"/>
    <n v="899.64"/>
    <n v="4.7619047620000003"/>
    <n v="44.981999999999999"/>
    <n v="4.2"/>
  </r>
  <r>
    <s v="336-78-2147"/>
    <x v="1"/>
    <x v="1"/>
    <s v="Member"/>
    <s v="Male"/>
    <x v="2"/>
    <n v="63.91"/>
    <n v="8"/>
    <n v="25.564"/>
    <n v="536.84400000000005"/>
    <x v="45"/>
    <x v="112"/>
    <x v="2"/>
    <n v="511.28"/>
    <n v="4.7619047620000003"/>
    <n v="25.564"/>
    <n v="4.5999999999999996"/>
  </r>
  <r>
    <s v="268-27-6179"/>
    <x v="2"/>
    <x v="2"/>
    <s v="Member"/>
    <s v="Female"/>
    <x v="5"/>
    <n v="56.47"/>
    <n v="8"/>
    <n v="22.588000000000001"/>
    <n v="474.34800000000001"/>
    <x v="11"/>
    <x v="113"/>
    <x v="0"/>
    <n v="451.76"/>
    <n v="4.7619047620000003"/>
    <n v="22.588000000000001"/>
    <n v="7.3"/>
  </r>
  <r>
    <s v="668-90-8900"/>
    <x v="0"/>
    <x v="0"/>
    <s v="Normal"/>
    <s v="Female"/>
    <x v="2"/>
    <n v="93.69"/>
    <n v="7"/>
    <n v="32.791499999999999"/>
    <n v="688.62149999999997"/>
    <x v="24"/>
    <x v="114"/>
    <x v="2"/>
    <n v="655.83"/>
    <n v="4.7619047620000003"/>
    <n v="32.791499999999999"/>
    <n v="4.5"/>
  </r>
  <r>
    <s v="870-54-3162"/>
    <x v="0"/>
    <x v="0"/>
    <s v="Normal"/>
    <s v="Female"/>
    <x v="3"/>
    <n v="32.25"/>
    <n v="5"/>
    <n v="8.0625"/>
    <n v="169.3125"/>
    <x v="3"/>
    <x v="115"/>
    <x v="1"/>
    <n v="161.25"/>
    <n v="4.7619047620000003"/>
    <n v="8.0625"/>
    <n v="9"/>
  </r>
  <r>
    <s v="189-08-9157"/>
    <x v="1"/>
    <x v="1"/>
    <s v="Normal"/>
    <s v="Female"/>
    <x v="5"/>
    <n v="31.73"/>
    <n v="9"/>
    <n v="14.278499999999999"/>
    <n v="299.8485"/>
    <x v="66"/>
    <x v="116"/>
    <x v="2"/>
    <n v="285.57"/>
    <n v="4.7619047620000003"/>
    <n v="14.278499999999999"/>
    <n v="5.9"/>
  </r>
  <r>
    <s v="663-86-9076"/>
    <x v="1"/>
    <x v="1"/>
    <s v="Member"/>
    <s v="Female"/>
    <x v="4"/>
    <n v="68.540000000000006"/>
    <n v="8"/>
    <n v="27.416"/>
    <n v="575.73599999999999"/>
    <x v="66"/>
    <x v="117"/>
    <x v="0"/>
    <n v="548.32000000000005"/>
    <n v="4.7619047620000003"/>
    <n v="27.416"/>
    <n v="8.5"/>
  </r>
  <r>
    <s v="549-84-7482"/>
    <x v="2"/>
    <x v="2"/>
    <s v="Normal"/>
    <s v="Female"/>
    <x v="3"/>
    <n v="90.28"/>
    <n v="9"/>
    <n v="40.625999999999998"/>
    <n v="853.14599999999996"/>
    <x v="4"/>
    <x v="23"/>
    <x v="0"/>
    <n v="812.52"/>
    <n v="4.7619047620000003"/>
    <n v="40.625999999999998"/>
    <n v="7.2"/>
  </r>
  <r>
    <s v="191-10-6171"/>
    <x v="2"/>
    <x v="2"/>
    <s v="Normal"/>
    <s v="Female"/>
    <x v="5"/>
    <n v="39.619999999999997"/>
    <n v="7"/>
    <n v="13.867000000000001"/>
    <n v="291.20699999999999"/>
    <x v="25"/>
    <x v="118"/>
    <x v="1"/>
    <n v="277.33999999999997"/>
    <n v="4.7619047620000003"/>
    <n v="13.867000000000001"/>
    <n v="7.5"/>
  </r>
  <r>
    <s v="802-70-5316"/>
    <x v="0"/>
    <x v="0"/>
    <s v="Member"/>
    <s v="Female"/>
    <x v="3"/>
    <n v="92.13"/>
    <n v="6"/>
    <n v="27.638999999999999"/>
    <n v="580.41899999999998"/>
    <x v="43"/>
    <x v="119"/>
    <x v="1"/>
    <n v="552.78"/>
    <n v="4.7619047620000003"/>
    <n v="27.638999999999999"/>
    <n v="8.3000000000000007"/>
  </r>
  <r>
    <s v="695-51-0018"/>
    <x v="2"/>
    <x v="2"/>
    <s v="Normal"/>
    <s v="Female"/>
    <x v="3"/>
    <n v="34.840000000000003"/>
    <n v="4"/>
    <n v="6.968"/>
    <n v="146.328"/>
    <x v="34"/>
    <x v="120"/>
    <x v="1"/>
    <n v="139.36000000000001"/>
    <n v="4.7619047620000003"/>
    <n v="6.968"/>
    <n v="7.4"/>
  </r>
  <r>
    <s v="590-83-4591"/>
    <x v="2"/>
    <x v="2"/>
    <s v="Member"/>
    <s v="Male"/>
    <x v="1"/>
    <n v="87.45"/>
    <n v="6"/>
    <n v="26.234999999999999"/>
    <n v="550.93499999999995"/>
    <x v="21"/>
    <x v="121"/>
    <x v="2"/>
    <n v="524.70000000000005"/>
    <n v="4.7619047620000003"/>
    <n v="26.234999999999999"/>
    <n v="8.8000000000000007"/>
  </r>
  <r>
    <s v="483-71-1164"/>
    <x v="1"/>
    <x v="1"/>
    <s v="Normal"/>
    <s v="Female"/>
    <x v="0"/>
    <n v="81.3"/>
    <n v="6"/>
    <n v="24.39"/>
    <n v="512.19000000000005"/>
    <x v="1"/>
    <x v="122"/>
    <x v="0"/>
    <n v="487.8"/>
    <n v="4.7619047620000003"/>
    <n v="24.39"/>
    <n v="5.3"/>
  </r>
  <r>
    <s v="597-78-7908"/>
    <x v="1"/>
    <x v="1"/>
    <s v="Normal"/>
    <s v="Male"/>
    <x v="5"/>
    <n v="90.22"/>
    <n v="3"/>
    <n v="13.532999999999999"/>
    <n v="284.19299999999998"/>
    <x v="67"/>
    <x v="30"/>
    <x v="1"/>
    <n v="270.66000000000003"/>
    <n v="4.7619047620000003"/>
    <n v="13.532999999999999"/>
    <n v="6.2"/>
  </r>
  <r>
    <s v="700-81-1757"/>
    <x v="0"/>
    <x v="0"/>
    <s v="Normal"/>
    <s v="Female"/>
    <x v="1"/>
    <n v="26.31"/>
    <n v="5"/>
    <n v="6.5774999999999997"/>
    <n v="138.1275"/>
    <x v="68"/>
    <x v="123"/>
    <x v="2"/>
    <n v="131.55000000000001"/>
    <n v="4.7619047620000003"/>
    <n v="6.5774999999999997"/>
    <n v="8.8000000000000007"/>
  </r>
  <r>
    <s v="354-39-5160"/>
    <x v="0"/>
    <x v="0"/>
    <s v="Member"/>
    <s v="Female"/>
    <x v="2"/>
    <n v="34.42"/>
    <n v="6"/>
    <n v="10.326000000000001"/>
    <n v="216.846"/>
    <x v="67"/>
    <x v="124"/>
    <x v="1"/>
    <n v="206.52"/>
    <n v="4.7619047620000003"/>
    <n v="10.326000000000001"/>
    <n v="9.8000000000000007"/>
  </r>
  <r>
    <s v="241-72-9525"/>
    <x v="2"/>
    <x v="2"/>
    <s v="Normal"/>
    <s v="Male"/>
    <x v="3"/>
    <n v="51.91"/>
    <n v="10"/>
    <n v="25.954999999999998"/>
    <n v="545.05499999999995"/>
    <x v="69"/>
    <x v="125"/>
    <x v="1"/>
    <n v="519.1"/>
    <n v="4.7619047620000003"/>
    <n v="25.954999999999998"/>
    <n v="8.1999999999999993"/>
  </r>
  <r>
    <s v="575-30-8091"/>
    <x v="0"/>
    <x v="0"/>
    <s v="Normal"/>
    <s v="Male"/>
    <x v="3"/>
    <n v="72.5"/>
    <n v="8"/>
    <n v="29"/>
    <n v="609"/>
    <x v="32"/>
    <x v="126"/>
    <x v="0"/>
    <n v="580"/>
    <n v="4.7619047620000003"/>
    <n v="29"/>
    <n v="9.1999999999999993"/>
  </r>
  <r>
    <s v="731-81-9469"/>
    <x v="1"/>
    <x v="1"/>
    <s v="Member"/>
    <s v="Female"/>
    <x v="3"/>
    <n v="89.8"/>
    <n v="10"/>
    <n v="44.9"/>
    <n v="942.9"/>
    <x v="54"/>
    <x v="127"/>
    <x v="2"/>
    <n v="898"/>
    <n v="4.7619047620000003"/>
    <n v="44.9"/>
    <n v="5.4"/>
  </r>
  <r>
    <s v="280-17-4359"/>
    <x v="1"/>
    <x v="1"/>
    <s v="Member"/>
    <s v="Male"/>
    <x v="0"/>
    <n v="90.5"/>
    <n v="10"/>
    <n v="45.25"/>
    <n v="950.25"/>
    <x v="25"/>
    <x v="128"/>
    <x v="1"/>
    <n v="905"/>
    <n v="4.7619047620000003"/>
    <n v="45.25"/>
    <n v="8.1"/>
  </r>
  <r>
    <s v="338-65-2210"/>
    <x v="1"/>
    <x v="1"/>
    <s v="Member"/>
    <s v="Female"/>
    <x v="0"/>
    <n v="68.599999999999994"/>
    <n v="10"/>
    <n v="34.299999999999997"/>
    <n v="720.3"/>
    <x v="63"/>
    <x v="129"/>
    <x v="1"/>
    <n v="686"/>
    <n v="4.7619047620000003"/>
    <n v="34.299999999999997"/>
    <n v="9.1"/>
  </r>
  <r>
    <s v="488-25-4221"/>
    <x v="1"/>
    <x v="1"/>
    <s v="Member"/>
    <s v="Female"/>
    <x v="4"/>
    <n v="30.41"/>
    <n v="1"/>
    <n v="1.5205"/>
    <n v="31.930499999999999"/>
    <x v="70"/>
    <x v="130"/>
    <x v="2"/>
    <n v="30.41"/>
    <n v="4.7619047620000003"/>
    <n v="1.5205"/>
    <n v="8.4"/>
  </r>
  <r>
    <s v="239-10-7476"/>
    <x v="0"/>
    <x v="0"/>
    <s v="Normal"/>
    <s v="Female"/>
    <x v="2"/>
    <n v="77.95"/>
    <n v="6"/>
    <n v="23.385000000000002"/>
    <n v="491.08499999999998"/>
    <x v="18"/>
    <x v="131"/>
    <x v="0"/>
    <n v="467.7"/>
    <n v="4.7619047620000003"/>
    <n v="23.385000000000002"/>
    <n v="8"/>
  </r>
  <r>
    <s v="458-41-1477"/>
    <x v="1"/>
    <x v="1"/>
    <s v="Normal"/>
    <s v="Female"/>
    <x v="0"/>
    <n v="46.26"/>
    <n v="6"/>
    <n v="13.878"/>
    <n v="291.43799999999999"/>
    <x v="1"/>
    <x v="132"/>
    <x v="2"/>
    <n v="277.56"/>
    <n v="4.7619047620000003"/>
    <n v="13.878"/>
    <n v="9.5"/>
  </r>
  <r>
    <s v="685-64-1609"/>
    <x v="0"/>
    <x v="0"/>
    <s v="Member"/>
    <s v="Female"/>
    <x v="5"/>
    <n v="30.14"/>
    <n v="10"/>
    <n v="15.07"/>
    <n v="316.47000000000003"/>
    <x v="34"/>
    <x v="35"/>
    <x v="0"/>
    <n v="301.39999999999998"/>
    <n v="4.7619047620000003"/>
    <n v="15.07"/>
    <n v="9.1999999999999993"/>
  </r>
  <r>
    <s v="568-90-5112"/>
    <x v="1"/>
    <x v="1"/>
    <s v="Normal"/>
    <s v="Male"/>
    <x v="0"/>
    <n v="66.14"/>
    <n v="4"/>
    <n v="13.228"/>
    <n v="277.78800000000001"/>
    <x v="35"/>
    <x v="69"/>
    <x v="2"/>
    <n v="264.56"/>
    <n v="4.7619047620000003"/>
    <n v="13.228"/>
    <n v="5.6"/>
  </r>
  <r>
    <s v="262-47-2794"/>
    <x v="2"/>
    <x v="2"/>
    <s v="Member"/>
    <s v="Male"/>
    <x v="2"/>
    <n v="71.86"/>
    <n v="8"/>
    <n v="28.744"/>
    <n v="603.62400000000002"/>
    <x v="43"/>
    <x v="133"/>
    <x v="2"/>
    <n v="574.88"/>
    <n v="4.7619047620000003"/>
    <n v="28.744"/>
    <n v="6.2"/>
  </r>
  <r>
    <s v="238-49-0436"/>
    <x v="0"/>
    <x v="0"/>
    <s v="Normal"/>
    <s v="Male"/>
    <x v="0"/>
    <n v="32.46"/>
    <n v="8"/>
    <n v="12.984"/>
    <n v="272.66399999999999"/>
    <x v="39"/>
    <x v="128"/>
    <x v="2"/>
    <n v="259.68"/>
    <n v="4.7619047620000003"/>
    <n v="12.984"/>
    <n v="4.9000000000000004"/>
  </r>
  <r>
    <s v="608-96-3517"/>
    <x v="2"/>
    <x v="2"/>
    <s v="Member"/>
    <s v="Female"/>
    <x v="5"/>
    <n v="91.54"/>
    <n v="4"/>
    <n v="18.308"/>
    <n v="384.46800000000002"/>
    <x v="28"/>
    <x v="25"/>
    <x v="2"/>
    <n v="366.16"/>
    <n v="4.7619047620000003"/>
    <n v="18.308"/>
    <n v="4.8"/>
  </r>
  <r>
    <s v="584-86-7256"/>
    <x v="1"/>
    <x v="1"/>
    <s v="Member"/>
    <s v="Male"/>
    <x v="3"/>
    <n v="34.56"/>
    <n v="7"/>
    <n v="12.096"/>
    <n v="254.01599999999999"/>
    <x v="16"/>
    <x v="134"/>
    <x v="2"/>
    <n v="241.92"/>
    <n v="4.7619047620000003"/>
    <n v="12.096"/>
    <n v="7.3"/>
  </r>
  <r>
    <s v="746-94-0204"/>
    <x v="0"/>
    <x v="0"/>
    <s v="Normal"/>
    <s v="Male"/>
    <x v="5"/>
    <n v="83.24"/>
    <n v="9"/>
    <n v="37.457999999999998"/>
    <n v="786.61800000000005"/>
    <x v="71"/>
    <x v="135"/>
    <x v="2"/>
    <n v="749.16"/>
    <n v="4.7619047620000003"/>
    <n v="37.457999999999998"/>
    <n v="7.4"/>
  </r>
  <r>
    <s v="214-17-6927"/>
    <x v="1"/>
    <x v="1"/>
    <s v="Normal"/>
    <s v="Female"/>
    <x v="4"/>
    <n v="16.48"/>
    <n v="6"/>
    <n v="4.944"/>
    <n v="103.824"/>
    <x v="13"/>
    <x v="136"/>
    <x v="0"/>
    <n v="98.88"/>
    <n v="4.7619047620000003"/>
    <n v="4.944"/>
    <n v="9.9"/>
  </r>
  <r>
    <s v="400-89-4171"/>
    <x v="1"/>
    <x v="1"/>
    <s v="Normal"/>
    <s v="Female"/>
    <x v="3"/>
    <n v="80.97"/>
    <n v="8"/>
    <n v="32.387999999999998"/>
    <n v="680.14800000000002"/>
    <x v="26"/>
    <x v="137"/>
    <x v="1"/>
    <n v="647.76"/>
    <n v="4.7619047620000003"/>
    <n v="32.387999999999998"/>
    <n v="9.3000000000000007"/>
  </r>
  <r>
    <s v="782-95-9291"/>
    <x v="0"/>
    <x v="0"/>
    <s v="Member"/>
    <s v="Male"/>
    <x v="4"/>
    <n v="92.29"/>
    <n v="5"/>
    <n v="23.072500000000002"/>
    <n v="484.52249999999998"/>
    <x v="9"/>
    <x v="57"/>
    <x v="2"/>
    <n v="461.45"/>
    <n v="4.7619047620000003"/>
    <n v="23.072500000000002"/>
    <n v="9"/>
  </r>
  <r>
    <s v="279-74-2924"/>
    <x v="2"/>
    <x v="2"/>
    <s v="Member"/>
    <s v="Male"/>
    <x v="1"/>
    <n v="72.17"/>
    <n v="1"/>
    <n v="3.6084999999999998"/>
    <n v="75.778499999999994"/>
    <x v="72"/>
    <x v="138"/>
    <x v="1"/>
    <n v="72.17"/>
    <n v="4.7619047620000003"/>
    <n v="3.6084999999999998"/>
    <n v="6.1"/>
  </r>
  <r>
    <s v="307-85-2293"/>
    <x v="2"/>
    <x v="2"/>
    <s v="Normal"/>
    <s v="Male"/>
    <x v="2"/>
    <n v="50.28"/>
    <n v="5"/>
    <n v="12.57"/>
    <n v="263.97000000000003"/>
    <x v="37"/>
    <x v="139"/>
    <x v="0"/>
    <n v="251.4"/>
    <n v="4.7619047620000003"/>
    <n v="12.57"/>
    <n v="9.6999999999999993"/>
  </r>
  <r>
    <s v="743-04-1105"/>
    <x v="2"/>
    <x v="2"/>
    <s v="Member"/>
    <s v="Male"/>
    <x v="0"/>
    <n v="97.22"/>
    <n v="9"/>
    <n v="43.749000000000002"/>
    <n v="918.72900000000004"/>
    <x v="73"/>
    <x v="140"/>
    <x v="0"/>
    <n v="874.98"/>
    <n v="4.7619047620000003"/>
    <n v="43.749000000000002"/>
    <n v="6"/>
  </r>
  <r>
    <s v="423-57-2993"/>
    <x v="2"/>
    <x v="2"/>
    <s v="Normal"/>
    <s v="Male"/>
    <x v="3"/>
    <n v="93.39"/>
    <n v="6"/>
    <n v="28.016999999999999"/>
    <n v="588.35699999999997"/>
    <x v="39"/>
    <x v="141"/>
    <x v="0"/>
    <n v="560.34"/>
    <n v="4.7619047620000003"/>
    <n v="28.016999999999999"/>
    <n v="10"/>
  </r>
  <r>
    <s v="894-41-5205"/>
    <x v="1"/>
    <x v="1"/>
    <s v="Normal"/>
    <s v="Female"/>
    <x v="4"/>
    <n v="43.18"/>
    <n v="8"/>
    <n v="17.271999999999998"/>
    <n v="362.71199999999999"/>
    <x v="64"/>
    <x v="30"/>
    <x v="2"/>
    <n v="345.44"/>
    <n v="4.7619047620000003"/>
    <n v="17.271999999999998"/>
    <n v="8.3000000000000007"/>
  </r>
  <r>
    <s v="275-28-0149"/>
    <x v="0"/>
    <x v="0"/>
    <s v="Normal"/>
    <s v="Male"/>
    <x v="3"/>
    <n v="63.69"/>
    <n v="1"/>
    <n v="3.1844999999999999"/>
    <n v="66.874499999999998"/>
    <x v="6"/>
    <x v="142"/>
    <x v="1"/>
    <n v="63.69"/>
    <n v="4.7619047620000003"/>
    <n v="3.1844999999999999"/>
    <n v="6"/>
  </r>
  <r>
    <s v="101-17-6199"/>
    <x v="0"/>
    <x v="0"/>
    <s v="Normal"/>
    <s v="Male"/>
    <x v="4"/>
    <n v="45.79"/>
    <n v="7"/>
    <n v="16.026499999999999"/>
    <n v="336.55650000000003"/>
    <x v="45"/>
    <x v="143"/>
    <x v="2"/>
    <n v="320.52999999999997"/>
    <n v="4.7619047620000003"/>
    <n v="16.026499999999999"/>
    <n v="7"/>
  </r>
  <r>
    <s v="423-80-0988"/>
    <x v="1"/>
    <x v="1"/>
    <s v="Normal"/>
    <s v="Male"/>
    <x v="3"/>
    <n v="76.400000000000006"/>
    <n v="2"/>
    <n v="7.64"/>
    <n v="160.44"/>
    <x v="74"/>
    <x v="144"/>
    <x v="0"/>
    <n v="152.80000000000001"/>
    <n v="4.7619047620000003"/>
    <n v="7.64"/>
    <n v="6.5"/>
  </r>
  <r>
    <s v="548-46-9322"/>
    <x v="2"/>
    <x v="2"/>
    <s v="Normal"/>
    <s v="Male"/>
    <x v="4"/>
    <n v="39.9"/>
    <n v="10"/>
    <n v="19.95"/>
    <n v="418.95"/>
    <x v="9"/>
    <x v="145"/>
    <x v="2"/>
    <n v="399"/>
    <n v="4.7619047620000003"/>
    <n v="19.95"/>
    <n v="5.9"/>
  </r>
  <r>
    <s v="505-02-0892"/>
    <x v="2"/>
    <x v="2"/>
    <s v="Member"/>
    <s v="Male"/>
    <x v="0"/>
    <n v="42.57"/>
    <n v="8"/>
    <n v="17.027999999999999"/>
    <n v="357.58800000000002"/>
    <x v="6"/>
    <x v="146"/>
    <x v="0"/>
    <n v="340.56"/>
    <n v="4.7619047620000003"/>
    <n v="17.027999999999999"/>
    <n v="5.6"/>
  </r>
  <r>
    <s v="234-65-2137"/>
    <x v="1"/>
    <x v="1"/>
    <s v="Normal"/>
    <s v="Male"/>
    <x v="2"/>
    <n v="95.58"/>
    <n v="10"/>
    <n v="47.79"/>
    <n v="1003.59"/>
    <x v="65"/>
    <x v="147"/>
    <x v="1"/>
    <n v="955.8"/>
    <n v="4.7619047620000003"/>
    <n v="47.79"/>
    <n v="4.8"/>
  </r>
  <r>
    <s v="687-47-8271"/>
    <x v="0"/>
    <x v="0"/>
    <s v="Normal"/>
    <s v="Male"/>
    <x v="5"/>
    <n v="98.98"/>
    <n v="10"/>
    <n v="49.49"/>
    <n v="1039.29"/>
    <x v="4"/>
    <x v="148"/>
    <x v="2"/>
    <n v="989.8"/>
    <n v="4.7619047620000003"/>
    <n v="49.49"/>
    <n v="8.6999999999999993"/>
  </r>
  <r>
    <s v="796-32-9050"/>
    <x v="0"/>
    <x v="0"/>
    <s v="Normal"/>
    <s v="Male"/>
    <x v="4"/>
    <n v="51.28"/>
    <n v="6"/>
    <n v="15.384"/>
    <n v="323.06400000000002"/>
    <x v="64"/>
    <x v="149"/>
    <x v="1"/>
    <n v="307.68"/>
    <n v="4.7619047620000003"/>
    <n v="15.384"/>
    <n v="6.5"/>
  </r>
  <r>
    <s v="105-31-1824"/>
    <x v="0"/>
    <x v="0"/>
    <s v="Member"/>
    <s v="Male"/>
    <x v="3"/>
    <n v="69.52"/>
    <n v="7"/>
    <n v="24.332000000000001"/>
    <n v="510.97199999999998"/>
    <x v="60"/>
    <x v="50"/>
    <x v="2"/>
    <n v="486.64"/>
    <n v="4.7619047620000003"/>
    <n v="24.332000000000001"/>
    <n v="8.5"/>
  </r>
  <r>
    <s v="249-42-3782"/>
    <x v="0"/>
    <x v="0"/>
    <s v="Normal"/>
    <s v="Male"/>
    <x v="0"/>
    <n v="70.010000000000005"/>
    <n v="5"/>
    <n v="17.502500000000001"/>
    <n v="367.55250000000001"/>
    <x v="75"/>
    <x v="150"/>
    <x v="0"/>
    <n v="350.05"/>
    <n v="4.7619047620000003"/>
    <n v="17.502500000000001"/>
    <n v="5.5"/>
  </r>
  <r>
    <s v="316-55-4634"/>
    <x v="2"/>
    <x v="2"/>
    <s v="Member"/>
    <s v="Male"/>
    <x v="4"/>
    <n v="80.05"/>
    <n v="5"/>
    <n v="20.012499999999999"/>
    <n v="420.26249999999999"/>
    <x v="53"/>
    <x v="47"/>
    <x v="2"/>
    <n v="400.25"/>
    <n v="4.7619047620000003"/>
    <n v="20.012499999999999"/>
    <n v="9.4"/>
  </r>
  <r>
    <s v="733-33-4967"/>
    <x v="1"/>
    <x v="1"/>
    <s v="Normal"/>
    <s v="Male"/>
    <x v="1"/>
    <n v="20.85"/>
    <n v="8"/>
    <n v="8.34"/>
    <n v="175.14"/>
    <x v="2"/>
    <x v="151"/>
    <x v="1"/>
    <n v="166.8"/>
    <n v="4.7619047620000003"/>
    <n v="8.34"/>
    <n v="6.3"/>
  </r>
  <r>
    <s v="608-27-6295"/>
    <x v="2"/>
    <x v="2"/>
    <s v="Member"/>
    <s v="Male"/>
    <x v="1"/>
    <n v="52.89"/>
    <n v="6"/>
    <n v="15.867000000000001"/>
    <n v="333.20699999999999"/>
    <x v="64"/>
    <x v="152"/>
    <x v="2"/>
    <n v="317.33999999999997"/>
    <n v="4.7619047620000003"/>
    <n v="15.867000000000001"/>
    <n v="9.8000000000000007"/>
  </r>
  <r>
    <s v="414-12-7047"/>
    <x v="2"/>
    <x v="2"/>
    <s v="Normal"/>
    <s v="Male"/>
    <x v="4"/>
    <n v="19.79"/>
    <n v="8"/>
    <n v="7.9160000000000004"/>
    <n v="166.23599999999999"/>
    <x v="68"/>
    <x v="153"/>
    <x v="0"/>
    <n v="158.32"/>
    <n v="4.7619047620000003"/>
    <n v="7.9160000000000004"/>
    <n v="8.6999999999999993"/>
  </r>
  <r>
    <s v="827-26-2100"/>
    <x v="0"/>
    <x v="0"/>
    <s v="Member"/>
    <s v="Male"/>
    <x v="2"/>
    <n v="33.840000000000003"/>
    <n v="9"/>
    <n v="15.228"/>
    <n v="319.78800000000001"/>
    <x v="76"/>
    <x v="142"/>
    <x v="0"/>
    <n v="304.56"/>
    <n v="4.7619047620000003"/>
    <n v="15.228"/>
    <n v="8.8000000000000007"/>
  </r>
  <r>
    <s v="175-54-2529"/>
    <x v="0"/>
    <x v="0"/>
    <s v="Member"/>
    <s v="Male"/>
    <x v="4"/>
    <n v="22.17"/>
    <n v="8"/>
    <n v="8.8680000000000003"/>
    <n v="186.22800000000001"/>
    <x v="2"/>
    <x v="154"/>
    <x v="2"/>
    <n v="177.36"/>
    <n v="4.7619047620000003"/>
    <n v="8.8680000000000003"/>
    <n v="9.6"/>
  </r>
  <r>
    <s v="139-52-2867"/>
    <x v="1"/>
    <x v="1"/>
    <s v="Normal"/>
    <s v="Female"/>
    <x v="5"/>
    <n v="22.51"/>
    <n v="7"/>
    <n v="7.8784999999999998"/>
    <n v="165.4485"/>
    <x v="77"/>
    <x v="155"/>
    <x v="2"/>
    <n v="157.57"/>
    <n v="4.7619047620000003"/>
    <n v="7.8784999999999998"/>
    <n v="4.8"/>
  </r>
  <r>
    <s v="407-63-8975"/>
    <x v="0"/>
    <x v="0"/>
    <s v="Normal"/>
    <s v="Male"/>
    <x v="4"/>
    <n v="73.88"/>
    <n v="6"/>
    <n v="22.164000000000001"/>
    <n v="465.44400000000002"/>
    <x v="28"/>
    <x v="156"/>
    <x v="0"/>
    <n v="443.28"/>
    <n v="4.7619047620000003"/>
    <n v="22.164000000000001"/>
    <n v="4.4000000000000004"/>
  </r>
  <r>
    <s v="342-65-4817"/>
    <x v="1"/>
    <x v="1"/>
    <s v="Member"/>
    <s v="Male"/>
    <x v="0"/>
    <n v="86.8"/>
    <n v="3"/>
    <n v="13.02"/>
    <n v="273.42"/>
    <x v="26"/>
    <x v="157"/>
    <x v="0"/>
    <n v="260.39999999999998"/>
    <n v="4.7619047620000003"/>
    <n v="13.02"/>
    <n v="9.9"/>
  </r>
  <r>
    <s v="130-98-8941"/>
    <x v="1"/>
    <x v="1"/>
    <s v="Normal"/>
    <s v="Male"/>
    <x v="5"/>
    <n v="64.260000000000005"/>
    <n v="7"/>
    <n v="22.491"/>
    <n v="472.31099999999998"/>
    <x v="57"/>
    <x v="158"/>
    <x v="1"/>
    <n v="449.82"/>
    <n v="4.7619047620000003"/>
    <n v="22.491"/>
    <n v="5.7"/>
  </r>
  <r>
    <s v="434-83-9547"/>
    <x v="1"/>
    <x v="1"/>
    <s v="Member"/>
    <s v="Male"/>
    <x v="4"/>
    <n v="38.47"/>
    <n v="8"/>
    <n v="15.388"/>
    <n v="323.14800000000002"/>
    <x v="54"/>
    <x v="159"/>
    <x v="1"/>
    <n v="307.76"/>
    <n v="4.7619047620000003"/>
    <n v="15.388"/>
    <n v="7.7"/>
  </r>
  <r>
    <s v="851-28-6367"/>
    <x v="0"/>
    <x v="0"/>
    <s v="Member"/>
    <s v="Male"/>
    <x v="3"/>
    <n v="15.5"/>
    <n v="10"/>
    <n v="7.75"/>
    <n v="162.75"/>
    <x v="28"/>
    <x v="60"/>
    <x v="0"/>
    <n v="155"/>
    <n v="4.7619047620000003"/>
    <n v="7.75"/>
    <n v="8"/>
  </r>
  <r>
    <s v="824-88-3614"/>
    <x v="1"/>
    <x v="1"/>
    <s v="Normal"/>
    <s v="Male"/>
    <x v="0"/>
    <n v="34.31"/>
    <n v="8"/>
    <n v="13.724"/>
    <n v="288.20400000000001"/>
    <x v="25"/>
    <x v="160"/>
    <x v="0"/>
    <n v="274.48"/>
    <n v="4.7619047620000003"/>
    <n v="13.724"/>
    <n v="5.7"/>
  </r>
  <r>
    <s v="586-25-0848"/>
    <x v="0"/>
    <x v="0"/>
    <s v="Normal"/>
    <s v="Female"/>
    <x v="3"/>
    <n v="12.34"/>
    <n v="7"/>
    <n v="4.319"/>
    <n v="90.698999999999998"/>
    <x v="31"/>
    <x v="161"/>
    <x v="2"/>
    <n v="86.38"/>
    <n v="4.7619047620000003"/>
    <n v="4.319"/>
    <n v="6.7"/>
  </r>
  <r>
    <s v="895-66-0685"/>
    <x v="2"/>
    <x v="2"/>
    <s v="Member"/>
    <s v="Male"/>
    <x v="4"/>
    <n v="18.079999999999998"/>
    <n v="3"/>
    <n v="2.7120000000000002"/>
    <n v="56.951999999999998"/>
    <x v="19"/>
    <x v="162"/>
    <x v="0"/>
    <n v="54.24"/>
    <n v="4.7619047620000003"/>
    <n v="2.7120000000000002"/>
    <n v="8"/>
  </r>
  <r>
    <s v="305-14-0245"/>
    <x v="2"/>
    <x v="2"/>
    <s v="Member"/>
    <s v="Female"/>
    <x v="2"/>
    <n v="94.49"/>
    <n v="8"/>
    <n v="37.795999999999999"/>
    <n v="793.71600000000001"/>
    <x v="2"/>
    <x v="163"/>
    <x v="0"/>
    <n v="755.92"/>
    <n v="4.7619047620000003"/>
    <n v="37.795999999999999"/>
    <n v="7.5"/>
  </r>
  <r>
    <s v="732-04-5373"/>
    <x v="2"/>
    <x v="2"/>
    <s v="Member"/>
    <s v="Male"/>
    <x v="2"/>
    <n v="46.47"/>
    <n v="4"/>
    <n v="9.2940000000000005"/>
    <n v="195.17400000000001"/>
    <x v="4"/>
    <x v="164"/>
    <x v="1"/>
    <n v="185.88"/>
    <n v="4.7619047620000003"/>
    <n v="9.2940000000000005"/>
    <n v="7"/>
  </r>
  <r>
    <s v="400-60-7251"/>
    <x v="0"/>
    <x v="0"/>
    <s v="Normal"/>
    <s v="Male"/>
    <x v="2"/>
    <n v="74.069999999999993"/>
    <n v="1"/>
    <n v="3.7035"/>
    <n v="77.773499999999999"/>
    <x v="34"/>
    <x v="165"/>
    <x v="0"/>
    <n v="74.069999999999993"/>
    <n v="4.7619047620000003"/>
    <n v="3.7035"/>
    <n v="9.9"/>
  </r>
  <r>
    <s v="593-65-1552"/>
    <x v="1"/>
    <x v="1"/>
    <s v="Normal"/>
    <s v="Female"/>
    <x v="2"/>
    <n v="69.81"/>
    <n v="4"/>
    <n v="13.962"/>
    <n v="293.202"/>
    <x v="26"/>
    <x v="166"/>
    <x v="2"/>
    <n v="279.24"/>
    <n v="4.7619047620000003"/>
    <n v="13.962"/>
    <n v="5.9"/>
  </r>
  <r>
    <s v="284-34-9626"/>
    <x v="2"/>
    <x v="2"/>
    <s v="Normal"/>
    <s v="Female"/>
    <x v="2"/>
    <n v="77.040000000000006"/>
    <n v="3"/>
    <n v="11.555999999999999"/>
    <n v="242.67599999999999"/>
    <x v="48"/>
    <x v="17"/>
    <x v="2"/>
    <n v="231.12"/>
    <n v="4.7619047620000003"/>
    <n v="11.555999999999999"/>
    <n v="7.2"/>
  </r>
  <r>
    <s v="437-58-8131"/>
    <x v="2"/>
    <x v="2"/>
    <s v="Normal"/>
    <s v="Female"/>
    <x v="5"/>
    <n v="73.52"/>
    <n v="2"/>
    <n v="7.3520000000000003"/>
    <n v="154.392"/>
    <x v="15"/>
    <x v="167"/>
    <x v="0"/>
    <n v="147.04"/>
    <n v="4.7619047620000003"/>
    <n v="7.3520000000000003"/>
    <n v="4.5999999999999996"/>
  </r>
  <r>
    <s v="286-43-6208"/>
    <x v="1"/>
    <x v="1"/>
    <s v="Normal"/>
    <s v="Female"/>
    <x v="4"/>
    <n v="87.8"/>
    <n v="9"/>
    <n v="39.51"/>
    <n v="829.71"/>
    <x v="32"/>
    <x v="168"/>
    <x v="1"/>
    <n v="790.2"/>
    <n v="4.7619047620000003"/>
    <n v="39.51"/>
    <n v="9.1999999999999993"/>
  </r>
  <r>
    <s v="641-43-2399"/>
    <x v="2"/>
    <x v="2"/>
    <s v="Normal"/>
    <s v="Male"/>
    <x v="2"/>
    <n v="25.55"/>
    <n v="4"/>
    <n v="5.1100000000000003"/>
    <n v="107.31"/>
    <x v="53"/>
    <x v="169"/>
    <x v="0"/>
    <n v="102.2"/>
    <n v="4.7619047620000003"/>
    <n v="5.1100000000000003"/>
    <n v="5.7"/>
  </r>
  <r>
    <s v="831-07-6050"/>
    <x v="0"/>
    <x v="0"/>
    <s v="Normal"/>
    <s v="Male"/>
    <x v="1"/>
    <n v="32.71"/>
    <n v="5"/>
    <n v="8.1775000000000002"/>
    <n v="171.72749999999999"/>
    <x v="35"/>
    <x v="170"/>
    <x v="2"/>
    <n v="163.55000000000001"/>
    <n v="4.7619047620000003"/>
    <n v="8.1775000000000002"/>
    <n v="9.9"/>
  </r>
  <r>
    <s v="556-86-3144"/>
    <x v="1"/>
    <x v="1"/>
    <s v="Member"/>
    <s v="Female"/>
    <x v="5"/>
    <n v="74.290000000000006"/>
    <n v="1"/>
    <n v="3.7145000000000001"/>
    <n v="78.004499999999993"/>
    <x v="50"/>
    <x v="171"/>
    <x v="1"/>
    <n v="74.290000000000006"/>
    <n v="4.7619047620000003"/>
    <n v="3.7145000000000001"/>
    <n v="5"/>
  </r>
  <r>
    <s v="848-24-9445"/>
    <x v="1"/>
    <x v="1"/>
    <s v="Member"/>
    <s v="Male"/>
    <x v="0"/>
    <n v="43.7"/>
    <n v="2"/>
    <n v="4.37"/>
    <n v="91.77"/>
    <x v="58"/>
    <x v="172"/>
    <x v="1"/>
    <n v="87.4"/>
    <n v="4.7619047620000003"/>
    <n v="4.37"/>
    <n v="4.9000000000000004"/>
  </r>
  <r>
    <s v="856-22-8149"/>
    <x v="0"/>
    <x v="0"/>
    <s v="Normal"/>
    <s v="Female"/>
    <x v="2"/>
    <n v="25.29"/>
    <n v="1"/>
    <n v="1.2645"/>
    <n v="26.554500000000001"/>
    <x v="28"/>
    <x v="173"/>
    <x v="0"/>
    <n v="25.29"/>
    <n v="4.7619047620000003"/>
    <n v="1.2645"/>
    <n v="6.1"/>
  </r>
  <r>
    <s v="699-01-4164"/>
    <x v="1"/>
    <x v="1"/>
    <s v="Normal"/>
    <s v="Male"/>
    <x v="0"/>
    <n v="41.5"/>
    <n v="4"/>
    <n v="8.3000000000000007"/>
    <n v="174.3"/>
    <x v="41"/>
    <x v="174"/>
    <x v="2"/>
    <n v="166"/>
    <n v="4.7619047620000003"/>
    <n v="8.3000000000000007"/>
    <n v="8.1999999999999993"/>
  </r>
  <r>
    <s v="420-11-4919"/>
    <x v="1"/>
    <x v="1"/>
    <s v="Member"/>
    <s v="Female"/>
    <x v="4"/>
    <n v="71.39"/>
    <n v="5"/>
    <n v="17.8475"/>
    <n v="374.79750000000001"/>
    <x v="21"/>
    <x v="129"/>
    <x v="2"/>
    <n v="356.95"/>
    <n v="4.7619047620000003"/>
    <n v="17.8475"/>
    <n v="5.5"/>
  </r>
  <r>
    <s v="606-80-4905"/>
    <x v="1"/>
    <x v="1"/>
    <s v="Member"/>
    <s v="Female"/>
    <x v="3"/>
    <n v="19.149999999999999"/>
    <n v="6"/>
    <n v="5.7450000000000001"/>
    <n v="120.645"/>
    <x v="71"/>
    <x v="175"/>
    <x v="2"/>
    <n v="114.9"/>
    <n v="4.7619047620000003"/>
    <n v="5.7450000000000001"/>
    <n v="6.8"/>
  </r>
  <r>
    <s v="542-41-0513"/>
    <x v="2"/>
    <x v="2"/>
    <s v="Member"/>
    <s v="Female"/>
    <x v="1"/>
    <n v="57.49"/>
    <n v="4"/>
    <n v="11.497999999999999"/>
    <n v="241.458"/>
    <x v="20"/>
    <x v="176"/>
    <x v="1"/>
    <n v="229.96"/>
    <n v="4.7619047620000003"/>
    <n v="11.497999999999999"/>
    <n v="6.6"/>
  </r>
  <r>
    <s v="426-39-2418"/>
    <x v="1"/>
    <x v="1"/>
    <s v="Normal"/>
    <s v="Male"/>
    <x v="1"/>
    <n v="61.41"/>
    <n v="7"/>
    <n v="21.493500000000001"/>
    <n v="451.36349999999999"/>
    <x v="78"/>
    <x v="177"/>
    <x v="1"/>
    <n v="429.87"/>
    <n v="4.7619047620000003"/>
    <n v="21.493500000000001"/>
    <n v="9.8000000000000007"/>
  </r>
  <r>
    <s v="875-46-5808"/>
    <x v="2"/>
    <x v="2"/>
    <s v="Member"/>
    <s v="Male"/>
    <x v="0"/>
    <n v="25.9"/>
    <n v="10"/>
    <n v="12.95"/>
    <n v="271.95"/>
    <x v="10"/>
    <x v="178"/>
    <x v="0"/>
    <n v="259"/>
    <n v="4.7619047620000003"/>
    <n v="12.95"/>
    <n v="8.6999999999999993"/>
  </r>
  <r>
    <s v="394-43-4238"/>
    <x v="2"/>
    <x v="2"/>
    <s v="Member"/>
    <s v="Male"/>
    <x v="2"/>
    <n v="17.77"/>
    <n v="5"/>
    <n v="4.4424999999999999"/>
    <n v="93.292500000000004"/>
    <x v="42"/>
    <x v="179"/>
    <x v="2"/>
    <n v="88.85"/>
    <n v="4.7619047620000003"/>
    <n v="4.4424999999999999"/>
    <n v="5.4"/>
  </r>
  <r>
    <s v="749-24-1565"/>
    <x v="0"/>
    <x v="0"/>
    <s v="Normal"/>
    <s v="Female"/>
    <x v="0"/>
    <n v="23.03"/>
    <n v="9"/>
    <n v="10.3635"/>
    <n v="217.6335"/>
    <x v="75"/>
    <x v="110"/>
    <x v="0"/>
    <n v="207.27"/>
    <n v="4.7619047620000003"/>
    <n v="10.3635"/>
    <n v="7.9"/>
  </r>
  <r>
    <s v="672-51-8681"/>
    <x v="1"/>
    <x v="1"/>
    <s v="Member"/>
    <s v="Female"/>
    <x v="1"/>
    <n v="66.650000000000006"/>
    <n v="9"/>
    <n v="29.9925"/>
    <n v="629.84249999999997"/>
    <x v="72"/>
    <x v="96"/>
    <x v="2"/>
    <n v="599.85"/>
    <n v="4.7619047620000003"/>
    <n v="29.9925"/>
    <n v="9.6999999999999993"/>
  </r>
  <r>
    <s v="263-87-5680"/>
    <x v="1"/>
    <x v="1"/>
    <s v="Member"/>
    <s v="Female"/>
    <x v="2"/>
    <n v="28.53"/>
    <n v="10"/>
    <n v="14.265000000000001"/>
    <n v="299.565"/>
    <x v="79"/>
    <x v="180"/>
    <x v="0"/>
    <n v="285.3"/>
    <n v="4.7619047620000003"/>
    <n v="14.265000000000001"/>
    <n v="7.8"/>
  </r>
  <r>
    <s v="573-58-9734"/>
    <x v="2"/>
    <x v="2"/>
    <s v="Normal"/>
    <s v="Female"/>
    <x v="5"/>
    <n v="30.37"/>
    <n v="3"/>
    <n v="4.5555000000000003"/>
    <n v="95.665499999999994"/>
    <x v="61"/>
    <x v="167"/>
    <x v="0"/>
    <n v="91.11"/>
    <n v="4.7619047620000003"/>
    <n v="4.5555000000000003"/>
    <n v="5.0999999999999996"/>
  </r>
  <r>
    <s v="817-69-8206"/>
    <x v="2"/>
    <x v="2"/>
    <s v="Normal"/>
    <s v="Female"/>
    <x v="1"/>
    <n v="99.73"/>
    <n v="9"/>
    <n v="44.878500000000003"/>
    <n v="942.44849999999997"/>
    <x v="22"/>
    <x v="144"/>
    <x v="2"/>
    <n v="897.57"/>
    <n v="4.7619047620000003"/>
    <n v="44.878500000000003"/>
    <n v="6.5"/>
  </r>
  <r>
    <s v="888-02-0338"/>
    <x v="0"/>
    <x v="0"/>
    <s v="Normal"/>
    <s v="Male"/>
    <x v="1"/>
    <n v="26.23"/>
    <n v="9"/>
    <n v="11.8035"/>
    <n v="247.87350000000001"/>
    <x v="25"/>
    <x v="181"/>
    <x v="0"/>
    <n v="236.07"/>
    <n v="4.7619047620000003"/>
    <n v="11.8035"/>
    <n v="5.9"/>
  </r>
  <r>
    <s v="677-11-0152"/>
    <x v="1"/>
    <x v="1"/>
    <s v="Normal"/>
    <s v="Female"/>
    <x v="4"/>
    <n v="93.26"/>
    <n v="9"/>
    <n v="41.966999999999999"/>
    <n v="881.30700000000002"/>
    <x v="65"/>
    <x v="182"/>
    <x v="1"/>
    <n v="839.34"/>
    <n v="4.7619047620000003"/>
    <n v="41.966999999999999"/>
    <n v="8.8000000000000007"/>
  </r>
  <r>
    <s v="142-63-6033"/>
    <x v="2"/>
    <x v="2"/>
    <s v="Normal"/>
    <s v="Male"/>
    <x v="2"/>
    <n v="92.36"/>
    <n v="5"/>
    <n v="23.09"/>
    <n v="484.89"/>
    <x v="80"/>
    <x v="151"/>
    <x v="0"/>
    <n v="461.8"/>
    <n v="4.7619047620000003"/>
    <n v="23.09"/>
    <n v="4.9000000000000004"/>
  </r>
  <r>
    <s v="656-16-1063"/>
    <x v="2"/>
    <x v="2"/>
    <s v="Normal"/>
    <s v="Male"/>
    <x v="3"/>
    <n v="46.42"/>
    <n v="3"/>
    <n v="6.9630000000000001"/>
    <n v="146.22300000000001"/>
    <x v="72"/>
    <x v="38"/>
    <x v="2"/>
    <n v="139.26"/>
    <n v="4.7619047620000003"/>
    <n v="6.9630000000000001"/>
    <n v="4.4000000000000004"/>
  </r>
  <r>
    <s v="891-58-8335"/>
    <x v="2"/>
    <x v="2"/>
    <s v="Member"/>
    <s v="Female"/>
    <x v="3"/>
    <n v="29.61"/>
    <n v="7"/>
    <n v="10.3635"/>
    <n v="217.6335"/>
    <x v="16"/>
    <x v="183"/>
    <x v="1"/>
    <n v="207.27"/>
    <n v="4.7619047620000003"/>
    <n v="10.3635"/>
    <n v="6.5"/>
  </r>
  <r>
    <s v="802-43-8934"/>
    <x v="0"/>
    <x v="0"/>
    <s v="Normal"/>
    <s v="Male"/>
    <x v="2"/>
    <n v="18.28"/>
    <n v="1"/>
    <n v="0.91400000000000003"/>
    <n v="19.193999999999999"/>
    <x v="23"/>
    <x v="184"/>
    <x v="2"/>
    <n v="18.28"/>
    <n v="4.7619047620000003"/>
    <n v="0.91400000000000003"/>
    <n v="8.3000000000000007"/>
  </r>
  <r>
    <s v="560-30-5617"/>
    <x v="2"/>
    <x v="2"/>
    <s v="Normal"/>
    <s v="Female"/>
    <x v="3"/>
    <n v="24.77"/>
    <n v="5"/>
    <n v="6.1924999999999999"/>
    <n v="130.04249999999999"/>
    <x v="62"/>
    <x v="185"/>
    <x v="1"/>
    <n v="123.85"/>
    <n v="4.7619047620000003"/>
    <n v="6.1924999999999999"/>
    <n v="8.5"/>
  </r>
  <r>
    <s v="319-74-2561"/>
    <x v="0"/>
    <x v="0"/>
    <s v="Member"/>
    <s v="Female"/>
    <x v="1"/>
    <n v="94.64"/>
    <n v="3"/>
    <n v="14.196"/>
    <n v="298.11599999999999"/>
    <x v="81"/>
    <x v="186"/>
    <x v="1"/>
    <n v="283.92"/>
    <n v="4.7619047620000003"/>
    <n v="14.196"/>
    <n v="5.5"/>
  </r>
  <r>
    <s v="549-03-9315"/>
    <x v="2"/>
    <x v="2"/>
    <s v="Normal"/>
    <s v="Male"/>
    <x v="5"/>
    <n v="94.87"/>
    <n v="8"/>
    <n v="37.948"/>
    <n v="796.90800000000002"/>
    <x v="12"/>
    <x v="187"/>
    <x v="0"/>
    <n v="758.96"/>
    <n v="4.7619047620000003"/>
    <n v="37.948"/>
    <n v="8.6999999999999993"/>
  </r>
  <r>
    <s v="790-29-1172"/>
    <x v="2"/>
    <x v="2"/>
    <s v="Normal"/>
    <s v="Female"/>
    <x v="4"/>
    <n v="57.34"/>
    <n v="3"/>
    <n v="8.6010000000000009"/>
    <n v="180.62100000000001"/>
    <x v="24"/>
    <x v="188"/>
    <x v="2"/>
    <n v="172.02"/>
    <n v="4.7619047620000003"/>
    <n v="8.6010000000000009"/>
    <n v="7.9"/>
  </r>
  <r>
    <s v="239-36-3640"/>
    <x v="2"/>
    <x v="2"/>
    <s v="Normal"/>
    <s v="Male"/>
    <x v="1"/>
    <n v="45.35"/>
    <n v="6"/>
    <n v="13.605"/>
    <n v="285.70499999999998"/>
    <x v="82"/>
    <x v="189"/>
    <x v="0"/>
    <n v="272.10000000000002"/>
    <n v="4.7619047620000003"/>
    <n v="13.605"/>
    <n v="6.1"/>
  </r>
  <r>
    <s v="468-01-2051"/>
    <x v="2"/>
    <x v="2"/>
    <s v="Normal"/>
    <s v="Male"/>
    <x v="4"/>
    <n v="62.08"/>
    <n v="7"/>
    <n v="21.728000000000002"/>
    <n v="456.28800000000001"/>
    <x v="43"/>
    <x v="190"/>
    <x v="0"/>
    <n v="434.56"/>
    <n v="4.7619047620000003"/>
    <n v="21.728000000000002"/>
    <n v="5.4"/>
  </r>
  <r>
    <s v="389-25-3394"/>
    <x v="1"/>
    <x v="1"/>
    <s v="Normal"/>
    <s v="Male"/>
    <x v="1"/>
    <n v="11.81"/>
    <n v="5"/>
    <n v="2.9525000000000001"/>
    <n v="62.002499999999998"/>
    <x v="21"/>
    <x v="191"/>
    <x v="1"/>
    <n v="59.05"/>
    <n v="4.7619047620000003"/>
    <n v="2.9525000000000001"/>
    <n v="9.4"/>
  </r>
  <r>
    <s v="279-62-1445"/>
    <x v="1"/>
    <x v="1"/>
    <s v="Member"/>
    <s v="Female"/>
    <x v="5"/>
    <n v="12.54"/>
    <n v="1"/>
    <n v="0.627"/>
    <n v="13.167"/>
    <x v="81"/>
    <x v="192"/>
    <x v="1"/>
    <n v="12.54"/>
    <n v="4.7619047620000003"/>
    <n v="0.627"/>
    <n v="8.1999999999999993"/>
  </r>
  <r>
    <s v="213-72-6612"/>
    <x v="0"/>
    <x v="0"/>
    <s v="Normal"/>
    <s v="Male"/>
    <x v="4"/>
    <n v="43.25"/>
    <n v="2"/>
    <n v="4.3250000000000002"/>
    <n v="90.825000000000003"/>
    <x v="80"/>
    <x v="193"/>
    <x v="1"/>
    <n v="86.5"/>
    <n v="4.7619047620000003"/>
    <n v="4.3250000000000002"/>
    <n v="6.2"/>
  </r>
  <r>
    <s v="746-68-6593"/>
    <x v="1"/>
    <x v="1"/>
    <s v="Member"/>
    <s v="Female"/>
    <x v="3"/>
    <n v="87.16"/>
    <n v="2"/>
    <n v="8.7159999999999993"/>
    <n v="183.036"/>
    <x v="83"/>
    <x v="194"/>
    <x v="2"/>
    <n v="174.32"/>
    <n v="4.7619047620000003"/>
    <n v="8.7159999999999993"/>
    <n v="9.6999999999999993"/>
  </r>
  <r>
    <s v="836-82-5858"/>
    <x v="2"/>
    <x v="2"/>
    <s v="Member"/>
    <s v="Male"/>
    <x v="0"/>
    <n v="69.37"/>
    <n v="9"/>
    <n v="31.2165"/>
    <n v="655.54650000000004"/>
    <x v="53"/>
    <x v="195"/>
    <x v="0"/>
    <n v="624.33000000000004"/>
    <n v="4.7619047620000003"/>
    <n v="31.2165"/>
    <n v="4"/>
  </r>
  <r>
    <s v="583-72-1480"/>
    <x v="1"/>
    <x v="1"/>
    <s v="Member"/>
    <s v="Male"/>
    <x v="1"/>
    <n v="37.06"/>
    <n v="4"/>
    <n v="7.4119999999999999"/>
    <n v="155.65199999999999"/>
    <x v="82"/>
    <x v="75"/>
    <x v="0"/>
    <n v="148.24"/>
    <n v="4.7619047620000003"/>
    <n v="7.4119999999999999"/>
    <n v="9.6999999999999993"/>
  </r>
  <r>
    <s v="466-61-5506"/>
    <x v="2"/>
    <x v="2"/>
    <s v="Member"/>
    <s v="Female"/>
    <x v="1"/>
    <n v="90.7"/>
    <n v="6"/>
    <n v="27.21"/>
    <n v="571.41"/>
    <x v="84"/>
    <x v="196"/>
    <x v="1"/>
    <n v="544.20000000000005"/>
    <n v="4.7619047620000003"/>
    <n v="27.21"/>
    <n v="5.3"/>
  </r>
  <r>
    <s v="721-86-6247"/>
    <x v="0"/>
    <x v="0"/>
    <s v="Normal"/>
    <s v="Female"/>
    <x v="2"/>
    <n v="63.42"/>
    <n v="8"/>
    <n v="25.367999999999999"/>
    <n v="532.72799999999995"/>
    <x v="16"/>
    <x v="197"/>
    <x v="0"/>
    <n v="507.36"/>
    <n v="4.7619047620000003"/>
    <n v="25.367999999999999"/>
    <n v="7.4"/>
  </r>
  <r>
    <s v="289-65-5721"/>
    <x v="2"/>
    <x v="2"/>
    <s v="Normal"/>
    <s v="Female"/>
    <x v="5"/>
    <n v="81.37"/>
    <n v="2"/>
    <n v="8.1370000000000005"/>
    <n v="170.87700000000001"/>
    <x v="53"/>
    <x v="198"/>
    <x v="1"/>
    <n v="162.74"/>
    <n v="4.7619047620000003"/>
    <n v="8.1370000000000005"/>
    <n v="6.5"/>
  </r>
  <r>
    <s v="545-46-3100"/>
    <x v="2"/>
    <x v="2"/>
    <s v="Member"/>
    <s v="Female"/>
    <x v="1"/>
    <n v="10.59"/>
    <n v="3"/>
    <n v="1.5885"/>
    <n v="33.358499999999999"/>
    <x v="41"/>
    <x v="199"/>
    <x v="2"/>
    <n v="31.77"/>
    <n v="4.7619047620000003"/>
    <n v="1.5885"/>
    <n v="8.6999999999999993"/>
  </r>
  <r>
    <s v="418-02-5978"/>
    <x v="2"/>
    <x v="2"/>
    <s v="Normal"/>
    <s v="Female"/>
    <x v="0"/>
    <n v="84.09"/>
    <n v="9"/>
    <n v="37.840499999999999"/>
    <n v="794.65049999999997"/>
    <x v="48"/>
    <x v="200"/>
    <x v="1"/>
    <n v="756.81"/>
    <n v="4.7619047620000003"/>
    <n v="37.840499999999999"/>
    <n v="8"/>
  </r>
  <r>
    <s v="269-04-5750"/>
    <x v="2"/>
    <x v="2"/>
    <s v="Member"/>
    <s v="Male"/>
    <x v="5"/>
    <n v="73.819999999999993"/>
    <n v="4"/>
    <n v="14.763999999999999"/>
    <n v="310.04399999999998"/>
    <x v="81"/>
    <x v="201"/>
    <x v="1"/>
    <n v="295.27999999999997"/>
    <n v="4.7619047620000003"/>
    <n v="14.763999999999999"/>
    <n v="6.7"/>
  </r>
  <r>
    <s v="157-13-5295"/>
    <x v="0"/>
    <x v="0"/>
    <s v="Member"/>
    <s v="Male"/>
    <x v="0"/>
    <n v="51.94"/>
    <n v="10"/>
    <n v="25.97"/>
    <n v="545.37"/>
    <x v="11"/>
    <x v="202"/>
    <x v="0"/>
    <n v="519.4"/>
    <n v="4.7619047620000003"/>
    <n v="25.97"/>
    <n v="6.5"/>
  </r>
  <r>
    <s v="645-78-8093"/>
    <x v="0"/>
    <x v="0"/>
    <s v="Normal"/>
    <s v="Female"/>
    <x v="3"/>
    <n v="93.14"/>
    <n v="2"/>
    <n v="9.3140000000000001"/>
    <n v="195.59399999999999"/>
    <x v="40"/>
    <x v="203"/>
    <x v="0"/>
    <n v="186.28"/>
    <n v="4.7619047620000003"/>
    <n v="9.3140000000000001"/>
    <n v="4.0999999999999996"/>
  </r>
  <r>
    <s v="211-30-9270"/>
    <x v="1"/>
    <x v="1"/>
    <s v="Normal"/>
    <s v="Male"/>
    <x v="0"/>
    <n v="17.41"/>
    <n v="5"/>
    <n v="4.3525"/>
    <n v="91.402500000000003"/>
    <x v="26"/>
    <x v="204"/>
    <x v="2"/>
    <n v="87.05"/>
    <n v="4.7619047620000003"/>
    <n v="4.3525"/>
    <n v="4.9000000000000004"/>
  </r>
  <r>
    <s v="755-12-3214"/>
    <x v="1"/>
    <x v="1"/>
    <s v="Member"/>
    <s v="Female"/>
    <x v="5"/>
    <n v="44.22"/>
    <n v="5"/>
    <n v="11.055"/>
    <n v="232.155"/>
    <x v="19"/>
    <x v="205"/>
    <x v="2"/>
    <n v="221.1"/>
    <n v="4.7619047620000003"/>
    <n v="11.055"/>
    <n v="8.6"/>
  </r>
  <r>
    <s v="346-84-3103"/>
    <x v="2"/>
    <x v="2"/>
    <s v="Member"/>
    <s v="Female"/>
    <x v="1"/>
    <n v="13.22"/>
    <n v="5"/>
    <n v="3.3050000000000002"/>
    <n v="69.405000000000001"/>
    <x v="22"/>
    <x v="206"/>
    <x v="1"/>
    <n v="66.099999999999994"/>
    <n v="4.7619047620000003"/>
    <n v="3.3050000000000002"/>
    <n v="4.3"/>
  </r>
  <r>
    <s v="478-06-7835"/>
    <x v="0"/>
    <x v="0"/>
    <s v="Normal"/>
    <s v="Male"/>
    <x v="5"/>
    <n v="89.69"/>
    <n v="1"/>
    <n v="4.4844999999999997"/>
    <n v="94.174499999999995"/>
    <x v="83"/>
    <x v="207"/>
    <x v="0"/>
    <n v="89.69"/>
    <n v="4.7619047620000003"/>
    <n v="4.4844999999999997"/>
    <n v="4.9000000000000004"/>
  </r>
  <r>
    <s v="540-11-4336"/>
    <x v="0"/>
    <x v="0"/>
    <s v="Normal"/>
    <s v="Male"/>
    <x v="4"/>
    <n v="24.94"/>
    <n v="9"/>
    <n v="11.223000000000001"/>
    <n v="235.68299999999999"/>
    <x v="83"/>
    <x v="208"/>
    <x v="2"/>
    <n v="224.46"/>
    <n v="4.7619047620000003"/>
    <n v="11.223000000000001"/>
    <n v="5.6"/>
  </r>
  <r>
    <s v="448-81-5016"/>
    <x v="0"/>
    <x v="0"/>
    <s v="Normal"/>
    <s v="Male"/>
    <x v="0"/>
    <n v="59.77"/>
    <n v="2"/>
    <n v="5.9770000000000003"/>
    <n v="125.517"/>
    <x v="16"/>
    <x v="209"/>
    <x v="2"/>
    <n v="119.54"/>
    <n v="4.7619047620000003"/>
    <n v="5.9770000000000003"/>
    <n v="5.8"/>
  </r>
  <r>
    <s v="142-72-4741"/>
    <x v="1"/>
    <x v="1"/>
    <s v="Member"/>
    <s v="Male"/>
    <x v="5"/>
    <n v="93.2"/>
    <n v="2"/>
    <n v="9.32"/>
    <n v="195.72"/>
    <x v="38"/>
    <x v="78"/>
    <x v="2"/>
    <n v="186.4"/>
    <n v="4.7619047620000003"/>
    <n v="9.32"/>
    <n v="6"/>
  </r>
  <r>
    <s v="217-58-1179"/>
    <x v="0"/>
    <x v="0"/>
    <s v="Member"/>
    <s v="Male"/>
    <x v="2"/>
    <n v="62.65"/>
    <n v="4"/>
    <n v="12.53"/>
    <n v="263.13"/>
    <x v="0"/>
    <x v="210"/>
    <x v="1"/>
    <n v="250.6"/>
    <n v="4.7619047620000003"/>
    <n v="12.53"/>
    <n v="4.2"/>
  </r>
  <r>
    <s v="376-02-8238"/>
    <x v="2"/>
    <x v="2"/>
    <s v="Normal"/>
    <s v="Male"/>
    <x v="2"/>
    <n v="93.87"/>
    <n v="8"/>
    <n v="37.548000000000002"/>
    <n v="788.50800000000004"/>
    <x v="30"/>
    <x v="211"/>
    <x v="2"/>
    <n v="750.96"/>
    <n v="4.7619047620000003"/>
    <n v="37.548000000000002"/>
    <n v="8.3000000000000007"/>
  </r>
  <r>
    <s v="530-90-9855"/>
    <x v="0"/>
    <x v="0"/>
    <s v="Member"/>
    <s v="Male"/>
    <x v="2"/>
    <n v="47.59"/>
    <n v="8"/>
    <n v="19.036000000000001"/>
    <n v="399.75599999999997"/>
    <x v="17"/>
    <x v="212"/>
    <x v="1"/>
    <n v="380.72"/>
    <n v="4.7619047620000003"/>
    <n v="19.036000000000001"/>
    <n v="5.7"/>
  </r>
  <r>
    <s v="866-05-7563"/>
    <x v="2"/>
    <x v="2"/>
    <s v="Member"/>
    <s v="Female"/>
    <x v="1"/>
    <n v="81.400000000000006"/>
    <n v="3"/>
    <n v="12.21"/>
    <n v="256.41000000000003"/>
    <x v="57"/>
    <x v="213"/>
    <x v="1"/>
    <n v="244.2"/>
    <n v="4.7619047620000003"/>
    <n v="12.21"/>
    <n v="4.8"/>
  </r>
  <r>
    <s v="604-70-6476"/>
    <x v="0"/>
    <x v="0"/>
    <s v="Member"/>
    <s v="Male"/>
    <x v="5"/>
    <n v="17.940000000000001"/>
    <n v="5"/>
    <n v="4.4850000000000003"/>
    <n v="94.185000000000002"/>
    <x v="54"/>
    <x v="214"/>
    <x v="0"/>
    <n v="89.7"/>
    <n v="4.7619047620000003"/>
    <n v="4.4850000000000003"/>
    <n v="6.8"/>
  </r>
  <r>
    <s v="799-71-1548"/>
    <x v="0"/>
    <x v="0"/>
    <s v="Member"/>
    <s v="Male"/>
    <x v="1"/>
    <n v="77.72"/>
    <n v="4"/>
    <n v="15.544"/>
    <n v="326.42399999999998"/>
    <x v="27"/>
    <x v="215"/>
    <x v="2"/>
    <n v="310.88"/>
    <n v="4.7619047620000003"/>
    <n v="15.544"/>
    <n v="8.8000000000000007"/>
  </r>
  <r>
    <s v="785-13-7708"/>
    <x v="2"/>
    <x v="2"/>
    <s v="Normal"/>
    <s v="Male"/>
    <x v="4"/>
    <n v="73.06"/>
    <n v="7"/>
    <n v="25.571000000000002"/>
    <n v="536.99099999999999"/>
    <x v="78"/>
    <x v="216"/>
    <x v="2"/>
    <n v="511.42"/>
    <n v="4.7619047620000003"/>
    <n v="25.571000000000002"/>
    <n v="4.2"/>
  </r>
  <r>
    <s v="845-51-0542"/>
    <x v="2"/>
    <x v="2"/>
    <s v="Member"/>
    <s v="Male"/>
    <x v="4"/>
    <n v="46.55"/>
    <n v="9"/>
    <n v="20.947500000000002"/>
    <n v="439.89749999999998"/>
    <x v="30"/>
    <x v="217"/>
    <x v="0"/>
    <n v="418.95"/>
    <n v="4.7619047620000003"/>
    <n v="20.947500000000002"/>
    <n v="6.4"/>
  </r>
  <r>
    <s v="662-47-5456"/>
    <x v="1"/>
    <x v="1"/>
    <s v="Member"/>
    <s v="Male"/>
    <x v="5"/>
    <n v="35.19"/>
    <n v="10"/>
    <n v="17.594999999999999"/>
    <n v="369.495"/>
    <x v="85"/>
    <x v="216"/>
    <x v="2"/>
    <n v="351.9"/>
    <n v="4.7619047620000003"/>
    <n v="17.594999999999999"/>
    <n v="8.4"/>
  </r>
  <r>
    <s v="883-17-4236"/>
    <x v="1"/>
    <x v="1"/>
    <s v="Normal"/>
    <s v="Female"/>
    <x v="3"/>
    <n v="14.39"/>
    <n v="2"/>
    <n v="1.4390000000000001"/>
    <n v="30.219000000000001"/>
    <x v="22"/>
    <x v="143"/>
    <x v="2"/>
    <n v="28.78"/>
    <n v="4.7619047620000003"/>
    <n v="1.4390000000000001"/>
    <n v="7.2"/>
  </r>
  <r>
    <s v="290-68-2984"/>
    <x v="0"/>
    <x v="0"/>
    <s v="Normal"/>
    <s v="Male"/>
    <x v="2"/>
    <n v="23.75"/>
    <n v="4"/>
    <n v="4.75"/>
    <n v="99.75"/>
    <x v="32"/>
    <x v="218"/>
    <x v="1"/>
    <n v="95"/>
    <n v="4.7619047620000003"/>
    <n v="4.75"/>
    <n v="5.2"/>
  </r>
  <r>
    <s v="704-11-6354"/>
    <x v="0"/>
    <x v="0"/>
    <s v="Member"/>
    <s v="Male"/>
    <x v="2"/>
    <n v="58.9"/>
    <n v="8"/>
    <n v="23.56"/>
    <n v="494.76"/>
    <x v="47"/>
    <x v="219"/>
    <x v="1"/>
    <n v="471.2"/>
    <n v="4.7619047620000003"/>
    <n v="23.56"/>
    <n v="8.9"/>
  </r>
  <r>
    <s v="110-48-7033"/>
    <x v="2"/>
    <x v="2"/>
    <s v="Member"/>
    <s v="Male"/>
    <x v="5"/>
    <n v="32.619999999999997"/>
    <n v="4"/>
    <n v="6.524"/>
    <n v="137.00399999999999"/>
    <x v="71"/>
    <x v="146"/>
    <x v="1"/>
    <n v="130.47999999999999"/>
    <n v="4.7619047620000003"/>
    <n v="6.524"/>
    <n v="9"/>
  </r>
  <r>
    <s v="366-93-0948"/>
    <x v="0"/>
    <x v="0"/>
    <s v="Member"/>
    <s v="Male"/>
    <x v="1"/>
    <n v="66.349999999999994"/>
    <n v="1"/>
    <n v="3.3174999999999999"/>
    <n v="69.667500000000004"/>
    <x v="82"/>
    <x v="220"/>
    <x v="2"/>
    <n v="66.349999999999994"/>
    <n v="4.7619047620000003"/>
    <n v="3.3174999999999999"/>
    <n v="9.6999999999999993"/>
  </r>
  <r>
    <s v="729-09-9681"/>
    <x v="0"/>
    <x v="0"/>
    <s v="Member"/>
    <s v="Male"/>
    <x v="2"/>
    <n v="25.91"/>
    <n v="6"/>
    <n v="7.7729999999999997"/>
    <n v="163.233"/>
    <x v="63"/>
    <x v="91"/>
    <x v="0"/>
    <n v="155.46"/>
    <n v="4.7619047620000003"/>
    <n v="7.7729999999999997"/>
    <n v="8.6999999999999993"/>
  </r>
  <r>
    <s v="151-16-1484"/>
    <x v="0"/>
    <x v="0"/>
    <s v="Member"/>
    <s v="Male"/>
    <x v="1"/>
    <n v="32.25"/>
    <n v="4"/>
    <n v="6.45"/>
    <n v="135.44999999999999"/>
    <x v="77"/>
    <x v="192"/>
    <x v="0"/>
    <n v="129"/>
    <n v="4.7619047620000003"/>
    <n v="6.45"/>
    <n v="6.5"/>
  </r>
  <r>
    <s v="380-94-4661"/>
    <x v="1"/>
    <x v="1"/>
    <s v="Member"/>
    <s v="Male"/>
    <x v="1"/>
    <n v="65.94"/>
    <n v="4"/>
    <n v="13.188000000000001"/>
    <n v="276.94799999999998"/>
    <x v="13"/>
    <x v="137"/>
    <x v="2"/>
    <n v="263.76"/>
    <n v="4.7619047620000003"/>
    <n v="13.188000000000001"/>
    <n v="6.9"/>
  </r>
  <r>
    <s v="850-41-9669"/>
    <x v="0"/>
    <x v="0"/>
    <s v="Normal"/>
    <s v="Female"/>
    <x v="1"/>
    <n v="75.06"/>
    <n v="9"/>
    <n v="33.777000000000001"/>
    <n v="709.31700000000001"/>
    <x v="35"/>
    <x v="221"/>
    <x v="0"/>
    <n v="675.54"/>
    <n v="4.7619047620000003"/>
    <n v="33.777000000000001"/>
    <n v="6.2"/>
  </r>
  <r>
    <s v="821-07-3596"/>
    <x v="1"/>
    <x v="1"/>
    <s v="Normal"/>
    <s v="Female"/>
    <x v="5"/>
    <n v="16.45"/>
    <n v="4"/>
    <n v="3.29"/>
    <n v="69.09"/>
    <x v="37"/>
    <x v="222"/>
    <x v="0"/>
    <n v="65.8"/>
    <n v="4.7619047620000003"/>
    <n v="3.29"/>
    <n v="5.6"/>
  </r>
  <r>
    <s v="655-85-5130"/>
    <x v="2"/>
    <x v="2"/>
    <s v="Member"/>
    <s v="Female"/>
    <x v="5"/>
    <n v="38.299999999999997"/>
    <n v="4"/>
    <n v="7.66"/>
    <n v="160.86000000000001"/>
    <x v="45"/>
    <x v="223"/>
    <x v="1"/>
    <n v="153.19999999999999"/>
    <n v="4.7619047620000003"/>
    <n v="7.66"/>
    <n v="5.7"/>
  </r>
  <r>
    <s v="447-15-7839"/>
    <x v="0"/>
    <x v="0"/>
    <s v="Member"/>
    <s v="Female"/>
    <x v="3"/>
    <n v="22.24"/>
    <n v="10"/>
    <n v="11.12"/>
    <n v="233.52"/>
    <x v="57"/>
    <x v="224"/>
    <x v="1"/>
    <n v="222.4"/>
    <n v="4.7619047620000003"/>
    <n v="11.12"/>
    <n v="4.2"/>
  </r>
  <r>
    <s v="154-74-7179"/>
    <x v="2"/>
    <x v="2"/>
    <s v="Normal"/>
    <s v="Male"/>
    <x v="3"/>
    <n v="54.45"/>
    <n v="1"/>
    <n v="2.7225000000000001"/>
    <n v="57.172499999999999"/>
    <x v="84"/>
    <x v="225"/>
    <x v="0"/>
    <n v="54.45"/>
    <n v="4.7619047620000003"/>
    <n v="2.7225000000000001"/>
    <n v="7.9"/>
  </r>
  <r>
    <s v="253-12-6086"/>
    <x v="0"/>
    <x v="0"/>
    <s v="Member"/>
    <s v="Female"/>
    <x v="3"/>
    <n v="98.4"/>
    <n v="7"/>
    <n v="34.44"/>
    <n v="723.24"/>
    <x v="41"/>
    <x v="31"/>
    <x v="2"/>
    <n v="688.8"/>
    <n v="4.7619047620000003"/>
    <n v="34.44"/>
    <n v="8.6999999999999993"/>
  </r>
  <r>
    <s v="808-65-0703"/>
    <x v="1"/>
    <x v="1"/>
    <s v="Normal"/>
    <s v="Male"/>
    <x v="2"/>
    <n v="35.47"/>
    <n v="4"/>
    <n v="7.0940000000000003"/>
    <n v="148.97399999999999"/>
    <x v="86"/>
    <x v="226"/>
    <x v="2"/>
    <n v="141.88"/>
    <n v="4.7619047620000003"/>
    <n v="7.0940000000000003"/>
    <n v="6.9"/>
  </r>
  <r>
    <s v="571-94-0759"/>
    <x v="2"/>
    <x v="2"/>
    <s v="Member"/>
    <s v="Female"/>
    <x v="4"/>
    <n v="74.599999999999994"/>
    <n v="10"/>
    <n v="37.299999999999997"/>
    <n v="783.3"/>
    <x v="66"/>
    <x v="227"/>
    <x v="1"/>
    <n v="746"/>
    <n v="4.7619047620000003"/>
    <n v="37.299999999999997"/>
    <n v="9.5"/>
  </r>
  <r>
    <s v="144-51-6085"/>
    <x v="0"/>
    <x v="0"/>
    <s v="Member"/>
    <s v="Male"/>
    <x v="2"/>
    <n v="70.739999999999995"/>
    <n v="4"/>
    <n v="14.148"/>
    <n v="297.108"/>
    <x v="0"/>
    <x v="228"/>
    <x v="2"/>
    <n v="282.95999999999998"/>
    <n v="4.7619047620000003"/>
    <n v="14.148"/>
    <n v="4.4000000000000004"/>
  </r>
  <r>
    <s v="731-14-2199"/>
    <x v="0"/>
    <x v="0"/>
    <s v="Member"/>
    <s v="Female"/>
    <x v="2"/>
    <n v="35.54"/>
    <n v="10"/>
    <n v="17.77"/>
    <n v="373.17"/>
    <x v="72"/>
    <x v="229"/>
    <x v="0"/>
    <n v="355.4"/>
    <n v="4.7619047620000003"/>
    <n v="17.77"/>
    <n v="7"/>
  </r>
  <r>
    <s v="783-09-1637"/>
    <x v="2"/>
    <x v="2"/>
    <s v="Normal"/>
    <s v="Female"/>
    <x v="3"/>
    <n v="67.430000000000007"/>
    <n v="5"/>
    <n v="16.857500000000002"/>
    <n v="354.00749999999999"/>
    <x v="43"/>
    <x v="230"/>
    <x v="0"/>
    <n v="337.15"/>
    <n v="4.7619047620000003"/>
    <n v="16.857500000000002"/>
    <n v="6.3"/>
  </r>
  <r>
    <s v="687-15-1097"/>
    <x v="1"/>
    <x v="1"/>
    <s v="Member"/>
    <s v="Female"/>
    <x v="0"/>
    <n v="21.12"/>
    <n v="2"/>
    <n v="2.1120000000000001"/>
    <n v="44.351999999999997"/>
    <x v="75"/>
    <x v="151"/>
    <x v="1"/>
    <n v="42.24"/>
    <n v="4.7619047620000003"/>
    <n v="2.1120000000000001"/>
    <n v="9.6999999999999993"/>
  </r>
  <r>
    <s v="126-54-1082"/>
    <x v="0"/>
    <x v="0"/>
    <s v="Member"/>
    <s v="Female"/>
    <x v="2"/>
    <n v="21.54"/>
    <n v="9"/>
    <n v="9.6929999999999996"/>
    <n v="203.553"/>
    <x v="27"/>
    <x v="231"/>
    <x v="2"/>
    <n v="193.86"/>
    <n v="4.7619047620000003"/>
    <n v="9.6929999999999996"/>
    <n v="8.8000000000000007"/>
  </r>
  <r>
    <s v="633-91-1052"/>
    <x v="0"/>
    <x v="0"/>
    <s v="Normal"/>
    <s v="Female"/>
    <x v="2"/>
    <n v="12.03"/>
    <n v="2"/>
    <n v="1.2030000000000001"/>
    <n v="25.263000000000002"/>
    <x v="3"/>
    <x v="232"/>
    <x v="1"/>
    <n v="24.06"/>
    <n v="4.7619047620000003"/>
    <n v="1.2030000000000001"/>
    <n v="5.0999999999999996"/>
  </r>
  <r>
    <s v="477-24-6490"/>
    <x v="2"/>
    <x v="2"/>
    <s v="Normal"/>
    <s v="Female"/>
    <x v="0"/>
    <n v="99.71"/>
    <n v="6"/>
    <n v="29.913"/>
    <n v="628.173"/>
    <x v="84"/>
    <x v="233"/>
    <x v="0"/>
    <n v="598.26"/>
    <n v="4.7619047620000003"/>
    <n v="29.913"/>
    <n v="7.9"/>
  </r>
  <r>
    <s v="566-19-5475"/>
    <x v="2"/>
    <x v="2"/>
    <s v="Normal"/>
    <s v="Male"/>
    <x v="5"/>
    <n v="47.97"/>
    <n v="7"/>
    <n v="16.7895"/>
    <n v="352.5795"/>
    <x v="27"/>
    <x v="234"/>
    <x v="1"/>
    <n v="335.79"/>
    <n v="4.7619047620000003"/>
    <n v="16.7895"/>
    <n v="6.2"/>
  </r>
  <r>
    <s v="526-86-8552"/>
    <x v="1"/>
    <x v="1"/>
    <s v="Member"/>
    <s v="Female"/>
    <x v="2"/>
    <n v="21.82"/>
    <n v="10"/>
    <n v="10.91"/>
    <n v="229.11"/>
    <x v="27"/>
    <x v="24"/>
    <x v="1"/>
    <n v="218.2"/>
    <n v="4.7619047620000003"/>
    <n v="10.91"/>
    <n v="7.1"/>
  </r>
  <r>
    <s v="376-56-3573"/>
    <x v="1"/>
    <x v="1"/>
    <s v="Normal"/>
    <s v="Female"/>
    <x v="5"/>
    <n v="95.42"/>
    <n v="4"/>
    <n v="19.084"/>
    <n v="400.76400000000001"/>
    <x v="30"/>
    <x v="2"/>
    <x v="0"/>
    <n v="381.68"/>
    <n v="4.7619047620000003"/>
    <n v="19.084"/>
    <n v="6.4"/>
  </r>
  <r>
    <s v="537-72-0426"/>
    <x v="1"/>
    <x v="1"/>
    <s v="Member"/>
    <s v="Male"/>
    <x v="5"/>
    <n v="70.989999999999995"/>
    <n v="10"/>
    <n v="35.494999999999997"/>
    <n v="745.39499999999998"/>
    <x v="80"/>
    <x v="235"/>
    <x v="1"/>
    <n v="709.9"/>
    <n v="4.7619047620000003"/>
    <n v="35.494999999999997"/>
    <n v="5.7"/>
  </r>
  <r>
    <s v="828-61-5674"/>
    <x v="0"/>
    <x v="0"/>
    <s v="Member"/>
    <s v="Male"/>
    <x v="3"/>
    <n v="44.02"/>
    <n v="10"/>
    <n v="22.01"/>
    <n v="462.21"/>
    <x v="80"/>
    <x v="129"/>
    <x v="2"/>
    <n v="440.2"/>
    <n v="4.7619047620000003"/>
    <n v="22.01"/>
    <n v="9.6"/>
  </r>
  <r>
    <s v="136-08-6195"/>
    <x v="0"/>
    <x v="0"/>
    <s v="Normal"/>
    <s v="Female"/>
    <x v="2"/>
    <n v="69.959999999999994"/>
    <n v="8"/>
    <n v="27.984000000000002"/>
    <n v="587.66399999999999"/>
    <x v="42"/>
    <x v="154"/>
    <x v="2"/>
    <n v="559.67999999999995"/>
    <n v="4.7619047620000003"/>
    <n v="27.984000000000002"/>
    <n v="6.4"/>
  </r>
  <r>
    <s v="523-38-0215"/>
    <x v="1"/>
    <x v="1"/>
    <s v="Normal"/>
    <s v="Male"/>
    <x v="2"/>
    <n v="37"/>
    <n v="1"/>
    <n v="1.85"/>
    <n v="38.85"/>
    <x v="43"/>
    <x v="236"/>
    <x v="2"/>
    <n v="37"/>
    <n v="4.7619047620000003"/>
    <n v="1.85"/>
    <n v="7.9"/>
  </r>
  <r>
    <s v="490-29-1201"/>
    <x v="0"/>
    <x v="0"/>
    <s v="Normal"/>
    <s v="Female"/>
    <x v="3"/>
    <n v="15.34"/>
    <n v="1"/>
    <n v="0.76700000000000002"/>
    <n v="16.106999999999999"/>
    <x v="47"/>
    <x v="237"/>
    <x v="1"/>
    <n v="15.34"/>
    <n v="4.7619047620000003"/>
    <n v="0.76700000000000002"/>
    <n v="6.5"/>
  </r>
  <r>
    <s v="667-92-0055"/>
    <x v="0"/>
    <x v="0"/>
    <s v="Member"/>
    <s v="Male"/>
    <x v="0"/>
    <n v="99.83"/>
    <n v="6"/>
    <n v="29.949000000000002"/>
    <n v="628.92899999999997"/>
    <x v="31"/>
    <x v="238"/>
    <x v="0"/>
    <n v="598.98"/>
    <n v="4.7619047620000003"/>
    <n v="29.949000000000002"/>
    <n v="8.5"/>
  </r>
  <r>
    <s v="565-17-3836"/>
    <x v="0"/>
    <x v="0"/>
    <s v="Member"/>
    <s v="Female"/>
    <x v="0"/>
    <n v="47.67"/>
    <n v="4"/>
    <n v="9.5340000000000007"/>
    <n v="200.214"/>
    <x v="41"/>
    <x v="239"/>
    <x v="1"/>
    <n v="190.68"/>
    <n v="4.7619047620000003"/>
    <n v="9.5340000000000007"/>
    <n v="9.1"/>
  </r>
  <r>
    <s v="498-41-1961"/>
    <x v="2"/>
    <x v="2"/>
    <s v="Normal"/>
    <s v="Male"/>
    <x v="0"/>
    <n v="66.680000000000007"/>
    <n v="5"/>
    <n v="16.670000000000002"/>
    <n v="350.07"/>
    <x v="9"/>
    <x v="240"/>
    <x v="1"/>
    <n v="333.4"/>
    <n v="4.7619047620000003"/>
    <n v="16.670000000000002"/>
    <n v="7.6"/>
  </r>
  <r>
    <s v="593-95-4461"/>
    <x v="1"/>
    <x v="1"/>
    <s v="Member"/>
    <s v="Male"/>
    <x v="2"/>
    <n v="74.86"/>
    <n v="1"/>
    <n v="3.7429999999999999"/>
    <n v="78.602999999999994"/>
    <x v="62"/>
    <x v="32"/>
    <x v="1"/>
    <n v="74.86"/>
    <n v="4.7619047620000003"/>
    <n v="3.7429999999999999"/>
    <n v="6.9"/>
  </r>
  <r>
    <s v="226-71-3580"/>
    <x v="1"/>
    <x v="1"/>
    <s v="Normal"/>
    <s v="Female"/>
    <x v="3"/>
    <n v="23.75"/>
    <n v="9"/>
    <n v="10.6875"/>
    <n v="224.4375"/>
    <x v="82"/>
    <x v="110"/>
    <x v="1"/>
    <n v="213.75"/>
    <n v="4.7619047620000003"/>
    <n v="10.6875"/>
    <n v="9.5"/>
  </r>
  <r>
    <s v="283-79-9594"/>
    <x v="2"/>
    <x v="2"/>
    <s v="Normal"/>
    <s v="Female"/>
    <x v="4"/>
    <n v="48.51"/>
    <n v="7"/>
    <n v="16.9785"/>
    <n v="356.54849999999999"/>
    <x v="25"/>
    <x v="241"/>
    <x v="2"/>
    <n v="339.57"/>
    <n v="4.7619047620000003"/>
    <n v="16.9785"/>
    <n v="5.2"/>
  </r>
  <r>
    <s v="430-60-3493"/>
    <x v="0"/>
    <x v="0"/>
    <s v="Member"/>
    <s v="Female"/>
    <x v="2"/>
    <n v="94.88"/>
    <n v="7"/>
    <n v="33.207999999999998"/>
    <n v="697.36800000000005"/>
    <x v="36"/>
    <x v="242"/>
    <x v="1"/>
    <n v="664.16"/>
    <n v="4.7619047620000003"/>
    <n v="33.207999999999998"/>
    <n v="4.2"/>
  </r>
  <r>
    <s v="139-20-0155"/>
    <x v="2"/>
    <x v="2"/>
    <s v="Member"/>
    <s v="Male"/>
    <x v="1"/>
    <n v="40.299999999999997"/>
    <n v="10"/>
    <n v="20.149999999999999"/>
    <n v="423.15"/>
    <x v="46"/>
    <x v="243"/>
    <x v="2"/>
    <n v="403"/>
    <n v="4.7619047620000003"/>
    <n v="20.149999999999999"/>
    <n v="7"/>
  </r>
  <r>
    <s v="558-80-4082"/>
    <x v="1"/>
    <x v="1"/>
    <s v="Normal"/>
    <s v="Male"/>
    <x v="1"/>
    <n v="27.85"/>
    <n v="7"/>
    <n v="9.7475000000000005"/>
    <n v="204.69749999999999"/>
    <x v="86"/>
    <x v="244"/>
    <x v="0"/>
    <n v="194.95"/>
    <n v="4.7619047620000003"/>
    <n v="9.7475000000000005"/>
    <n v="6"/>
  </r>
  <r>
    <s v="278-97-7759"/>
    <x v="0"/>
    <x v="0"/>
    <s v="Member"/>
    <s v="Female"/>
    <x v="1"/>
    <n v="62.48"/>
    <n v="1"/>
    <n v="3.1240000000000001"/>
    <n v="65.603999999999999"/>
    <x v="67"/>
    <x v="245"/>
    <x v="1"/>
    <n v="62.48"/>
    <n v="4.7619047620000003"/>
    <n v="3.1240000000000001"/>
    <n v="4.7"/>
  </r>
  <r>
    <s v="316-68-6352"/>
    <x v="0"/>
    <x v="0"/>
    <s v="Member"/>
    <s v="Female"/>
    <x v="4"/>
    <n v="36.36"/>
    <n v="2"/>
    <n v="3.6360000000000001"/>
    <n v="76.355999999999995"/>
    <x v="18"/>
    <x v="158"/>
    <x v="1"/>
    <n v="72.72"/>
    <n v="4.7619047620000003"/>
    <n v="3.6360000000000001"/>
    <n v="7.1"/>
  </r>
  <r>
    <s v="585-03-5943"/>
    <x v="2"/>
    <x v="2"/>
    <s v="Normal"/>
    <s v="Male"/>
    <x v="0"/>
    <n v="18.11"/>
    <n v="10"/>
    <n v="9.0549999999999997"/>
    <n v="190.155"/>
    <x v="45"/>
    <x v="246"/>
    <x v="0"/>
    <n v="181.1"/>
    <n v="4.7619047620000003"/>
    <n v="9.0549999999999997"/>
    <n v="5.9"/>
  </r>
  <r>
    <s v="211-05-0490"/>
    <x v="1"/>
    <x v="1"/>
    <s v="Member"/>
    <s v="Female"/>
    <x v="1"/>
    <n v="51.92"/>
    <n v="5"/>
    <n v="12.98"/>
    <n v="272.58"/>
    <x v="2"/>
    <x v="247"/>
    <x v="1"/>
    <n v="259.60000000000002"/>
    <n v="4.7619047620000003"/>
    <n v="12.98"/>
    <n v="7.5"/>
  </r>
  <r>
    <s v="727-75-6477"/>
    <x v="1"/>
    <x v="1"/>
    <s v="Normal"/>
    <s v="Male"/>
    <x v="1"/>
    <n v="28.84"/>
    <n v="4"/>
    <n v="5.7679999999999998"/>
    <n v="121.128"/>
    <x v="14"/>
    <x v="248"/>
    <x v="1"/>
    <n v="115.36"/>
    <n v="4.7619047620000003"/>
    <n v="5.7679999999999998"/>
    <n v="6.4"/>
  </r>
  <r>
    <s v="744-02-5987"/>
    <x v="0"/>
    <x v="0"/>
    <s v="Member"/>
    <s v="Male"/>
    <x v="2"/>
    <n v="78.38"/>
    <n v="6"/>
    <n v="23.513999999999999"/>
    <n v="493.79399999999998"/>
    <x v="8"/>
    <x v="249"/>
    <x v="0"/>
    <n v="470.28"/>
    <n v="4.7619047620000003"/>
    <n v="23.513999999999999"/>
    <n v="5.8"/>
  </r>
  <r>
    <s v="307-83-9164"/>
    <x v="0"/>
    <x v="0"/>
    <s v="Member"/>
    <s v="Male"/>
    <x v="2"/>
    <n v="60.01"/>
    <n v="4"/>
    <n v="12.002000000000001"/>
    <n v="252.042"/>
    <x v="25"/>
    <x v="250"/>
    <x v="1"/>
    <n v="240.04"/>
    <n v="4.7619047620000003"/>
    <n v="12.002000000000001"/>
    <n v="4.5"/>
  </r>
  <r>
    <s v="779-06-0012"/>
    <x v="1"/>
    <x v="1"/>
    <s v="Member"/>
    <s v="Female"/>
    <x v="2"/>
    <n v="88.61"/>
    <n v="1"/>
    <n v="4.4305000000000003"/>
    <n v="93.040499999999994"/>
    <x v="64"/>
    <x v="251"/>
    <x v="1"/>
    <n v="88.61"/>
    <n v="4.7619047620000003"/>
    <n v="4.4305000000000003"/>
    <n v="7.7"/>
  </r>
  <r>
    <s v="446-47-6729"/>
    <x v="1"/>
    <x v="1"/>
    <s v="Normal"/>
    <s v="Male"/>
    <x v="5"/>
    <n v="99.82"/>
    <n v="2"/>
    <n v="9.9819999999999993"/>
    <n v="209.62200000000001"/>
    <x v="56"/>
    <x v="203"/>
    <x v="2"/>
    <n v="199.64"/>
    <n v="4.7619047620000003"/>
    <n v="9.9819999999999993"/>
    <n v="6.7"/>
  </r>
  <r>
    <s v="573-10-3877"/>
    <x v="2"/>
    <x v="2"/>
    <s v="Member"/>
    <s v="Male"/>
    <x v="0"/>
    <n v="39.01"/>
    <n v="1"/>
    <n v="1.9504999999999999"/>
    <n v="40.960500000000003"/>
    <x v="41"/>
    <x v="252"/>
    <x v="2"/>
    <n v="39.01"/>
    <n v="4.7619047620000003"/>
    <n v="1.9504999999999999"/>
    <n v="4.7"/>
  </r>
  <r>
    <s v="735-06-4124"/>
    <x v="1"/>
    <x v="1"/>
    <s v="Normal"/>
    <s v="Male"/>
    <x v="4"/>
    <n v="48.61"/>
    <n v="1"/>
    <n v="2.4304999999999999"/>
    <n v="51.040500000000002"/>
    <x v="6"/>
    <x v="26"/>
    <x v="1"/>
    <n v="48.61"/>
    <n v="4.7619047620000003"/>
    <n v="2.4304999999999999"/>
    <n v="4.4000000000000004"/>
  </r>
  <r>
    <s v="439-54-7422"/>
    <x v="0"/>
    <x v="0"/>
    <s v="Normal"/>
    <s v="Female"/>
    <x v="1"/>
    <n v="51.19"/>
    <n v="4"/>
    <n v="10.238"/>
    <n v="214.99799999999999"/>
    <x v="79"/>
    <x v="8"/>
    <x v="2"/>
    <n v="204.76"/>
    <n v="4.7619047620000003"/>
    <n v="10.238"/>
    <n v="4.7"/>
  </r>
  <r>
    <s v="396-90-2219"/>
    <x v="2"/>
    <x v="2"/>
    <s v="Normal"/>
    <s v="Female"/>
    <x v="1"/>
    <n v="14.96"/>
    <n v="8"/>
    <n v="5.984"/>
    <n v="125.664"/>
    <x v="55"/>
    <x v="107"/>
    <x v="1"/>
    <n v="119.68"/>
    <n v="4.7619047620000003"/>
    <n v="5.984"/>
    <n v="8.6"/>
  </r>
  <r>
    <s v="411-77-0180"/>
    <x v="0"/>
    <x v="0"/>
    <s v="Member"/>
    <s v="Male"/>
    <x v="1"/>
    <n v="72.2"/>
    <n v="7"/>
    <n v="25.27"/>
    <n v="530.66999999999996"/>
    <x v="58"/>
    <x v="253"/>
    <x v="0"/>
    <n v="505.4"/>
    <n v="4.7619047620000003"/>
    <n v="25.27"/>
    <n v="4.3"/>
  </r>
  <r>
    <s v="286-01-5402"/>
    <x v="0"/>
    <x v="0"/>
    <s v="Normal"/>
    <s v="Female"/>
    <x v="3"/>
    <n v="40.229999999999997"/>
    <n v="7"/>
    <n v="14.080500000000001"/>
    <n v="295.69049999999999"/>
    <x v="73"/>
    <x v="93"/>
    <x v="1"/>
    <n v="281.61"/>
    <n v="4.7619047620000003"/>
    <n v="14.080500000000001"/>
    <n v="9.6"/>
  </r>
  <r>
    <s v="803-17-8013"/>
    <x v="0"/>
    <x v="0"/>
    <s v="Member"/>
    <s v="Female"/>
    <x v="2"/>
    <n v="88.79"/>
    <n v="8"/>
    <n v="35.515999999999998"/>
    <n v="745.83600000000001"/>
    <x v="21"/>
    <x v="254"/>
    <x v="1"/>
    <n v="710.32"/>
    <n v="4.7619047620000003"/>
    <n v="35.515999999999998"/>
    <n v="4.0999999999999996"/>
  </r>
  <r>
    <s v="512-98-1403"/>
    <x v="0"/>
    <x v="0"/>
    <s v="Member"/>
    <s v="Female"/>
    <x v="1"/>
    <n v="26.48"/>
    <n v="3"/>
    <n v="3.972"/>
    <n v="83.412000000000006"/>
    <x v="76"/>
    <x v="21"/>
    <x v="0"/>
    <n v="79.44"/>
    <n v="4.7619047620000003"/>
    <n v="3.972"/>
    <n v="4.7"/>
  </r>
  <r>
    <s v="848-42-2560"/>
    <x v="0"/>
    <x v="0"/>
    <s v="Normal"/>
    <s v="Female"/>
    <x v="5"/>
    <n v="81.91"/>
    <n v="2"/>
    <n v="8.1910000000000007"/>
    <n v="172.011"/>
    <x v="19"/>
    <x v="255"/>
    <x v="1"/>
    <n v="163.82"/>
    <n v="4.7619047620000003"/>
    <n v="8.1910000000000007"/>
    <n v="7.8"/>
  </r>
  <r>
    <s v="532-59-7201"/>
    <x v="2"/>
    <x v="2"/>
    <s v="Member"/>
    <s v="Male"/>
    <x v="3"/>
    <n v="79.930000000000007"/>
    <n v="6"/>
    <n v="23.978999999999999"/>
    <n v="503.55900000000003"/>
    <x v="82"/>
    <x v="214"/>
    <x v="1"/>
    <n v="479.58"/>
    <n v="4.7619047620000003"/>
    <n v="23.978999999999999"/>
    <n v="5.5"/>
  </r>
  <r>
    <s v="181-94-6432"/>
    <x v="1"/>
    <x v="1"/>
    <s v="Member"/>
    <s v="Male"/>
    <x v="5"/>
    <n v="69.33"/>
    <n v="2"/>
    <n v="6.9329999999999998"/>
    <n v="145.59299999999999"/>
    <x v="63"/>
    <x v="256"/>
    <x v="0"/>
    <n v="138.66"/>
    <n v="4.7619047620000003"/>
    <n v="6.9329999999999998"/>
    <n v="9.6999999999999993"/>
  </r>
  <r>
    <s v="870-76-1733"/>
    <x v="0"/>
    <x v="0"/>
    <s v="Member"/>
    <s v="Female"/>
    <x v="4"/>
    <n v="14.23"/>
    <n v="5"/>
    <n v="3.5575000000000001"/>
    <n v="74.707499999999996"/>
    <x v="60"/>
    <x v="257"/>
    <x v="2"/>
    <n v="71.150000000000006"/>
    <n v="4.7619047620000003"/>
    <n v="3.5575000000000001"/>
    <n v="4.4000000000000004"/>
  </r>
  <r>
    <s v="423-64-4619"/>
    <x v="0"/>
    <x v="0"/>
    <s v="Member"/>
    <s v="Female"/>
    <x v="0"/>
    <n v="15.55"/>
    <n v="9"/>
    <n v="6.9974999999999996"/>
    <n v="146.94749999999999"/>
    <x v="37"/>
    <x v="258"/>
    <x v="1"/>
    <n v="139.94999999999999"/>
    <n v="4.7619047620000003"/>
    <n v="6.9974999999999996"/>
    <n v="5"/>
  </r>
  <r>
    <s v="227-07-4446"/>
    <x v="1"/>
    <x v="1"/>
    <s v="Member"/>
    <s v="Female"/>
    <x v="1"/>
    <n v="78.13"/>
    <n v="10"/>
    <n v="39.064999999999998"/>
    <n v="820.36500000000001"/>
    <x v="34"/>
    <x v="259"/>
    <x v="1"/>
    <n v="781.3"/>
    <n v="4.7619047620000003"/>
    <n v="39.064999999999998"/>
    <n v="4.4000000000000004"/>
  </r>
  <r>
    <s v="174-36-3675"/>
    <x v="1"/>
    <x v="1"/>
    <s v="Member"/>
    <s v="Male"/>
    <x v="4"/>
    <n v="99.37"/>
    <n v="2"/>
    <n v="9.9369999999999994"/>
    <n v="208.67699999999999"/>
    <x v="44"/>
    <x v="260"/>
    <x v="1"/>
    <n v="198.74"/>
    <n v="4.7619047620000003"/>
    <n v="9.9369999999999994"/>
    <n v="5.2"/>
  </r>
  <r>
    <s v="428-83-5800"/>
    <x v="1"/>
    <x v="1"/>
    <s v="Member"/>
    <s v="Female"/>
    <x v="4"/>
    <n v="21.08"/>
    <n v="3"/>
    <n v="3.1619999999999999"/>
    <n v="66.402000000000001"/>
    <x v="57"/>
    <x v="12"/>
    <x v="1"/>
    <n v="63.24"/>
    <n v="4.7619047620000003"/>
    <n v="3.1619999999999999"/>
    <n v="7.3"/>
  </r>
  <r>
    <s v="603-07-0961"/>
    <x v="1"/>
    <x v="1"/>
    <s v="Member"/>
    <s v="Male"/>
    <x v="1"/>
    <n v="74.790000000000006"/>
    <n v="5"/>
    <n v="18.697500000000002"/>
    <n v="392.64749999999998"/>
    <x v="8"/>
    <x v="261"/>
    <x v="1"/>
    <n v="373.95"/>
    <n v="4.7619047620000003"/>
    <n v="18.697500000000002"/>
    <n v="4.9000000000000004"/>
  </r>
  <r>
    <s v="704-20-4138"/>
    <x v="1"/>
    <x v="1"/>
    <s v="Member"/>
    <s v="Female"/>
    <x v="0"/>
    <n v="29.67"/>
    <n v="7"/>
    <n v="10.384499999999999"/>
    <n v="218.0745"/>
    <x v="16"/>
    <x v="262"/>
    <x v="2"/>
    <n v="207.69"/>
    <n v="4.7619047620000003"/>
    <n v="10.384499999999999"/>
    <n v="8.1"/>
  </r>
  <r>
    <s v="787-15-1757"/>
    <x v="1"/>
    <x v="1"/>
    <s v="Member"/>
    <s v="Male"/>
    <x v="0"/>
    <n v="44.07"/>
    <n v="4"/>
    <n v="8.8140000000000001"/>
    <n v="185.09399999999999"/>
    <x v="67"/>
    <x v="235"/>
    <x v="0"/>
    <n v="176.28"/>
    <n v="4.7619047620000003"/>
    <n v="8.8140000000000001"/>
    <n v="8.4"/>
  </r>
  <r>
    <s v="649-11-3678"/>
    <x v="1"/>
    <x v="1"/>
    <s v="Normal"/>
    <s v="Female"/>
    <x v="4"/>
    <n v="22.93"/>
    <n v="9"/>
    <n v="10.3185"/>
    <n v="216.6885"/>
    <x v="84"/>
    <x v="263"/>
    <x v="1"/>
    <n v="206.37"/>
    <n v="4.7619047620000003"/>
    <n v="10.3185"/>
    <n v="5.5"/>
  </r>
  <r>
    <s v="622-20-1945"/>
    <x v="1"/>
    <x v="1"/>
    <s v="Normal"/>
    <s v="Female"/>
    <x v="0"/>
    <n v="39.42"/>
    <n v="1"/>
    <n v="1.9710000000000001"/>
    <n v="41.390999999999998"/>
    <x v="68"/>
    <x v="264"/>
    <x v="1"/>
    <n v="39.42"/>
    <n v="4.7619047620000003"/>
    <n v="1.9710000000000001"/>
    <n v="8.4"/>
  </r>
  <r>
    <s v="372-94-8041"/>
    <x v="0"/>
    <x v="0"/>
    <s v="Normal"/>
    <s v="Male"/>
    <x v="0"/>
    <n v="15.26"/>
    <n v="6"/>
    <n v="4.5780000000000003"/>
    <n v="96.138000000000005"/>
    <x v="42"/>
    <x v="172"/>
    <x v="0"/>
    <n v="91.56"/>
    <n v="4.7619047620000003"/>
    <n v="4.5780000000000003"/>
    <n v="9.8000000000000007"/>
  </r>
  <r>
    <s v="563-91-7120"/>
    <x v="0"/>
    <x v="0"/>
    <s v="Normal"/>
    <s v="Female"/>
    <x v="5"/>
    <n v="61.77"/>
    <n v="5"/>
    <n v="15.442500000000001"/>
    <n v="324.29250000000002"/>
    <x v="1"/>
    <x v="265"/>
    <x v="1"/>
    <n v="308.85000000000002"/>
    <n v="4.7619047620000003"/>
    <n v="15.442500000000001"/>
    <n v="6.7"/>
  </r>
  <r>
    <s v="746-54-5508"/>
    <x v="0"/>
    <x v="0"/>
    <s v="Normal"/>
    <s v="Male"/>
    <x v="2"/>
    <n v="21.52"/>
    <n v="6"/>
    <n v="6.4560000000000004"/>
    <n v="135.57599999999999"/>
    <x v="29"/>
    <x v="266"/>
    <x v="2"/>
    <n v="129.12"/>
    <n v="4.7619047620000003"/>
    <n v="6.4560000000000004"/>
    <n v="9.4"/>
  </r>
  <r>
    <s v="276-54-0879"/>
    <x v="2"/>
    <x v="2"/>
    <s v="Normal"/>
    <s v="Male"/>
    <x v="3"/>
    <n v="97.74"/>
    <n v="4"/>
    <n v="19.547999999999998"/>
    <n v="410.50799999999998"/>
    <x v="41"/>
    <x v="267"/>
    <x v="0"/>
    <n v="390.96"/>
    <n v="4.7619047620000003"/>
    <n v="19.547999999999998"/>
    <n v="6.4"/>
  </r>
  <r>
    <s v="815-11-1168"/>
    <x v="0"/>
    <x v="0"/>
    <s v="Member"/>
    <s v="Male"/>
    <x v="4"/>
    <n v="99.78"/>
    <n v="5"/>
    <n v="24.945"/>
    <n v="523.84500000000003"/>
    <x v="11"/>
    <x v="268"/>
    <x v="1"/>
    <n v="498.9"/>
    <n v="4.7619047620000003"/>
    <n v="24.945"/>
    <n v="5.4"/>
  </r>
  <r>
    <s v="719-76-3868"/>
    <x v="1"/>
    <x v="1"/>
    <s v="Member"/>
    <s v="Male"/>
    <x v="4"/>
    <n v="94.26"/>
    <n v="4"/>
    <n v="18.852"/>
    <n v="395.892"/>
    <x v="41"/>
    <x v="269"/>
    <x v="1"/>
    <n v="377.04"/>
    <n v="4.7619047620000003"/>
    <n v="18.852"/>
    <n v="8.6"/>
  </r>
  <r>
    <s v="730-61-8757"/>
    <x v="2"/>
    <x v="2"/>
    <s v="Member"/>
    <s v="Male"/>
    <x v="0"/>
    <n v="51.13"/>
    <n v="4"/>
    <n v="10.226000000000001"/>
    <n v="214.74600000000001"/>
    <x v="25"/>
    <x v="41"/>
    <x v="2"/>
    <n v="204.52"/>
    <n v="4.7619047620000003"/>
    <n v="10.226000000000001"/>
    <n v="4"/>
  </r>
  <r>
    <s v="340-66-0321"/>
    <x v="0"/>
    <x v="0"/>
    <s v="Member"/>
    <s v="Male"/>
    <x v="1"/>
    <n v="36.36"/>
    <n v="4"/>
    <n v="7.2720000000000002"/>
    <n v="152.71199999999999"/>
    <x v="5"/>
    <x v="270"/>
    <x v="1"/>
    <n v="145.44"/>
    <n v="4.7619047620000003"/>
    <n v="7.2720000000000002"/>
    <n v="7.6"/>
  </r>
  <r>
    <s v="868-81-1752"/>
    <x v="2"/>
    <x v="2"/>
    <s v="Normal"/>
    <s v="Male"/>
    <x v="2"/>
    <n v="22.02"/>
    <n v="9"/>
    <n v="9.9090000000000007"/>
    <n v="208.089"/>
    <x v="13"/>
    <x v="271"/>
    <x v="1"/>
    <n v="198.18"/>
    <n v="4.7619047620000003"/>
    <n v="9.9090000000000007"/>
    <n v="6.8"/>
  </r>
  <r>
    <s v="634-97-8956"/>
    <x v="0"/>
    <x v="0"/>
    <s v="Normal"/>
    <s v="Male"/>
    <x v="4"/>
    <n v="32.9"/>
    <n v="3"/>
    <n v="4.9349999999999996"/>
    <n v="103.63500000000001"/>
    <x v="21"/>
    <x v="272"/>
    <x v="2"/>
    <n v="98.7"/>
    <n v="4.7619047620000003"/>
    <n v="4.9349999999999996"/>
    <n v="9.1"/>
  </r>
  <r>
    <s v="566-71-1091"/>
    <x v="0"/>
    <x v="0"/>
    <s v="Normal"/>
    <s v="Male"/>
    <x v="5"/>
    <n v="77.02"/>
    <n v="5"/>
    <n v="19.254999999999999"/>
    <n v="404.35500000000002"/>
    <x v="36"/>
    <x v="273"/>
    <x v="1"/>
    <n v="385.1"/>
    <n v="4.7619047620000003"/>
    <n v="19.254999999999999"/>
    <n v="5.5"/>
  </r>
  <r>
    <s v="442-48-3607"/>
    <x v="0"/>
    <x v="0"/>
    <s v="Member"/>
    <s v="Male"/>
    <x v="4"/>
    <n v="23.48"/>
    <n v="2"/>
    <n v="2.3479999999999999"/>
    <n v="49.308"/>
    <x v="86"/>
    <x v="274"/>
    <x v="2"/>
    <n v="46.96"/>
    <n v="4.7619047620000003"/>
    <n v="2.3479999999999999"/>
    <n v="7.9"/>
  </r>
  <r>
    <s v="835-16-0096"/>
    <x v="1"/>
    <x v="1"/>
    <s v="Member"/>
    <s v="Male"/>
    <x v="3"/>
    <n v="14.7"/>
    <n v="5"/>
    <n v="3.6749999999999998"/>
    <n v="77.174999999999997"/>
    <x v="62"/>
    <x v="128"/>
    <x v="0"/>
    <n v="73.5"/>
    <n v="4.7619047620000003"/>
    <n v="3.6749999999999998"/>
    <n v="8.5"/>
  </r>
  <r>
    <s v="527-09-6272"/>
    <x v="0"/>
    <x v="0"/>
    <s v="Member"/>
    <s v="Female"/>
    <x v="1"/>
    <n v="28.45"/>
    <n v="5"/>
    <n v="7.1124999999999998"/>
    <n v="149.36250000000001"/>
    <x v="76"/>
    <x v="79"/>
    <x v="2"/>
    <n v="142.25"/>
    <n v="4.7619047620000003"/>
    <n v="7.1124999999999998"/>
    <n v="9.1"/>
  </r>
  <r>
    <s v="898-04-2717"/>
    <x v="0"/>
    <x v="0"/>
    <s v="Normal"/>
    <s v="Male"/>
    <x v="5"/>
    <n v="76.400000000000006"/>
    <n v="9"/>
    <n v="34.380000000000003"/>
    <n v="721.98"/>
    <x v="35"/>
    <x v="275"/>
    <x v="0"/>
    <n v="687.6"/>
    <n v="4.7619047620000003"/>
    <n v="34.380000000000003"/>
    <n v="7.5"/>
  </r>
  <r>
    <s v="692-27-8933"/>
    <x v="2"/>
    <x v="2"/>
    <s v="Normal"/>
    <s v="Female"/>
    <x v="3"/>
    <n v="57.95"/>
    <n v="6"/>
    <n v="17.385000000000002"/>
    <n v="365.08499999999998"/>
    <x v="7"/>
    <x v="276"/>
    <x v="1"/>
    <n v="347.7"/>
    <n v="4.7619047620000003"/>
    <n v="17.385000000000002"/>
    <n v="5.2"/>
  </r>
  <r>
    <s v="633-09-3463"/>
    <x v="1"/>
    <x v="1"/>
    <s v="Normal"/>
    <s v="Female"/>
    <x v="1"/>
    <n v="47.65"/>
    <n v="3"/>
    <n v="7.1475"/>
    <n v="150.0975"/>
    <x v="61"/>
    <x v="187"/>
    <x v="2"/>
    <n v="142.94999999999999"/>
    <n v="4.7619047620000003"/>
    <n v="7.1475"/>
    <n v="9.5"/>
  </r>
  <r>
    <s v="374-17-3652"/>
    <x v="2"/>
    <x v="2"/>
    <s v="Member"/>
    <s v="Female"/>
    <x v="4"/>
    <n v="42.82"/>
    <n v="9"/>
    <n v="19.268999999999998"/>
    <n v="404.649"/>
    <x v="63"/>
    <x v="108"/>
    <x v="2"/>
    <n v="385.38"/>
    <n v="4.7619047620000003"/>
    <n v="19.268999999999998"/>
    <n v="8.9"/>
  </r>
  <r>
    <s v="378-07-7001"/>
    <x v="2"/>
    <x v="2"/>
    <s v="Member"/>
    <s v="Male"/>
    <x v="1"/>
    <n v="48.09"/>
    <n v="3"/>
    <n v="7.2134999999999998"/>
    <n v="151.48349999999999"/>
    <x v="34"/>
    <x v="136"/>
    <x v="2"/>
    <n v="144.27000000000001"/>
    <n v="4.7619047620000003"/>
    <n v="7.2134999999999998"/>
    <n v="7.8"/>
  </r>
  <r>
    <s v="433-75-6987"/>
    <x v="2"/>
    <x v="2"/>
    <s v="Member"/>
    <s v="Female"/>
    <x v="0"/>
    <n v="55.97"/>
    <n v="7"/>
    <n v="19.589500000000001"/>
    <n v="411.37950000000001"/>
    <x v="19"/>
    <x v="216"/>
    <x v="0"/>
    <n v="391.79"/>
    <n v="4.7619047620000003"/>
    <n v="19.589500000000001"/>
    <n v="8.9"/>
  </r>
  <r>
    <s v="873-95-4984"/>
    <x v="2"/>
    <x v="2"/>
    <s v="Member"/>
    <s v="Female"/>
    <x v="0"/>
    <n v="76.900000000000006"/>
    <n v="7"/>
    <n v="26.914999999999999"/>
    <n v="565.21500000000003"/>
    <x v="42"/>
    <x v="277"/>
    <x v="1"/>
    <n v="538.29999999999995"/>
    <n v="4.7619047620000003"/>
    <n v="26.914999999999999"/>
    <n v="7.7"/>
  </r>
  <r>
    <s v="416-13-5917"/>
    <x v="1"/>
    <x v="1"/>
    <s v="Normal"/>
    <s v="Female"/>
    <x v="4"/>
    <n v="97.03"/>
    <n v="5"/>
    <n v="24.2575"/>
    <n v="509.40750000000003"/>
    <x v="74"/>
    <x v="75"/>
    <x v="0"/>
    <n v="485.15"/>
    <n v="4.7619047620000003"/>
    <n v="24.2575"/>
    <n v="9.3000000000000007"/>
  </r>
  <r>
    <s v="150-89-8043"/>
    <x v="0"/>
    <x v="0"/>
    <s v="Normal"/>
    <s v="Male"/>
    <x v="3"/>
    <n v="44.65"/>
    <n v="3"/>
    <n v="6.6974999999999998"/>
    <n v="140.64750000000001"/>
    <x v="44"/>
    <x v="278"/>
    <x v="1"/>
    <n v="133.94999999999999"/>
    <n v="4.7619047620000003"/>
    <n v="6.6974999999999998"/>
    <n v="6.2"/>
  </r>
  <r>
    <s v="135-84-8019"/>
    <x v="0"/>
    <x v="0"/>
    <s v="Normal"/>
    <s v="Female"/>
    <x v="5"/>
    <n v="77.930000000000007"/>
    <n v="9"/>
    <n v="35.0685"/>
    <n v="736.43849999999998"/>
    <x v="33"/>
    <x v="279"/>
    <x v="0"/>
    <n v="701.37"/>
    <n v="4.7619047620000003"/>
    <n v="35.0685"/>
    <n v="7.6"/>
  </r>
  <r>
    <s v="441-94-7118"/>
    <x v="0"/>
    <x v="0"/>
    <s v="Member"/>
    <s v="Male"/>
    <x v="1"/>
    <n v="71.95"/>
    <n v="1"/>
    <n v="3.5975000000000001"/>
    <n v="75.547499999999999"/>
    <x v="87"/>
    <x v="280"/>
    <x v="1"/>
    <n v="71.95"/>
    <n v="4.7619047620000003"/>
    <n v="3.5975000000000001"/>
    <n v="7.3"/>
  </r>
  <r>
    <s v="725-96-3778"/>
    <x v="1"/>
    <x v="1"/>
    <s v="Member"/>
    <s v="Female"/>
    <x v="2"/>
    <n v="89.25"/>
    <n v="8"/>
    <n v="35.700000000000003"/>
    <n v="749.7"/>
    <x v="40"/>
    <x v="173"/>
    <x v="1"/>
    <n v="714"/>
    <n v="4.7619047620000003"/>
    <n v="35.700000000000003"/>
    <n v="4.7"/>
  </r>
  <r>
    <s v="531-80-1784"/>
    <x v="0"/>
    <x v="0"/>
    <s v="Normal"/>
    <s v="Male"/>
    <x v="1"/>
    <n v="26.02"/>
    <n v="7"/>
    <n v="9.1069999999999993"/>
    <n v="191.24700000000001"/>
    <x v="61"/>
    <x v="180"/>
    <x v="1"/>
    <n v="182.14"/>
    <n v="4.7619047620000003"/>
    <n v="9.1069999999999993"/>
    <n v="5.0999999999999996"/>
  </r>
  <r>
    <s v="400-45-1220"/>
    <x v="2"/>
    <x v="2"/>
    <s v="Normal"/>
    <s v="Female"/>
    <x v="0"/>
    <n v="13.5"/>
    <n v="10"/>
    <n v="6.75"/>
    <n v="141.75"/>
    <x v="33"/>
    <x v="281"/>
    <x v="2"/>
    <n v="135"/>
    <n v="4.7619047620000003"/>
    <n v="6.75"/>
    <n v="4.8"/>
  </r>
  <r>
    <s v="860-79-0874"/>
    <x v="1"/>
    <x v="1"/>
    <s v="Member"/>
    <s v="Female"/>
    <x v="5"/>
    <n v="99.3"/>
    <n v="10"/>
    <n v="49.65"/>
    <n v="1042.6500000000001"/>
    <x v="42"/>
    <x v="222"/>
    <x v="2"/>
    <n v="993"/>
    <n v="4.7619047620000003"/>
    <n v="49.65"/>
    <n v="6.6"/>
  </r>
  <r>
    <s v="834-61-8124"/>
    <x v="0"/>
    <x v="0"/>
    <s v="Normal"/>
    <s v="Male"/>
    <x v="1"/>
    <n v="51.69"/>
    <n v="7"/>
    <n v="18.0915"/>
    <n v="379.92149999999998"/>
    <x v="53"/>
    <x v="282"/>
    <x v="1"/>
    <n v="361.83"/>
    <n v="4.7619047620000003"/>
    <n v="18.0915"/>
    <n v="5.5"/>
  </r>
  <r>
    <s v="115-99-4379"/>
    <x v="2"/>
    <x v="2"/>
    <s v="Member"/>
    <s v="Female"/>
    <x v="5"/>
    <n v="54.73"/>
    <n v="7"/>
    <n v="19.1555"/>
    <n v="402.26549999999997"/>
    <x v="86"/>
    <x v="283"/>
    <x v="2"/>
    <n v="383.11"/>
    <n v="4.7619047620000003"/>
    <n v="19.1555"/>
    <n v="8.5"/>
  </r>
  <r>
    <s v="565-67-6697"/>
    <x v="2"/>
    <x v="2"/>
    <s v="Member"/>
    <s v="Male"/>
    <x v="2"/>
    <n v="27"/>
    <n v="9"/>
    <n v="12.15"/>
    <n v="255.15"/>
    <x v="22"/>
    <x v="249"/>
    <x v="1"/>
    <n v="243"/>
    <n v="4.7619047620000003"/>
    <n v="12.15"/>
    <n v="4.8"/>
  </r>
  <r>
    <s v="320-49-6392"/>
    <x v="1"/>
    <x v="1"/>
    <s v="Normal"/>
    <s v="Female"/>
    <x v="1"/>
    <n v="30.24"/>
    <n v="1"/>
    <n v="1.512"/>
    <n v="31.751999999999999"/>
    <x v="31"/>
    <x v="284"/>
    <x v="1"/>
    <n v="30.24"/>
    <n v="4.7619047620000003"/>
    <n v="1.512"/>
    <n v="8.4"/>
  </r>
  <r>
    <s v="889-04-9723"/>
    <x v="2"/>
    <x v="2"/>
    <s v="Member"/>
    <s v="Female"/>
    <x v="4"/>
    <n v="89.14"/>
    <n v="4"/>
    <n v="17.827999999999999"/>
    <n v="374.38799999999998"/>
    <x v="27"/>
    <x v="22"/>
    <x v="2"/>
    <n v="356.56"/>
    <n v="4.7619047620000003"/>
    <n v="17.827999999999999"/>
    <n v="7.8"/>
  </r>
  <r>
    <s v="632-90-0281"/>
    <x v="1"/>
    <x v="1"/>
    <s v="Normal"/>
    <s v="Female"/>
    <x v="5"/>
    <n v="37.549999999999997"/>
    <n v="10"/>
    <n v="18.774999999999999"/>
    <n v="394.27499999999998"/>
    <x v="1"/>
    <x v="285"/>
    <x v="2"/>
    <n v="375.5"/>
    <n v="4.7619047620000003"/>
    <n v="18.774999999999999"/>
    <n v="9.3000000000000007"/>
  </r>
  <r>
    <s v="554-42-2417"/>
    <x v="1"/>
    <x v="1"/>
    <s v="Normal"/>
    <s v="Female"/>
    <x v="3"/>
    <n v="95.44"/>
    <n v="10"/>
    <n v="47.72"/>
    <n v="1002.12"/>
    <x v="51"/>
    <x v="286"/>
    <x v="1"/>
    <n v="954.4"/>
    <n v="4.7619047620000003"/>
    <n v="47.72"/>
    <n v="5.2"/>
  </r>
  <r>
    <s v="453-63-6187"/>
    <x v="2"/>
    <x v="2"/>
    <s v="Normal"/>
    <s v="Male"/>
    <x v="1"/>
    <n v="27.5"/>
    <n v="3"/>
    <n v="4.125"/>
    <n v="86.625"/>
    <x v="59"/>
    <x v="287"/>
    <x v="0"/>
    <n v="82.5"/>
    <n v="4.7619047620000003"/>
    <n v="4.125"/>
    <n v="6.5"/>
  </r>
  <r>
    <s v="578-80-7669"/>
    <x v="2"/>
    <x v="2"/>
    <s v="Normal"/>
    <s v="Male"/>
    <x v="3"/>
    <n v="74.97"/>
    <n v="1"/>
    <n v="3.7484999999999999"/>
    <n v="78.718500000000006"/>
    <x v="32"/>
    <x v="288"/>
    <x v="1"/>
    <n v="74.97"/>
    <n v="4.7619047620000003"/>
    <n v="3.7484999999999999"/>
    <n v="5.6"/>
  </r>
  <r>
    <s v="612-36-5536"/>
    <x v="0"/>
    <x v="0"/>
    <s v="Member"/>
    <s v="Male"/>
    <x v="4"/>
    <n v="80.959999999999994"/>
    <n v="8"/>
    <n v="32.384"/>
    <n v="680.06399999999996"/>
    <x v="21"/>
    <x v="289"/>
    <x v="2"/>
    <n v="647.67999999999995"/>
    <n v="4.7619047620000003"/>
    <n v="32.384"/>
    <n v="7.4"/>
  </r>
  <r>
    <s v="605-72-4132"/>
    <x v="1"/>
    <x v="1"/>
    <s v="Normal"/>
    <s v="Female"/>
    <x v="4"/>
    <n v="94.47"/>
    <n v="8"/>
    <n v="37.787999999999997"/>
    <n v="793.548"/>
    <x v="33"/>
    <x v="290"/>
    <x v="1"/>
    <n v="755.76"/>
    <n v="4.7619047620000003"/>
    <n v="37.787999999999997"/>
    <n v="9.1"/>
  </r>
  <r>
    <s v="471-41-2823"/>
    <x v="1"/>
    <x v="1"/>
    <s v="Normal"/>
    <s v="Male"/>
    <x v="4"/>
    <n v="99.79"/>
    <n v="2"/>
    <n v="9.9789999999999992"/>
    <n v="209.559"/>
    <x v="37"/>
    <x v="291"/>
    <x v="0"/>
    <n v="199.58"/>
    <n v="4.7619047620000003"/>
    <n v="9.9789999999999992"/>
    <n v="8"/>
  </r>
  <r>
    <s v="462-67-9126"/>
    <x v="0"/>
    <x v="0"/>
    <s v="Normal"/>
    <s v="Male"/>
    <x v="2"/>
    <n v="73.22"/>
    <n v="6"/>
    <n v="21.966000000000001"/>
    <n v="461.286"/>
    <x v="18"/>
    <x v="292"/>
    <x v="1"/>
    <n v="439.32"/>
    <n v="4.7619047620000003"/>
    <n v="21.966000000000001"/>
    <n v="7.2"/>
  </r>
  <r>
    <s v="272-27-9238"/>
    <x v="1"/>
    <x v="1"/>
    <s v="Normal"/>
    <s v="Female"/>
    <x v="4"/>
    <n v="41.24"/>
    <n v="4"/>
    <n v="8.2479999999999993"/>
    <n v="173.208"/>
    <x v="88"/>
    <x v="293"/>
    <x v="1"/>
    <n v="164.96"/>
    <n v="4.7619047620000003"/>
    <n v="8.2479999999999993"/>
    <n v="7.1"/>
  </r>
  <r>
    <s v="834-25-9262"/>
    <x v="1"/>
    <x v="1"/>
    <s v="Normal"/>
    <s v="Female"/>
    <x v="5"/>
    <n v="81.680000000000007"/>
    <n v="4"/>
    <n v="16.335999999999999"/>
    <n v="343.05599999999998"/>
    <x v="47"/>
    <x v="294"/>
    <x v="1"/>
    <n v="326.72000000000003"/>
    <n v="4.7619047620000003"/>
    <n v="16.335999999999999"/>
    <n v="9.1"/>
  </r>
  <r>
    <s v="122-61-9553"/>
    <x v="1"/>
    <x v="1"/>
    <s v="Normal"/>
    <s v="Female"/>
    <x v="1"/>
    <n v="51.32"/>
    <n v="9"/>
    <n v="23.094000000000001"/>
    <n v="484.97399999999999"/>
    <x v="86"/>
    <x v="295"/>
    <x v="1"/>
    <n v="461.88"/>
    <n v="4.7619047620000003"/>
    <n v="23.094000000000001"/>
    <n v="5.6"/>
  </r>
  <r>
    <s v="468-88-0009"/>
    <x v="0"/>
    <x v="0"/>
    <s v="Member"/>
    <s v="Male"/>
    <x v="2"/>
    <n v="65.94"/>
    <n v="4"/>
    <n v="13.188000000000001"/>
    <n v="276.94799999999998"/>
    <x v="62"/>
    <x v="1"/>
    <x v="1"/>
    <n v="263.76"/>
    <n v="4.7619047620000003"/>
    <n v="13.188000000000001"/>
    <n v="6"/>
  </r>
  <r>
    <s v="613-59-9758"/>
    <x v="1"/>
    <x v="1"/>
    <s v="Normal"/>
    <s v="Female"/>
    <x v="3"/>
    <n v="14.36"/>
    <n v="10"/>
    <n v="7.18"/>
    <n v="150.78"/>
    <x v="3"/>
    <x v="296"/>
    <x v="1"/>
    <n v="143.6"/>
    <n v="4.7619047620000003"/>
    <n v="7.18"/>
    <n v="5.4"/>
  </r>
  <r>
    <s v="254-31-0042"/>
    <x v="0"/>
    <x v="0"/>
    <s v="Member"/>
    <s v="Male"/>
    <x v="1"/>
    <n v="21.5"/>
    <n v="9"/>
    <n v="9.6750000000000007"/>
    <n v="203.17500000000001"/>
    <x v="43"/>
    <x v="69"/>
    <x v="2"/>
    <n v="193.5"/>
    <n v="4.7619047620000003"/>
    <n v="9.6750000000000007"/>
    <n v="7.8"/>
  </r>
  <r>
    <s v="201-86-2184"/>
    <x v="2"/>
    <x v="2"/>
    <s v="Member"/>
    <s v="Female"/>
    <x v="1"/>
    <n v="26.26"/>
    <n v="7"/>
    <n v="9.1910000000000007"/>
    <n v="193.011"/>
    <x v="30"/>
    <x v="138"/>
    <x v="1"/>
    <n v="183.82"/>
    <n v="4.7619047620000003"/>
    <n v="9.1910000000000007"/>
    <n v="9.9"/>
  </r>
  <r>
    <s v="261-12-8671"/>
    <x v="2"/>
    <x v="2"/>
    <s v="Normal"/>
    <s v="Female"/>
    <x v="5"/>
    <n v="60.96"/>
    <n v="2"/>
    <n v="6.0960000000000001"/>
    <n v="128.01599999999999"/>
    <x v="25"/>
    <x v="30"/>
    <x v="2"/>
    <n v="121.92"/>
    <n v="4.7619047620000003"/>
    <n v="6.0960000000000001"/>
    <n v="4.9000000000000004"/>
  </r>
  <r>
    <s v="730-70-9830"/>
    <x v="1"/>
    <x v="1"/>
    <s v="Normal"/>
    <s v="Female"/>
    <x v="2"/>
    <n v="70.11"/>
    <n v="6"/>
    <n v="21.033000000000001"/>
    <n v="441.69299999999998"/>
    <x v="86"/>
    <x v="297"/>
    <x v="0"/>
    <n v="420.66"/>
    <n v="4.7619047620000003"/>
    <n v="21.033000000000001"/>
    <n v="5.2"/>
  </r>
  <r>
    <s v="382-25-8917"/>
    <x v="1"/>
    <x v="1"/>
    <s v="Normal"/>
    <s v="Male"/>
    <x v="5"/>
    <n v="42.08"/>
    <n v="6"/>
    <n v="12.624000000000001"/>
    <n v="265.10399999999998"/>
    <x v="71"/>
    <x v="298"/>
    <x v="1"/>
    <n v="252.48"/>
    <n v="4.7619047620000003"/>
    <n v="12.624000000000001"/>
    <n v="8.9"/>
  </r>
  <r>
    <s v="422-29-8786"/>
    <x v="0"/>
    <x v="0"/>
    <s v="Normal"/>
    <s v="Female"/>
    <x v="2"/>
    <n v="67.09"/>
    <n v="5"/>
    <n v="16.772500000000001"/>
    <n v="352.22250000000003"/>
    <x v="75"/>
    <x v="157"/>
    <x v="2"/>
    <n v="335.45"/>
    <n v="4.7619047620000003"/>
    <n v="16.772500000000001"/>
    <n v="9.1"/>
  </r>
  <r>
    <s v="667-23-5919"/>
    <x v="0"/>
    <x v="0"/>
    <s v="Member"/>
    <s v="Female"/>
    <x v="5"/>
    <n v="96.7"/>
    <n v="5"/>
    <n v="24.175000000000001"/>
    <n v="507.67500000000001"/>
    <x v="78"/>
    <x v="299"/>
    <x v="0"/>
    <n v="483.5"/>
    <n v="4.7619047620000003"/>
    <n v="24.175000000000001"/>
    <n v="7"/>
  </r>
  <r>
    <s v="843-01-4703"/>
    <x v="2"/>
    <x v="2"/>
    <s v="Member"/>
    <s v="Female"/>
    <x v="2"/>
    <n v="35.380000000000003"/>
    <n v="9"/>
    <n v="15.920999999999999"/>
    <n v="334.34100000000001"/>
    <x v="0"/>
    <x v="300"/>
    <x v="2"/>
    <n v="318.42"/>
    <n v="4.7619047620000003"/>
    <n v="15.920999999999999"/>
    <n v="9.6"/>
  </r>
  <r>
    <s v="743-88-1662"/>
    <x v="1"/>
    <x v="1"/>
    <s v="Normal"/>
    <s v="Male"/>
    <x v="3"/>
    <n v="95.49"/>
    <n v="7"/>
    <n v="33.421500000000002"/>
    <n v="701.85149999999999"/>
    <x v="70"/>
    <x v="70"/>
    <x v="0"/>
    <n v="668.43"/>
    <n v="4.7619047620000003"/>
    <n v="33.421500000000002"/>
    <n v="8.6999999999999993"/>
  </r>
  <r>
    <s v="595-86-2894"/>
    <x v="1"/>
    <x v="1"/>
    <s v="Member"/>
    <s v="Male"/>
    <x v="5"/>
    <n v="96.98"/>
    <n v="4"/>
    <n v="19.396000000000001"/>
    <n v="407.31599999999997"/>
    <x v="10"/>
    <x v="244"/>
    <x v="0"/>
    <n v="387.92"/>
    <n v="4.7619047620000003"/>
    <n v="19.396000000000001"/>
    <n v="9.4"/>
  </r>
  <r>
    <s v="182-69-8360"/>
    <x v="2"/>
    <x v="2"/>
    <s v="Normal"/>
    <s v="Female"/>
    <x v="1"/>
    <n v="23.65"/>
    <n v="4"/>
    <n v="4.7300000000000004"/>
    <n v="99.33"/>
    <x v="74"/>
    <x v="147"/>
    <x v="2"/>
    <n v="94.6"/>
    <n v="4.7619047620000003"/>
    <n v="4.7300000000000004"/>
    <n v="4"/>
  </r>
  <r>
    <s v="289-15-7034"/>
    <x v="0"/>
    <x v="0"/>
    <s v="Member"/>
    <s v="Male"/>
    <x v="3"/>
    <n v="82.33"/>
    <n v="4"/>
    <n v="16.466000000000001"/>
    <n v="345.786"/>
    <x v="83"/>
    <x v="4"/>
    <x v="2"/>
    <n v="329.32"/>
    <n v="4.7619047620000003"/>
    <n v="16.466000000000001"/>
    <n v="7.5"/>
  </r>
  <r>
    <s v="462-78-5240"/>
    <x v="1"/>
    <x v="1"/>
    <s v="Normal"/>
    <s v="Female"/>
    <x v="1"/>
    <n v="26.61"/>
    <n v="2"/>
    <n v="2.661"/>
    <n v="55.881"/>
    <x v="35"/>
    <x v="63"/>
    <x v="1"/>
    <n v="53.22"/>
    <n v="4.7619047620000003"/>
    <n v="2.661"/>
    <n v="4.2"/>
  </r>
  <r>
    <s v="868-52-7573"/>
    <x v="2"/>
    <x v="2"/>
    <s v="Normal"/>
    <s v="Female"/>
    <x v="4"/>
    <n v="99.69"/>
    <n v="5"/>
    <n v="24.922499999999999"/>
    <n v="523.37249999999995"/>
    <x v="78"/>
    <x v="87"/>
    <x v="1"/>
    <n v="498.45"/>
    <n v="4.7619047620000003"/>
    <n v="24.922499999999999"/>
    <n v="9.9"/>
  </r>
  <r>
    <s v="153-58-4872"/>
    <x v="1"/>
    <x v="1"/>
    <s v="Member"/>
    <s v="Female"/>
    <x v="4"/>
    <n v="74.89"/>
    <n v="4"/>
    <n v="14.978"/>
    <n v="314.53800000000001"/>
    <x v="59"/>
    <x v="301"/>
    <x v="0"/>
    <n v="299.56"/>
    <n v="4.7619047620000003"/>
    <n v="14.978"/>
    <n v="4.2"/>
  </r>
  <r>
    <s v="662-72-2873"/>
    <x v="0"/>
    <x v="0"/>
    <s v="Normal"/>
    <s v="Female"/>
    <x v="4"/>
    <n v="40.94"/>
    <n v="5"/>
    <n v="10.234999999999999"/>
    <n v="214.935"/>
    <x v="47"/>
    <x v="139"/>
    <x v="0"/>
    <n v="204.7"/>
    <n v="4.7619047620000003"/>
    <n v="10.234999999999999"/>
    <n v="9.9"/>
  </r>
  <r>
    <s v="525-88-7307"/>
    <x v="2"/>
    <x v="2"/>
    <s v="Member"/>
    <s v="Male"/>
    <x v="3"/>
    <n v="75.819999999999993"/>
    <n v="1"/>
    <n v="3.7909999999999999"/>
    <n v="79.611000000000004"/>
    <x v="82"/>
    <x v="302"/>
    <x v="1"/>
    <n v="75.819999999999993"/>
    <n v="4.7619047620000003"/>
    <n v="3.7909999999999999"/>
    <n v="5.8"/>
  </r>
  <r>
    <s v="689-16-9784"/>
    <x v="1"/>
    <x v="1"/>
    <s v="Normal"/>
    <s v="Male"/>
    <x v="4"/>
    <n v="46.77"/>
    <n v="6"/>
    <n v="14.031000000000001"/>
    <n v="294.65100000000001"/>
    <x v="16"/>
    <x v="303"/>
    <x v="1"/>
    <n v="280.62"/>
    <n v="4.7619047620000003"/>
    <n v="14.031000000000001"/>
    <n v="6"/>
  </r>
  <r>
    <s v="725-56-0833"/>
    <x v="0"/>
    <x v="0"/>
    <s v="Normal"/>
    <s v="Female"/>
    <x v="0"/>
    <n v="32.32"/>
    <n v="10"/>
    <n v="16.16"/>
    <n v="339.36"/>
    <x v="9"/>
    <x v="208"/>
    <x v="2"/>
    <n v="323.2"/>
    <n v="4.7619047620000003"/>
    <n v="16.16"/>
    <n v="10"/>
  </r>
  <r>
    <s v="394-41-0748"/>
    <x v="1"/>
    <x v="1"/>
    <s v="Member"/>
    <s v="Female"/>
    <x v="5"/>
    <n v="54.07"/>
    <n v="9"/>
    <n v="24.331499999999998"/>
    <n v="510.9615"/>
    <x v="3"/>
    <x v="304"/>
    <x v="0"/>
    <n v="486.63"/>
    <n v="4.7619047620000003"/>
    <n v="24.331499999999998"/>
    <n v="9.5"/>
  </r>
  <r>
    <s v="596-42-3999"/>
    <x v="2"/>
    <x v="2"/>
    <s v="Normal"/>
    <s v="Male"/>
    <x v="4"/>
    <n v="18.22"/>
    <n v="7"/>
    <n v="6.3769999999999998"/>
    <n v="133.917"/>
    <x v="24"/>
    <x v="214"/>
    <x v="2"/>
    <n v="127.54"/>
    <n v="4.7619047620000003"/>
    <n v="6.3769999999999998"/>
    <n v="6.6"/>
  </r>
  <r>
    <s v="541-89-9860"/>
    <x v="1"/>
    <x v="1"/>
    <s v="Member"/>
    <s v="Female"/>
    <x v="5"/>
    <n v="80.48"/>
    <n v="3"/>
    <n v="12.071999999999999"/>
    <n v="253.512"/>
    <x v="42"/>
    <x v="305"/>
    <x v="1"/>
    <n v="241.44"/>
    <n v="4.7619047620000003"/>
    <n v="12.071999999999999"/>
    <n v="8.1"/>
  </r>
  <r>
    <s v="173-82-9529"/>
    <x v="2"/>
    <x v="2"/>
    <s v="Normal"/>
    <s v="Female"/>
    <x v="5"/>
    <n v="37.950000000000003"/>
    <n v="10"/>
    <n v="18.975000000000001"/>
    <n v="398.47500000000002"/>
    <x v="53"/>
    <x v="178"/>
    <x v="1"/>
    <n v="379.5"/>
    <n v="4.7619047620000003"/>
    <n v="18.975000000000001"/>
    <n v="9.6999999999999993"/>
  </r>
  <r>
    <s v="563-36-9814"/>
    <x v="0"/>
    <x v="0"/>
    <s v="Member"/>
    <s v="Male"/>
    <x v="1"/>
    <n v="76.819999999999993"/>
    <n v="1"/>
    <n v="3.8410000000000002"/>
    <n v="80.661000000000001"/>
    <x v="77"/>
    <x v="185"/>
    <x v="0"/>
    <n v="76.819999999999993"/>
    <n v="4.7619047620000003"/>
    <n v="3.8410000000000002"/>
    <n v="7.2"/>
  </r>
  <r>
    <s v="308-47-4913"/>
    <x v="0"/>
    <x v="0"/>
    <s v="Member"/>
    <s v="Female"/>
    <x v="3"/>
    <n v="52.26"/>
    <n v="10"/>
    <n v="26.13"/>
    <n v="548.73"/>
    <x v="11"/>
    <x v="47"/>
    <x v="2"/>
    <n v="522.6"/>
    <n v="4.7619047620000003"/>
    <n v="26.13"/>
    <n v="6.2"/>
  </r>
  <r>
    <s v="885-17-6250"/>
    <x v="0"/>
    <x v="0"/>
    <s v="Normal"/>
    <s v="Female"/>
    <x v="0"/>
    <n v="79.739999999999995"/>
    <n v="1"/>
    <n v="3.9870000000000001"/>
    <n v="83.727000000000004"/>
    <x v="43"/>
    <x v="130"/>
    <x v="0"/>
    <n v="79.739999999999995"/>
    <n v="4.7619047620000003"/>
    <n v="3.9870000000000001"/>
    <n v="7.3"/>
  </r>
  <r>
    <s v="726-27-2396"/>
    <x v="0"/>
    <x v="0"/>
    <s v="Normal"/>
    <s v="Female"/>
    <x v="0"/>
    <n v="77.5"/>
    <n v="5"/>
    <n v="19.375"/>
    <n v="406.875"/>
    <x v="46"/>
    <x v="58"/>
    <x v="0"/>
    <n v="387.5"/>
    <n v="4.7619047620000003"/>
    <n v="19.375"/>
    <n v="4.3"/>
  </r>
  <r>
    <s v="316-01-3952"/>
    <x v="0"/>
    <x v="0"/>
    <s v="Normal"/>
    <s v="Female"/>
    <x v="4"/>
    <n v="54.27"/>
    <n v="5"/>
    <n v="13.567500000000001"/>
    <n v="284.91750000000002"/>
    <x v="45"/>
    <x v="249"/>
    <x v="0"/>
    <n v="271.35000000000002"/>
    <n v="4.7619047620000003"/>
    <n v="13.567500000000001"/>
    <n v="4.5999999999999996"/>
  </r>
  <r>
    <s v="760-54-1821"/>
    <x v="2"/>
    <x v="2"/>
    <s v="Normal"/>
    <s v="Male"/>
    <x v="2"/>
    <n v="13.59"/>
    <n v="9"/>
    <n v="6.1154999999999999"/>
    <n v="128.4255"/>
    <x v="20"/>
    <x v="306"/>
    <x v="1"/>
    <n v="122.31"/>
    <n v="4.7619047620000003"/>
    <n v="6.1154999999999999"/>
    <n v="5.8"/>
  </r>
  <r>
    <s v="793-10-3222"/>
    <x v="2"/>
    <x v="2"/>
    <s v="Member"/>
    <s v="Female"/>
    <x v="0"/>
    <n v="41.06"/>
    <n v="6"/>
    <n v="12.318"/>
    <n v="258.678"/>
    <x v="19"/>
    <x v="241"/>
    <x v="2"/>
    <n v="246.36"/>
    <n v="4.7619047620000003"/>
    <n v="12.318"/>
    <n v="8.3000000000000007"/>
  </r>
  <r>
    <s v="346-12-3257"/>
    <x v="2"/>
    <x v="2"/>
    <s v="Member"/>
    <s v="Male"/>
    <x v="1"/>
    <n v="19.239999999999998"/>
    <n v="9"/>
    <n v="8.6579999999999995"/>
    <n v="181.81800000000001"/>
    <x v="31"/>
    <x v="235"/>
    <x v="1"/>
    <n v="173.16"/>
    <n v="4.7619047620000003"/>
    <n v="8.6579999999999995"/>
    <n v="8"/>
  </r>
  <r>
    <s v="110-05-6330"/>
    <x v="1"/>
    <x v="1"/>
    <s v="Normal"/>
    <s v="Female"/>
    <x v="4"/>
    <n v="39.43"/>
    <n v="6"/>
    <n v="11.829000000000001"/>
    <n v="248.40899999999999"/>
    <x v="5"/>
    <x v="307"/>
    <x v="2"/>
    <n v="236.58"/>
    <n v="4.7619047620000003"/>
    <n v="11.829000000000001"/>
    <n v="9.4"/>
  </r>
  <r>
    <s v="651-61-0874"/>
    <x v="1"/>
    <x v="1"/>
    <s v="Normal"/>
    <s v="Male"/>
    <x v="2"/>
    <n v="46.22"/>
    <n v="4"/>
    <n v="9.2439999999999998"/>
    <n v="194.124"/>
    <x v="41"/>
    <x v="308"/>
    <x v="2"/>
    <n v="184.88"/>
    <n v="4.7619047620000003"/>
    <n v="9.2439999999999998"/>
    <n v="6.2"/>
  </r>
  <r>
    <s v="236-86-3015"/>
    <x v="1"/>
    <x v="1"/>
    <s v="Member"/>
    <s v="Male"/>
    <x v="2"/>
    <n v="13.98"/>
    <n v="1"/>
    <n v="0.69899999999999995"/>
    <n v="14.679"/>
    <x v="87"/>
    <x v="309"/>
    <x v="0"/>
    <n v="13.98"/>
    <n v="4.7619047620000003"/>
    <n v="0.69899999999999995"/>
    <n v="9.8000000000000007"/>
  </r>
  <r>
    <s v="831-64-0259"/>
    <x v="2"/>
    <x v="2"/>
    <s v="Normal"/>
    <s v="Female"/>
    <x v="5"/>
    <n v="39.75"/>
    <n v="5"/>
    <n v="9.9375"/>
    <n v="208.6875"/>
    <x v="70"/>
    <x v="100"/>
    <x v="0"/>
    <n v="198.75"/>
    <n v="4.7619047620000003"/>
    <n v="9.9375"/>
    <n v="9.6"/>
  </r>
  <r>
    <s v="587-03-7455"/>
    <x v="1"/>
    <x v="1"/>
    <s v="Member"/>
    <s v="Female"/>
    <x v="5"/>
    <n v="97.79"/>
    <n v="7"/>
    <n v="34.226500000000001"/>
    <n v="718.75649999999996"/>
    <x v="69"/>
    <x v="310"/>
    <x v="0"/>
    <n v="684.53"/>
    <n v="4.7619047620000003"/>
    <n v="34.226500000000001"/>
    <n v="4.9000000000000004"/>
  </r>
  <r>
    <s v="882-40-4577"/>
    <x v="0"/>
    <x v="0"/>
    <s v="Member"/>
    <s v="Male"/>
    <x v="3"/>
    <n v="67.260000000000005"/>
    <n v="4"/>
    <n v="13.452"/>
    <n v="282.49200000000002"/>
    <x v="64"/>
    <x v="311"/>
    <x v="2"/>
    <n v="269.04000000000002"/>
    <n v="4.7619047620000003"/>
    <n v="13.452"/>
    <n v="8"/>
  </r>
  <r>
    <s v="732-67-5346"/>
    <x v="0"/>
    <x v="0"/>
    <s v="Normal"/>
    <s v="Male"/>
    <x v="4"/>
    <n v="13.79"/>
    <n v="5"/>
    <n v="3.4474999999999998"/>
    <n v="72.397499999999994"/>
    <x v="83"/>
    <x v="312"/>
    <x v="2"/>
    <n v="68.95"/>
    <n v="4.7619047620000003"/>
    <n v="3.4474999999999998"/>
    <n v="7.8"/>
  </r>
  <r>
    <s v="725-32-9708"/>
    <x v="2"/>
    <x v="2"/>
    <s v="Member"/>
    <s v="Female"/>
    <x v="5"/>
    <n v="68.709999999999994"/>
    <n v="4"/>
    <n v="13.742000000000001"/>
    <n v="288.58199999999999"/>
    <x v="72"/>
    <x v="54"/>
    <x v="1"/>
    <n v="274.83999999999997"/>
    <n v="4.7619047620000003"/>
    <n v="13.742000000000001"/>
    <n v="4.0999999999999996"/>
  </r>
  <r>
    <s v="256-08-8343"/>
    <x v="0"/>
    <x v="0"/>
    <s v="Normal"/>
    <s v="Female"/>
    <x v="2"/>
    <n v="56.53"/>
    <n v="4"/>
    <n v="11.305999999999999"/>
    <n v="237.42599999999999"/>
    <x v="31"/>
    <x v="28"/>
    <x v="0"/>
    <n v="226.12"/>
    <n v="4.7619047620000003"/>
    <n v="11.305999999999999"/>
    <n v="5.5"/>
  </r>
  <r>
    <s v="372-26-1506"/>
    <x v="1"/>
    <x v="1"/>
    <s v="Normal"/>
    <s v="Female"/>
    <x v="5"/>
    <n v="23.82"/>
    <n v="5"/>
    <n v="5.9550000000000001"/>
    <n v="125.05500000000001"/>
    <x v="26"/>
    <x v="225"/>
    <x v="0"/>
    <n v="119.1"/>
    <n v="4.7619047620000003"/>
    <n v="5.9550000000000001"/>
    <n v="5.4"/>
  </r>
  <r>
    <s v="244-08-0162"/>
    <x v="2"/>
    <x v="2"/>
    <s v="Normal"/>
    <s v="Female"/>
    <x v="0"/>
    <n v="34.21"/>
    <n v="10"/>
    <n v="17.105"/>
    <n v="359.20499999999998"/>
    <x v="56"/>
    <x v="127"/>
    <x v="1"/>
    <n v="342.1"/>
    <n v="4.7619047620000003"/>
    <n v="17.105"/>
    <n v="5.0999999999999996"/>
  </r>
  <r>
    <s v="569-71-4390"/>
    <x v="2"/>
    <x v="2"/>
    <s v="Normal"/>
    <s v="Male"/>
    <x v="3"/>
    <n v="21.87"/>
    <n v="2"/>
    <n v="2.1869999999999998"/>
    <n v="45.927"/>
    <x v="25"/>
    <x v="194"/>
    <x v="0"/>
    <n v="43.74"/>
    <n v="4.7619047620000003"/>
    <n v="2.1869999999999998"/>
    <n v="6.9"/>
  </r>
  <r>
    <s v="132-23-6451"/>
    <x v="0"/>
    <x v="0"/>
    <s v="Member"/>
    <s v="Male"/>
    <x v="0"/>
    <n v="20.97"/>
    <n v="5"/>
    <n v="5.2424999999999997"/>
    <n v="110.0925"/>
    <x v="72"/>
    <x v="265"/>
    <x v="1"/>
    <n v="104.85"/>
    <n v="4.7619047620000003"/>
    <n v="5.2424999999999997"/>
    <n v="7.8"/>
  </r>
  <r>
    <s v="696-90-2548"/>
    <x v="0"/>
    <x v="0"/>
    <s v="Normal"/>
    <s v="Male"/>
    <x v="3"/>
    <n v="25.84"/>
    <n v="3"/>
    <n v="3.8759999999999999"/>
    <n v="81.396000000000001"/>
    <x v="24"/>
    <x v="313"/>
    <x v="0"/>
    <n v="77.52"/>
    <n v="4.7619047620000003"/>
    <n v="3.8759999999999999"/>
    <n v="6.6"/>
  </r>
  <r>
    <s v="472-15-9636"/>
    <x v="0"/>
    <x v="0"/>
    <s v="Normal"/>
    <s v="Male"/>
    <x v="2"/>
    <n v="50.93"/>
    <n v="8"/>
    <n v="20.372"/>
    <n v="427.81200000000001"/>
    <x v="23"/>
    <x v="314"/>
    <x v="0"/>
    <n v="407.44"/>
    <n v="4.7619047620000003"/>
    <n v="20.372"/>
    <n v="9.1999999999999993"/>
  </r>
  <r>
    <s v="268-03-6164"/>
    <x v="2"/>
    <x v="2"/>
    <s v="Normal"/>
    <s v="Male"/>
    <x v="0"/>
    <n v="96.11"/>
    <n v="1"/>
    <n v="4.8055000000000003"/>
    <n v="100.91549999999999"/>
    <x v="25"/>
    <x v="235"/>
    <x v="0"/>
    <n v="96.11"/>
    <n v="4.7619047620000003"/>
    <n v="4.8055000000000003"/>
    <n v="7.8"/>
  </r>
  <r>
    <s v="750-57-9686"/>
    <x v="1"/>
    <x v="1"/>
    <s v="Normal"/>
    <s v="Female"/>
    <x v="2"/>
    <n v="45.38"/>
    <n v="4"/>
    <n v="9.0760000000000005"/>
    <n v="190.596"/>
    <x v="66"/>
    <x v="128"/>
    <x v="2"/>
    <n v="181.52"/>
    <n v="4.7619047620000003"/>
    <n v="9.0760000000000005"/>
    <n v="8.6999999999999993"/>
  </r>
  <r>
    <s v="186-09-3669"/>
    <x v="1"/>
    <x v="1"/>
    <s v="Member"/>
    <s v="Female"/>
    <x v="0"/>
    <n v="81.510000000000005"/>
    <n v="1"/>
    <n v="4.0754999999999999"/>
    <n v="85.585499999999996"/>
    <x v="49"/>
    <x v="315"/>
    <x v="0"/>
    <n v="81.510000000000005"/>
    <n v="4.7619047620000003"/>
    <n v="4.0754999999999999"/>
    <n v="9.1999999999999993"/>
  </r>
  <r>
    <s v="848-07-1692"/>
    <x v="2"/>
    <x v="2"/>
    <s v="Normal"/>
    <s v="Female"/>
    <x v="0"/>
    <n v="57.22"/>
    <n v="2"/>
    <n v="5.7220000000000004"/>
    <n v="120.16200000000001"/>
    <x v="52"/>
    <x v="316"/>
    <x v="0"/>
    <n v="114.44"/>
    <n v="4.7619047620000003"/>
    <n v="5.7220000000000004"/>
    <n v="8.3000000000000007"/>
  </r>
  <r>
    <s v="745-71-3520"/>
    <x v="0"/>
    <x v="0"/>
    <s v="Member"/>
    <s v="Female"/>
    <x v="1"/>
    <n v="25.22"/>
    <n v="7"/>
    <n v="8.827"/>
    <n v="185.36699999999999"/>
    <x v="87"/>
    <x v="81"/>
    <x v="1"/>
    <n v="176.54"/>
    <n v="4.7619047620000003"/>
    <n v="8.827"/>
    <n v="8.1999999999999993"/>
  </r>
  <r>
    <s v="266-76-6436"/>
    <x v="1"/>
    <x v="1"/>
    <s v="Member"/>
    <s v="Female"/>
    <x v="4"/>
    <n v="38.6"/>
    <n v="3"/>
    <n v="5.79"/>
    <n v="121.59"/>
    <x v="61"/>
    <x v="317"/>
    <x v="0"/>
    <n v="115.8"/>
    <n v="4.7619047620000003"/>
    <n v="5.79"/>
    <n v="7.5"/>
  </r>
  <r>
    <s v="740-22-2500"/>
    <x v="1"/>
    <x v="1"/>
    <s v="Normal"/>
    <s v="Female"/>
    <x v="1"/>
    <n v="84.05"/>
    <n v="3"/>
    <n v="12.6075"/>
    <n v="264.75749999999999"/>
    <x v="54"/>
    <x v="236"/>
    <x v="1"/>
    <n v="252.15"/>
    <n v="4.7619047620000003"/>
    <n v="12.6075"/>
    <n v="9.8000000000000007"/>
  </r>
  <r>
    <s v="271-88-8734"/>
    <x v="1"/>
    <x v="1"/>
    <s v="Member"/>
    <s v="Female"/>
    <x v="5"/>
    <n v="97.21"/>
    <n v="10"/>
    <n v="48.604999999999997"/>
    <n v="1020.705"/>
    <x v="4"/>
    <x v="127"/>
    <x v="2"/>
    <n v="972.1"/>
    <n v="4.7619047620000003"/>
    <n v="48.604999999999997"/>
    <n v="8.6999999999999993"/>
  </r>
  <r>
    <s v="301-81-8610"/>
    <x v="2"/>
    <x v="2"/>
    <s v="Member"/>
    <s v="Male"/>
    <x v="5"/>
    <n v="25.42"/>
    <n v="8"/>
    <n v="10.167999999999999"/>
    <n v="213.52799999999999"/>
    <x v="35"/>
    <x v="144"/>
    <x v="2"/>
    <n v="203.36"/>
    <n v="4.7619047620000003"/>
    <n v="10.167999999999999"/>
    <n v="6.7"/>
  </r>
  <r>
    <s v="489-64-4354"/>
    <x v="1"/>
    <x v="1"/>
    <s v="Normal"/>
    <s v="Male"/>
    <x v="5"/>
    <n v="16.28"/>
    <n v="1"/>
    <n v="0.81399999999999995"/>
    <n v="17.094000000000001"/>
    <x v="11"/>
    <x v="29"/>
    <x v="1"/>
    <n v="16.28"/>
    <n v="4.7619047620000003"/>
    <n v="0.81399999999999995"/>
    <n v="5"/>
  </r>
  <r>
    <s v="198-84-7132"/>
    <x v="2"/>
    <x v="2"/>
    <s v="Member"/>
    <s v="Male"/>
    <x v="5"/>
    <n v="40.61"/>
    <n v="9"/>
    <n v="18.2745"/>
    <n v="383.7645"/>
    <x v="56"/>
    <x v="61"/>
    <x v="1"/>
    <n v="365.49"/>
    <n v="4.7619047620000003"/>
    <n v="18.2745"/>
    <n v="7"/>
  </r>
  <r>
    <s v="269-10-8440"/>
    <x v="0"/>
    <x v="0"/>
    <s v="Member"/>
    <s v="Male"/>
    <x v="0"/>
    <n v="53.17"/>
    <n v="7"/>
    <n v="18.609500000000001"/>
    <n v="390.79950000000002"/>
    <x v="18"/>
    <x v="240"/>
    <x v="1"/>
    <n v="372.19"/>
    <n v="4.7619047620000003"/>
    <n v="18.609500000000001"/>
    <n v="8.9"/>
  </r>
  <r>
    <s v="650-98-6268"/>
    <x v="2"/>
    <x v="2"/>
    <s v="Member"/>
    <s v="Female"/>
    <x v="4"/>
    <n v="20.87"/>
    <n v="3"/>
    <n v="3.1305000000000001"/>
    <n v="65.740499999999997"/>
    <x v="80"/>
    <x v="318"/>
    <x v="2"/>
    <n v="62.61"/>
    <n v="4.7619047620000003"/>
    <n v="3.1305000000000001"/>
    <n v="8"/>
  </r>
  <r>
    <s v="741-73-3559"/>
    <x v="2"/>
    <x v="2"/>
    <s v="Normal"/>
    <s v="Male"/>
    <x v="3"/>
    <n v="67.27"/>
    <n v="5"/>
    <n v="16.817499999999999"/>
    <n v="353.16750000000002"/>
    <x v="33"/>
    <x v="272"/>
    <x v="1"/>
    <n v="336.35"/>
    <n v="4.7619047620000003"/>
    <n v="16.817499999999999"/>
    <n v="6.9"/>
  </r>
  <r>
    <s v="325-77-6186"/>
    <x v="0"/>
    <x v="0"/>
    <s v="Member"/>
    <s v="Female"/>
    <x v="2"/>
    <n v="90.65"/>
    <n v="10"/>
    <n v="45.325000000000003"/>
    <n v="951.82500000000005"/>
    <x v="1"/>
    <x v="164"/>
    <x v="0"/>
    <n v="906.5"/>
    <n v="4.7619047620000003"/>
    <n v="45.325000000000003"/>
    <n v="7.3"/>
  </r>
  <r>
    <s v="286-75-7818"/>
    <x v="2"/>
    <x v="2"/>
    <s v="Normal"/>
    <s v="Male"/>
    <x v="5"/>
    <n v="69.08"/>
    <n v="2"/>
    <n v="6.9080000000000004"/>
    <n v="145.06800000000001"/>
    <x v="82"/>
    <x v="28"/>
    <x v="2"/>
    <n v="138.16"/>
    <n v="4.7619047620000003"/>
    <n v="6.9080000000000004"/>
    <n v="6.9"/>
  </r>
  <r>
    <s v="574-57-9721"/>
    <x v="1"/>
    <x v="1"/>
    <s v="Normal"/>
    <s v="Male"/>
    <x v="4"/>
    <n v="43.27"/>
    <n v="2"/>
    <n v="4.327"/>
    <n v="90.867000000000004"/>
    <x v="1"/>
    <x v="319"/>
    <x v="0"/>
    <n v="86.54"/>
    <n v="4.7619047620000003"/>
    <n v="4.327"/>
    <n v="5.7"/>
  </r>
  <r>
    <s v="459-50-7686"/>
    <x v="0"/>
    <x v="0"/>
    <s v="Normal"/>
    <s v="Female"/>
    <x v="1"/>
    <n v="23.46"/>
    <n v="6"/>
    <n v="7.0380000000000003"/>
    <n v="147.798"/>
    <x v="50"/>
    <x v="195"/>
    <x v="0"/>
    <n v="140.76"/>
    <n v="4.7619047620000003"/>
    <n v="7.0380000000000003"/>
    <n v="6.4"/>
  </r>
  <r>
    <s v="616-87-0016"/>
    <x v="2"/>
    <x v="2"/>
    <s v="Normal"/>
    <s v="Male"/>
    <x v="5"/>
    <n v="95.54"/>
    <n v="7"/>
    <n v="33.439"/>
    <n v="702.21900000000005"/>
    <x v="11"/>
    <x v="6"/>
    <x v="2"/>
    <n v="668.78"/>
    <n v="4.7619047620000003"/>
    <n v="33.439"/>
    <n v="9.6"/>
  </r>
  <r>
    <s v="837-55-7229"/>
    <x v="2"/>
    <x v="2"/>
    <s v="Normal"/>
    <s v="Female"/>
    <x v="5"/>
    <n v="47.44"/>
    <n v="1"/>
    <n v="2.3719999999999999"/>
    <n v="49.811999999999998"/>
    <x v="70"/>
    <x v="96"/>
    <x v="2"/>
    <n v="47.44"/>
    <n v="4.7619047620000003"/>
    <n v="2.3719999999999999"/>
    <n v="6.8"/>
  </r>
  <r>
    <s v="751-69-0068"/>
    <x v="1"/>
    <x v="1"/>
    <s v="Normal"/>
    <s v="Male"/>
    <x v="3"/>
    <n v="99.24"/>
    <n v="9"/>
    <n v="44.658000000000001"/>
    <n v="937.81799999999998"/>
    <x v="35"/>
    <x v="268"/>
    <x v="0"/>
    <n v="893.16"/>
    <n v="4.7619047620000003"/>
    <n v="44.658000000000001"/>
    <n v="9"/>
  </r>
  <r>
    <s v="257-73-1380"/>
    <x v="1"/>
    <x v="1"/>
    <s v="Member"/>
    <s v="Male"/>
    <x v="3"/>
    <n v="82.93"/>
    <n v="4"/>
    <n v="16.585999999999999"/>
    <n v="348.30599999999998"/>
    <x v="40"/>
    <x v="320"/>
    <x v="0"/>
    <n v="331.72"/>
    <n v="4.7619047620000003"/>
    <n v="16.585999999999999"/>
    <n v="9.6"/>
  </r>
  <r>
    <s v="345-08-4992"/>
    <x v="0"/>
    <x v="0"/>
    <s v="Normal"/>
    <s v="Male"/>
    <x v="2"/>
    <n v="33.99"/>
    <n v="6"/>
    <n v="10.196999999999999"/>
    <n v="214.137"/>
    <x v="1"/>
    <x v="321"/>
    <x v="2"/>
    <n v="203.94"/>
    <n v="4.7619047620000003"/>
    <n v="10.196999999999999"/>
    <n v="7.7"/>
  </r>
  <r>
    <s v="549-96-4200"/>
    <x v="1"/>
    <x v="1"/>
    <s v="Member"/>
    <s v="Male"/>
    <x v="4"/>
    <n v="17.04"/>
    <n v="4"/>
    <n v="3.4079999999999999"/>
    <n v="71.567999999999998"/>
    <x v="1"/>
    <x v="322"/>
    <x v="0"/>
    <n v="68.16"/>
    <n v="4.7619047620000003"/>
    <n v="3.4079999999999999"/>
    <n v="7"/>
  </r>
  <r>
    <s v="810-60-6344"/>
    <x v="1"/>
    <x v="1"/>
    <s v="Normal"/>
    <s v="Female"/>
    <x v="1"/>
    <n v="40.86"/>
    <n v="8"/>
    <n v="16.344000000000001"/>
    <n v="343.22399999999999"/>
    <x v="13"/>
    <x v="242"/>
    <x v="2"/>
    <n v="326.88"/>
    <n v="4.7619047620000003"/>
    <n v="16.344000000000001"/>
    <n v="6.5"/>
  </r>
  <r>
    <s v="450-28-2866"/>
    <x v="1"/>
    <x v="1"/>
    <s v="Member"/>
    <s v="Male"/>
    <x v="4"/>
    <n v="17.440000000000001"/>
    <n v="5"/>
    <n v="4.3600000000000003"/>
    <n v="91.56"/>
    <x v="15"/>
    <x v="126"/>
    <x v="1"/>
    <n v="87.2"/>
    <n v="4.7619047620000003"/>
    <n v="4.3600000000000003"/>
    <n v="8.1"/>
  </r>
  <r>
    <s v="394-30-3170"/>
    <x v="2"/>
    <x v="2"/>
    <s v="Member"/>
    <s v="Female"/>
    <x v="3"/>
    <n v="88.43"/>
    <n v="8"/>
    <n v="35.372"/>
    <n v="742.81200000000001"/>
    <x v="23"/>
    <x v="323"/>
    <x v="2"/>
    <n v="707.44"/>
    <n v="4.7619047620000003"/>
    <n v="35.372"/>
    <n v="4.3"/>
  </r>
  <r>
    <s v="138-17-5109"/>
    <x v="0"/>
    <x v="0"/>
    <s v="Member"/>
    <s v="Female"/>
    <x v="2"/>
    <n v="89.21"/>
    <n v="9"/>
    <n v="40.144500000000001"/>
    <n v="843.03449999999998"/>
    <x v="15"/>
    <x v="324"/>
    <x v="2"/>
    <n v="802.89"/>
    <n v="4.7619047620000003"/>
    <n v="40.144500000000001"/>
    <n v="6.5"/>
  </r>
  <r>
    <s v="192-98-7397"/>
    <x v="1"/>
    <x v="1"/>
    <s v="Normal"/>
    <s v="Male"/>
    <x v="5"/>
    <n v="12.78"/>
    <n v="1"/>
    <n v="0.63900000000000001"/>
    <n v="13.419"/>
    <x v="66"/>
    <x v="325"/>
    <x v="0"/>
    <n v="12.78"/>
    <n v="4.7619047620000003"/>
    <n v="0.63900000000000001"/>
    <n v="9.5"/>
  </r>
  <r>
    <s v="301-11-9629"/>
    <x v="0"/>
    <x v="0"/>
    <s v="Normal"/>
    <s v="Female"/>
    <x v="3"/>
    <n v="19.100000000000001"/>
    <n v="7"/>
    <n v="6.6849999999999996"/>
    <n v="140.38499999999999"/>
    <x v="15"/>
    <x v="100"/>
    <x v="1"/>
    <n v="133.69999999999999"/>
    <n v="4.7619047620000003"/>
    <n v="6.6849999999999996"/>
    <n v="9.6999999999999993"/>
  </r>
  <r>
    <s v="390-80-5128"/>
    <x v="2"/>
    <x v="2"/>
    <s v="Member"/>
    <s v="Female"/>
    <x v="0"/>
    <n v="19.149999999999999"/>
    <n v="1"/>
    <n v="0.95750000000000002"/>
    <n v="20.107500000000002"/>
    <x v="26"/>
    <x v="326"/>
    <x v="2"/>
    <n v="19.149999999999999"/>
    <n v="4.7619047620000003"/>
    <n v="0.95750000000000002"/>
    <n v="9.5"/>
  </r>
  <r>
    <s v="235-46-8343"/>
    <x v="1"/>
    <x v="1"/>
    <s v="Member"/>
    <s v="Male"/>
    <x v="4"/>
    <n v="27.66"/>
    <n v="10"/>
    <n v="13.83"/>
    <n v="290.43"/>
    <x v="44"/>
    <x v="55"/>
    <x v="2"/>
    <n v="276.60000000000002"/>
    <n v="4.7619047620000003"/>
    <n v="13.83"/>
    <n v="8.9"/>
  </r>
  <r>
    <s v="453-12-7053"/>
    <x v="1"/>
    <x v="1"/>
    <s v="Normal"/>
    <s v="Male"/>
    <x v="5"/>
    <n v="45.74"/>
    <n v="3"/>
    <n v="6.8609999999999998"/>
    <n v="144.08099999999999"/>
    <x v="24"/>
    <x v="180"/>
    <x v="2"/>
    <n v="137.22"/>
    <n v="4.7619047620000003"/>
    <n v="6.8609999999999998"/>
    <n v="6.5"/>
  </r>
  <r>
    <s v="296-11-7041"/>
    <x v="2"/>
    <x v="2"/>
    <s v="Member"/>
    <s v="Female"/>
    <x v="0"/>
    <n v="27.07"/>
    <n v="1"/>
    <n v="1.3534999999999999"/>
    <n v="28.423500000000001"/>
    <x v="52"/>
    <x v="105"/>
    <x v="2"/>
    <n v="27.07"/>
    <n v="4.7619047620000003"/>
    <n v="1.3534999999999999"/>
    <n v="5.3"/>
  </r>
  <r>
    <s v="449-27-2918"/>
    <x v="2"/>
    <x v="2"/>
    <s v="Member"/>
    <s v="Female"/>
    <x v="3"/>
    <n v="39.119999999999997"/>
    <n v="1"/>
    <n v="1.956"/>
    <n v="41.076000000000001"/>
    <x v="58"/>
    <x v="327"/>
    <x v="2"/>
    <n v="39.119999999999997"/>
    <n v="4.7619047620000003"/>
    <n v="1.956"/>
    <n v="9.6"/>
  </r>
  <r>
    <s v="891-01-7034"/>
    <x v="2"/>
    <x v="2"/>
    <s v="Normal"/>
    <s v="Female"/>
    <x v="1"/>
    <n v="74.709999999999994"/>
    <n v="6"/>
    <n v="22.413"/>
    <n v="470.673"/>
    <x v="17"/>
    <x v="312"/>
    <x v="1"/>
    <n v="448.26"/>
    <n v="4.7619047620000003"/>
    <n v="22.413"/>
    <n v="6.7"/>
  </r>
  <r>
    <s v="744-09-5786"/>
    <x v="2"/>
    <x v="2"/>
    <s v="Normal"/>
    <s v="Male"/>
    <x v="1"/>
    <n v="22.01"/>
    <n v="6"/>
    <n v="6.6029999999999998"/>
    <n v="138.66300000000001"/>
    <x v="56"/>
    <x v="68"/>
    <x v="1"/>
    <n v="132.06"/>
    <n v="4.7619047620000003"/>
    <n v="6.6029999999999998"/>
    <n v="7.6"/>
  </r>
  <r>
    <s v="727-17-0390"/>
    <x v="0"/>
    <x v="0"/>
    <s v="Normal"/>
    <s v="Female"/>
    <x v="4"/>
    <n v="63.61"/>
    <n v="5"/>
    <n v="15.9025"/>
    <n v="333.95249999999999"/>
    <x v="32"/>
    <x v="31"/>
    <x v="0"/>
    <n v="318.05"/>
    <n v="4.7619047620000003"/>
    <n v="15.9025"/>
    <n v="4.8"/>
  </r>
  <r>
    <s v="568-88-3448"/>
    <x v="0"/>
    <x v="0"/>
    <s v="Normal"/>
    <s v="Male"/>
    <x v="0"/>
    <n v="25"/>
    <n v="1"/>
    <n v="1.25"/>
    <n v="26.25"/>
    <x v="2"/>
    <x v="328"/>
    <x v="0"/>
    <n v="25"/>
    <n v="4.7619047620000003"/>
    <n v="1.25"/>
    <n v="5.5"/>
  </r>
  <r>
    <s v="187-83-5490"/>
    <x v="0"/>
    <x v="0"/>
    <s v="Member"/>
    <s v="Male"/>
    <x v="1"/>
    <n v="20.77"/>
    <n v="4"/>
    <n v="4.1539999999999999"/>
    <n v="87.233999999999995"/>
    <x v="82"/>
    <x v="329"/>
    <x v="1"/>
    <n v="83.08"/>
    <n v="4.7619047620000003"/>
    <n v="4.1539999999999999"/>
    <n v="4.7"/>
  </r>
  <r>
    <s v="767-54-1907"/>
    <x v="2"/>
    <x v="2"/>
    <s v="Member"/>
    <s v="Female"/>
    <x v="5"/>
    <n v="29.56"/>
    <n v="5"/>
    <n v="7.39"/>
    <n v="155.19"/>
    <x v="77"/>
    <x v="330"/>
    <x v="1"/>
    <n v="147.80000000000001"/>
    <n v="4.7619047620000003"/>
    <n v="7.39"/>
    <n v="6.9"/>
  </r>
  <r>
    <s v="710-46-4433"/>
    <x v="2"/>
    <x v="2"/>
    <s v="Member"/>
    <s v="Female"/>
    <x v="4"/>
    <n v="77.400000000000006"/>
    <n v="9"/>
    <n v="34.83"/>
    <n v="731.43"/>
    <x v="42"/>
    <x v="331"/>
    <x v="2"/>
    <n v="696.6"/>
    <n v="4.7619047620000003"/>
    <n v="34.83"/>
    <n v="4.5"/>
  </r>
  <r>
    <s v="533-33-5337"/>
    <x v="2"/>
    <x v="2"/>
    <s v="Normal"/>
    <s v="Male"/>
    <x v="1"/>
    <n v="79.39"/>
    <n v="10"/>
    <n v="39.695"/>
    <n v="833.59500000000003"/>
    <x v="13"/>
    <x v="181"/>
    <x v="1"/>
    <n v="793.9"/>
    <n v="4.7619047620000003"/>
    <n v="39.695"/>
    <n v="6.2"/>
  </r>
  <r>
    <s v="325-90-8763"/>
    <x v="1"/>
    <x v="1"/>
    <s v="Member"/>
    <s v="Female"/>
    <x v="1"/>
    <n v="46.57"/>
    <n v="10"/>
    <n v="23.285"/>
    <n v="488.98500000000001"/>
    <x v="3"/>
    <x v="139"/>
    <x v="1"/>
    <n v="465.7"/>
    <n v="4.7619047620000003"/>
    <n v="23.285"/>
    <n v="7.6"/>
  </r>
  <r>
    <s v="729-46-7422"/>
    <x v="1"/>
    <x v="1"/>
    <s v="Normal"/>
    <s v="Male"/>
    <x v="4"/>
    <n v="35.89"/>
    <n v="1"/>
    <n v="1.7945"/>
    <n v="37.6845"/>
    <x v="55"/>
    <x v="233"/>
    <x v="2"/>
    <n v="35.89"/>
    <n v="4.7619047620000003"/>
    <n v="1.7945"/>
    <n v="7.9"/>
  </r>
  <r>
    <s v="639-76-1242"/>
    <x v="1"/>
    <x v="1"/>
    <s v="Normal"/>
    <s v="Male"/>
    <x v="4"/>
    <n v="40.520000000000003"/>
    <n v="5"/>
    <n v="10.130000000000001"/>
    <n v="212.73"/>
    <x v="36"/>
    <x v="332"/>
    <x v="1"/>
    <n v="202.6"/>
    <n v="4.7619047620000003"/>
    <n v="10.130000000000001"/>
    <n v="4.5"/>
  </r>
  <r>
    <s v="234-03-4040"/>
    <x v="2"/>
    <x v="2"/>
    <s v="Member"/>
    <s v="Female"/>
    <x v="4"/>
    <n v="73.05"/>
    <n v="10"/>
    <n v="36.524999999999999"/>
    <n v="767.02499999999998"/>
    <x v="2"/>
    <x v="298"/>
    <x v="2"/>
    <n v="730.5"/>
    <n v="4.7619047620000003"/>
    <n v="36.524999999999999"/>
    <n v="8.6999999999999993"/>
  </r>
  <r>
    <s v="326-71-2155"/>
    <x v="1"/>
    <x v="1"/>
    <s v="Normal"/>
    <s v="Female"/>
    <x v="3"/>
    <n v="73.95"/>
    <n v="4"/>
    <n v="14.79"/>
    <n v="310.58999999999997"/>
    <x v="36"/>
    <x v="177"/>
    <x v="1"/>
    <n v="295.8"/>
    <n v="4.7619047620000003"/>
    <n v="14.79"/>
    <n v="6.1"/>
  </r>
  <r>
    <s v="320-32-8842"/>
    <x v="1"/>
    <x v="1"/>
    <s v="Member"/>
    <s v="Female"/>
    <x v="4"/>
    <n v="22.62"/>
    <n v="1"/>
    <n v="1.131"/>
    <n v="23.751000000000001"/>
    <x v="85"/>
    <x v="262"/>
    <x v="1"/>
    <n v="22.62"/>
    <n v="4.7619047620000003"/>
    <n v="1.131"/>
    <n v="6.4"/>
  </r>
  <r>
    <s v="470-32-9057"/>
    <x v="0"/>
    <x v="0"/>
    <s v="Member"/>
    <s v="Male"/>
    <x v="4"/>
    <n v="51.34"/>
    <n v="5"/>
    <n v="12.835000000000001"/>
    <n v="269.53500000000003"/>
    <x v="61"/>
    <x v="26"/>
    <x v="2"/>
    <n v="256.7"/>
    <n v="4.7619047620000003"/>
    <n v="12.835000000000001"/>
    <n v="9.1"/>
  </r>
  <r>
    <s v="878-30-2331"/>
    <x v="1"/>
    <x v="1"/>
    <s v="Member"/>
    <s v="Female"/>
    <x v="3"/>
    <n v="54.55"/>
    <n v="10"/>
    <n v="27.274999999999999"/>
    <n v="572.77499999999998"/>
    <x v="22"/>
    <x v="218"/>
    <x v="2"/>
    <n v="545.5"/>
    <n v="4.7619047620000003"/>
    <n v="27.274999999999999"/>
    <n v="7.1"/>
  </r>
  <r>
    <s v="440-59-5691"/>
    <x v="1"/>
    <x v="1"/>
    <s v="Member"/>
    <s v="Female"/>
    <x v="0"/>
    <n v="37.15"/>
    <n v="7"/>
    <n v="13.0025"/>
    <n v="273.05250000000001"/>
    <x v="4"/>
    <x v="258"/>
    <x v="2"/>
    <n v="260.05"/>
    <n v="4.7619047620000003"/>
    <n v="13.0025"/>
    <n v="7.7"/>
  </r>
  <r>
    <s v="554-53-3790"/>
    <x v="2"/>
    <x v="2"/>
    <s v="Normal"/>
    <s v="Male"/>
    <x v="3"/>
    <n v="37.020000000000003"/>
    <n v="6"/>
    <n v="11.106"/>
    <n v="233.226"/>
    <x v="23"/>
    <x v="333"/>
    <x v="1"/>
    <n v="222.12"/>
    <n v="4.7619047620000003"/>
    <n v="11.106"/>
    <n v="4.5"/>
  </r>
  <r>
    <s v="746-19-0921"/>
    <x v="1"/>
    <x v="1"/>
    <s v="Normal"/>
    <s v="Male"/>
    <x v="4"/>
    <n v="21.58"/>
    <n v="1"/>
    <n v="1.079"/>
    <n v="22.658999999999999"/>
    <x v="57"/>
    <x v="177"/>
    <x v="0"/>
    <n v="21.58"/>
    <n v="4.7619047620000003"/>
    <n v="1.079"/>
    <n v="7.2"/>
  </r>
  <r>
    <s v="233-34-0817"/>
    <x v="1"/>
    <x v="1"/>
    <s v="Member"/>
    <s v="Female"/>
    <x v="1"/>
    <n v="98.84"/>
    <n v="1"/>
    <n v="4.9420000000000002"/>
    <n v="103.782"/>
    <x v="42"/>
    <x v="274"/>
    <x v="1"/>
    <n v="98.84"/>
    <n v="4.7619047620000003"/>
    <n v="4.9420000000000002"/>
    <n v="8.4"/>
  </r>
  <r>
    <s v="767-05-1286"/>
    <x v="1"/>
    <x v="1"/>
    <s v="Member"/>
    <s v="Female"/>
    <x v="2"/>
    <n v="83.77"/>
    <n v="6"/>
    <n v="25.131"/>
    <n v="527.75099999999998"/>
    <x v="54"/>
    <x v="334"/>
    <x v="0"/>
    <n v="502.62"/>
    <n v="4.7619047620000003"/>
    <n v="25.131"/>
    <n v="5.4"/>
  </r>
  <r>
    <s v="340-21-9136"/>
    <x v="0"/>
    <x v="0"/>
    <s v="Member"/>
    <s v="Female"/>
    <x v="3"/>
    <n v="40.049999999999997"/>
    <n v="4"/>
    <n v="8.01"/>
    <n v="168.21"/>
    <x v="25"/>
    <x v="335"/>
    <x v="1"/>
    <n v="160.19999999999999"/>
    <n v="4.7619047620000003"/>
    <n v="8.01"/>
    <n v="9.6999999999999993"/>
  </r>
  <r>
    <s v="405-31-3305"/>
    <x v="0"/>
    <x v="0"/>
    <s v="Member"/>
    <s v="Male"/>
    <x v="5"/>
    <n v="43.13"/>
    <n v="10"/>
    <n v="21.565000000000001"/>
    <n v="452.86500000000001"/>
    <x v="30"/>
    <x v="201"/>
    <x v="2"/>
    <n v="431.3"/>
    <n v="4.7619047620000003"/>
    <n v="21.565000000000001"/>
    <n v="5.5"/>
  </r>
  <r>
    <s v="731-59-7531"/>
    <x v="2"/>
    <x v="2"/>
    <s v="Member"/>
    <s v="Male"/>
    <x v="0"/>
    <n v="72.569999999999993"/>
    <n v="8"/>
    <n v="29.027999999999999"/>
    <n v="609.58799999999997"/>
    <x v="73"/>
    <x v="326"/>
    <x v="1"/>
    <n v="580.55999999999995"/>
    <n v="4.7619047620000003"/>
    <n v="29.027999999999999"/>
    <n v="4.5999999999999996"/>
  </r>
  <r>
    <s v="676-39-6028"/>
    <x v="0"/>
    <x v="0"/>
    <s v="Member"/>
    <s v="Female"/>
    <x v="1"/>
    <n v="64.44"/>
    <n v="5"/>
    <n v="16.11"/>
    <n v="338.31"/>
    <x v="73"/>
    <x v="72"/>
    <x v="1"/>
    <n v="322.2"/>
    <n v="4.7619047620000003"/>
    <n v="16.11"/>
    <n v="6.6"/>
  </r>
  <r>
    <s v="502-05-1910"/>
    <x v="0"/>
    <x v="0"/>
    <s v="Normal"/>
    <s v="Male"/>
    <x v="0"/>
    <n v="65.180000000000007"/>
    <n v="3"/>
    <n v="9.7769999999999992"/>
    <n v="205.31700000000001"/>
    <x v="6"/>
    <x v="82"/>
    <x v="2"/>
    <n v="195.54"/>
    <n v="4.7619047620000003"/>
    <n v="9.7769999999999992"/>
    <n v="6.3"/>
  </r>
  <r>
    <s v="485-30-8700"/>
    <x v="0"/>
    <x v="0"/>
    <s v="Normal"/>
    <s v="Female"/>
    <x v="3"/>
    <n v="33.26"/>
    <n v="5"/>
    <n v="8.3149999999999995"/>
    <n v="174.61500000000001"/>
    <x v="79"/>
    <x v="279"/>
    <x v="2"/>
    <n v="166.3"/>
    <n v="4.7619047620000003"/>
    <n v="8.3149999999999995"/>
    <n v="4.2"/>
  </r>
  <r>
    <s v="598-47-9715"/>
    <x v="1"/>
    <x v="1"/>
    <s v="Normal"/>
    <s v="Male"/>
    <x v="1"/>
    <n v="84.07"/>
    <n v="4"/>
    <n v="16.814"/>
    <n v="353.09399999999999"/>
    <x v="37"/>
    <x v="336"/>
    <x v="0"/>
    <n v="336.28"/>
    <n v="4.7619047620000003"/>
    <n v="16.814"/>
    <n v="4.4000000000000004"/>
  </r>
  <r>
    <s v="701-69-8742"/>
    <x v="2"/>
    <x v="2"/>
    <s v="Normal"/>
    <s v="Male"/>
    <x v="3"/>
    <n v="34.369999999999997"/>
    <n v="10"/>
    <n v="17.184999999999999"/>
    <n v="360.88499999999999"/>
    <x v="32"/>
    <x v="41"/>
    <x v="0"/>
    <n v="343.7"/>
    <n v="4.7619047620000003"/>
    <n v="17.184999999999999"/>
    <n v="6.7"/>
  </r>
  <r>
    <s v="575-67-1508"/>
    <x v="0"/>
    <x v="0"/>
    <s v="Normal"/>
    <s v="Male"/>
    <x v="1"/>
    <n v="38.6"/>
    <n v="1"/>
    <n v="1.93"/>
    <n v="40.53"/>
    <x v="71"/>
    <x v="55"/>
    <x v="0"/>
    <n v="38.6"/>
    <n v="4.7619047620000003"/>
    <n v="1.93"/>
    <n v="6.7"/>
  </r>
  <r>
    <s v="541-08-3113"/>
    <x v="1"/>
    <x v="1"/>
    <s v="Normal"/>
    <s v="Male"/>
    <x v="4"/>
    <n v="65.97"/>
    <n v="8"/>
    <n v="26.388000000000002"/>
    <n v="554.14800000000002"/>
    <x v="30"/>
    <x v="245"/>
    <x v="1"/>
    <n v="527.76"/>
    <n v="4.7619047620000003"/>
    <n v="26.388000000000002"/>
    <n v="8.4"/>
  </r>
  <r>
    <s v="246-11-3901"/>
    <x v="1"/>
    <x v="1"/>
    <s v="Normal"/>
    <s v="Female"/>
    <x v="1"/>
    <n v="32.799999999999997"/>
    <n v="10"/>
    <n v="16.399999999999999"/>
    <n v="344.4"/>
    <x v="42"/>
    <x v="294"/>
    <x v="1"/>
    <n v="328"/>
    <n v="4.7619047620000003"/>
    <n v="16.399999999999999"/>
    <n v="6.2"/>
  </r>
  <r>
    <s v="674-15-9296"/>
    <x v="0"/>
    <x v="0"/>
    <s v="Normal"/>
    <s v="Male"/>
    <x v="3"/>
    <n v="37.14"/>
    <n v="5"/>
    <n v="9.2850000000000001"/>
    <n v="194.98500000000001"/>
    <x v="66"/>
    <x v="137"/>
    <x v="0"/>
    <n v="185.7"/>
    <n v="4.7619047620000003"/>
    <n v="9.2850000000000001"/>
    <n v="5"/>
  </r>
  <r>
    <s v="305-18-3552"/>
    <x v="2"/>
    <x v="2"/>
    <s v="Member"/>
    <s v="Male"/>
    <x v="2"/>
    <n v="60.38"/>
    <n v="10"/>
    <n v="30.19"/>
    <n v="633.99"/>
    <x v="12"/>
    <x v="15"/>
    <x v="1"/>
    <n v="603.79999999999995"/>
    <n v="4.7619047620000003"/>
    <n v="30.19"/>
    <n v="6"/>
  </r>
  <r>
    <s v="493-65-6248"/>
    <x v="1"/>
    <x v="1"/>
    <s v="Member"/>
    <s v="Female"/>
    <x v="3"/>
    <n v="36.979999999999997"/>
    <n v="10"/>
    <n v="18.489999999999998"/>
    <n v="388.29"/>
    <x v="17"/>
    <x v="28"/>
    <x v="2"/>
    <n v="369.8"/>
    <n v="4.7619047620000003"/>
    <n v="18.489999999999998"/>
    <n v="7"/>
  </r>
  <r>
    <s v="438-01-4015"/>
    <x v="2"/>
    <x v="2"/>
    <s v="Member"/>
    <s v="Female"/>
    <x v="3"/>
    <n v="49.49"/>
    <n v="4"/>
    <n v="9.8979999999999997"/>
    <n v="207.858"/>
    <x v="76"/>
    <x v="337"/>
    <x v="0"/>
    <n v="197.96"/>
    <n v="4.7619047620000003"/>
    <n v="9.8979999999999997"/>
    <n v="6.6"/>
  </r>
  <r>
    <s v="709-58-4068"/>
    <x v="2"/>
    <x v="2"/>
    <s v="Normal"/>
    <s v="Female"/>
    <x v="5"/>
    <n v="41.09"/>
    <n v="10"/>
    <n v="20.545000000000002"/>
    <n v="431.44499999999999"/>
    <x v="38"/>
    <x v="51"/>
    <x v="1"/>
    <n v="410.9"/>
    <n v="4.7619047620000003"/>
    <n v="20.545000000000002"/>
    <n v="7.3"/>
  </r>
  <r>
    <s v="795-49-7276"/>
    <x v="0"/>
    <x v="0"/>
    <s v="Normal"/>
    <s v="Male"/>
    <x v="5"/>
    <n v="37.15"/>
    <n v="4"/>
    <n v="7.43"/>
    <n v="156.03"/>
    <x v="28"/>
    <x v="188"/>
    <x v="0"/>
    <n v="148.6"/>
    <n v="4.7619047620000003"/>
    <n v="7.43"/>
    <n v="8.3000000000000007"/>
  </r>
  <r>
    <s v="556-72-8512"/>
    <x v="1"/>
    <x v="1"/>
    <s v="Normal"/>
    <s v="Male"/>
    <x v="2"/>
    <n v="22.96"/>
    <n v="1"/>
    <n v="1.1479999999999999"/>
    <n v="24.108000000000001"/>
    <x v="74"/>
    <x v="338"/>
    <x v="1"/>
    <n v="22.96"/>
    <n v="4.7619047620000003"/>
    <n v="1.1479999999999999"/>
    <n v="4.3"/>
  </r>
  <r>
    <s v="627-95-3243"/>
    <x v="2"/>
    <x v="2"/>
    <s v="Member"/>
    <s v="Female"/>
    <x v="2"/>
    <n v="77.680000000000007"/>
    <n v="9"/>
    <n v="34.956000000000003"/>
    <n v="734.07600000000002"/>
    <x v="87"/>
    <x v="265"/>
    <x v="0"/>
    <n v="699.12"/>
    <n v="4.7619047620000003"/>
    <n v="34.956000000000003"/>
    <n v="9.8000000000000007"/>
  </r>
  <r>
    <s v="686-41-0932"/>
    <x v="2"/>
    <x v="2"/>
    <s v="Normal"/>
    <s v="Female"/>
    <x v="5"/>
    <n v="34.700000000000003"/>
    <n v="2"/>
    <n v="3.47"/>
    <n v="72.87"/>
    <x v="45"/>
    <x v="28"/>
    <x v="0"/>
    <n v="69.400000000000006"/>
    <n v="4.7619047620000003"/>
    <n v="3.47"/>
    <n v="8.1999999999999993"/>
  </r>
  <r>
    <s v="510-09-5628"/>
    <x v="0"/>
    <x v="0"/>
    <s v="Member"/>
    <s v="Female"/>
    <x v="5"/>
    <n v="19.66"/>
    <n v="10"/>
    <n v="9.83"/>
    <n v="206.43"/>
    <x v="20"/>
    <x v="339"/>
    <x v="2"/>
    <n v="196.6"/>
    <n v="4.7619047620000003"/>
    <n v="9.83"/>
    <n v="7.2"/>
  </r>
  <r>
    <s v="608-04-3797"/>
    <x v="2"/>
    <x v="2"/>
    <s v="Member"/>
    <s v="Female"/>
    <x v="0"/>
    <n v="25.32"/>
    <n v="8"/>
    <n v="10.128"/>
    <n v="212.68799999999999"/>
    <x v="19"/>
    <x v="181"/>
    <x v="0"/>
    <n v="202.56"/>
    <n v="4.7619047620000003"/>
    <n v="10.128"/>
    <n v="8.6999999999999993"/>
  </r>
  <r>
    <s v="148-82-2527"/>
    <x v="1"/>
    <x v="1"/>
    <s v="Member"/>
    <s v="Female"/>
    <x v="2"/>
    <n v="12.12"/>
    <n v="10"/>
    <n v="6.06"/>
    <n v="127.26"/>
    <x v="19"/>
    <x v="189"/>
    <x v="2"/>
    <n v="121.2"/>
    <n v="4.7619047620000003"/>
    <n v="6.06"/>
    <n v="8.4"/>
  </r>
  <r>
    <s v="437-53-3084"/>
    <x v="2"/>
    <x v="2"/>
    <s v="Normal"/>
    <s v="Male"/>
    <x v="5"/>
    <n v="99.89"/>
    <n v="2"/>
    <n v="9.9890000000000008"/>
    <n v="209.76900000000001"/>
    <x v="84"/>
    <x v="340"/>
    <x v="0"/>
    <n v="199.78"/>
    <n v="4.7619047620000003"/>
    <n v="9.9890000000000008"/>
    <n v="7.1"/>
  </r>
  <r>
    <s v="632-32-4574"/>
    <x v="2"/>
    <x v="2"/>
    <s v="Normal"/>
    <s v="Male"/>
    <x v="3"/>
    <n v="75.92"/>
    <n v="8"/>
    <n v="30.367999999999999"/>
    <n v="637.72799999999995"/>
    <x v="80"/>
    <x v="341"/>
    <x v="1"/>
    <n v="607.36"/>
    <n v="4.7619047620000003"/>
    <n v="30.367999999999999"/>
    <n v="5.5"/>
  </r>
  <r>
    <s v="556-97-7101"/>
    <x v="1"/>
    <x v="1"/>
    <s v="Normal"/>
    <s v="Female"/>
    <x v="1"/>
    <n v="63.22"/>
    <n v="2"/>
    <n v="6.3220000000000001"/>
    <n v="132.762"/>
    <x v="17"/>
    <x v="232"/>
    <x v="1"/>
    <n v="126.44"/>
    <n v="4.7619047620000003"/>
    <n v="6.3220000000000001"/>
    <n v="8.5"/>
  </r>
  <r>
    <s v="862-59-8517"/>
    <x v="1"/>
    <x v="1"/>
    <s v="Normal"/>
    <s v="Female"/>
    <x v="4"/>
    <n v="90.24"/>
    <n v="6"/>
    <n v="27.071999999999999"/>
    <n v="568.51199999999994"/>
    <x v="3"/>
    <x v="342"/>
    <x v="1"/>
    <n v="541.44000000000005"/>
    <n v="4.7619047620000003"/>
    <n v="27.071999999999999"/>
    <n v="6.2"/>
  </r>
  <r>
    <s v="401-18-8016"/>
    <x v="2"/>
    <x v="2"/>
    <s v="Member"/>
    <s v="Female"/>
    <x v="3"/>
    <n v="98.13"/>
    <n v="1"/>
    <n v="4.9065000000000003"/>
    <n v="103.0365"/>
    <x v="18"/>
    <x v="24"/>
    <x v="1"/>
    <n v="98.13"/>
    <n v="4.7619047620000003"/>
    <n v="4.9065000000000003"/>
    <n v="8.9"/>
  </r>
  <r>
    <s v="420-18-8989"/>
    <x v="0"/>
    <x v="0"/>
    <s v="Member"/>
    <s v="Female"/>
    <x v="3"/>
    <n v="51.52"/>
    <n v="8"/>
    <n v="20.608000000000001"/>
    <n v="432.76799999999997"/>
    <x v="30"/>
    <x v="46"/>
    <x v="1"/>
    <n v="412.16"/>
    <n v="4.7619047620000003"/>
    <n v="20.608000000000001"/>
    <n v="9.6"/>
  </r>
  <r>
    <s v="277-63-2961"/>
    <x v="2"/>
    <x v="2"/>
    <s v="Member"/>
    <s v="Male"/>
    <x v="3"/>
    <n v="73.97"/>
    <n v="1"/>
    <n v="3.6985000000000001"/>
    <n v="77.668499999999995"/>
    <x v="36"/>
    <x v="183"/>
    <x v="2"/>
    <n v="73.97"/>
    <n v="4.7619047620000003"/>
    <n v="3.6985000000000001"/>
    <n v="5.4"/>
  </r>
  <r>
    <s v="573-98-8548"/>
    <x v="1"/>
    <x v="1"/>
    <s v="Member"/>
    <s v="Female"/>
    <x v="5"/>
    <n v="31.9"/>
    <n v="1"/>
    <n v="1.595"/>
    <n v="33.494999999999997"/>
    <x v="0"/>
    <x v="343"/>
    <x v="0"/>
    <n v="31.9"/>
    <n v="4.7619047620000003"/>
    <n v="1.595"/>
    <n v="9.1"/>
  </r>
  <r>
    <s v="620-02-2046"/>
    <x v="1"/>
    <x v="1"/>
    <s v="Normal"/>
    <s v="Male"/>
    <x v="2"/>
    <n v="69.400000000000006"/>
    <n v="2"/>
    <n v="6.94"/>
    <n v="145.74"/>
    <x v="3"/>
    <x v="28"/>
    <x v="0"/>
    <n v="138.80000000000001"/>
    <n v="4.7619047620000003"/>
    <n v="6.94"/>
    <n v="9"/>
  </r>
  <r>
    <s v="282-35-2475"/>
    <x v="2"/>
    <x v="2"/>
    <s v="Normal"/>
    <s v="Female"/>
    <x v="3"/>
    <n v="93.31"/>
    <n v="2"/>
    <n v="9.3309999999999995"/>
    <n v="195.95099999999999"/>
    <x v="5"/>
    <x v="344"/>
    <x v="1"/>
    <n v="186.62"/>
    <n v="4.7619047620000003"/>
    <n v="9.3309999999999995"/>
    <n v="6.3"/>
  </r>
  <r>
    <s v="511-54-3087"/>
    <x v="2"/>
    <x v="2"/>
    <s v="Normal"/>
    <s v="Male"/>
    <x v="3"/>
    <n v="88.45"/>
    <n v="1"/>
    <n v="4.4225000000000003"/>
    <n v="92.872500000000002"/>
    <x v="6"/>
    <x v="345"/>
    <x v="2"/>
    <n v="88.45"/>
    <n v="4.7619047620000003"/>
    <n v="4.4225000000000003"/>
    <n v="9.5"/>
  </r>
  <r>
    <s v="726-29-6793"/>
    <x v="0"/>
    <x v="0"/>
    <s v="Member"/>
    <s v="Male"/>
    <x v="1"/>
    <n v="24.18"/>
    <n v="8"/>
    <n v="9.6720000000000006"/>
    <n v="203.11199999999999"/>
    <x v="26"/>
    <x v="98"/>
    <x v="0"/>
    <n v="193.44"/>
    <n v="4.7619047620000003"/>
    <n v="9.6720000000000006"/>
    <n v="9.8000000000000007"/>
  </r>
  <r>
    <s v="387-49-4215"/>
    <x v="2"/>
    <x v="2"/>
    <s v="Member"/>
    <s v="Female"/>
    <x v="3"/>
    <n v="48.5"/>
    <n v="3"/>
    <n v="7.2750000000000004"/>
    <n v="152.77500000000001"/>
    <x v="66"/>
    <x v="165"/>
    <x v="1"/>
    <n v="145.5"/>
    <n v="4.7619047620000003"/>
    <n v="7.2750000000000004"/>
    <n v="6.7"/>
  </r>
  <r>
    <s v="862-17-9201"/>
    <x v="2"/>
    <x v="2"/>
    <s v="Normal"/>
    <s v="Female"/>
    <x v="4"/>
    <n v="84.05"/>
    <n v="6"/>
    <n v="25.215"/>
    <n v="529.51499999999999"/>
    <x v="71"/>
    <x v="346"/>
    <x v="2"/>
    <n v="504.3"/>
    <n v="4.7619047620000003"/>
    <n v="25.215"/>
    <n v="7.7"/>
  </r>
  <r>
    <s v="291-21-5991"/>
    <x v="2"/>
    <x v="2"/>
    <s v="Member"/>
    <s v="Male"/>
    <x v="0"/>
    <n v="61.29"/>
    <n v="5"/>
    <n v="15.3225"/>
    <n v="321.77249999999998"/>
    <x v="14"/>
    <x v="296"/>
    <x v="1"/>
    <n v="306.45"/>
    <n v="4.7619047620000003"/>
    <n v="15.3225"/>
    <n v="7"/>
  </r>
  <r>
    <s v="602-80-9671"/>
    <x v="1"/>
    <x v="1"/>
    <s v="Member"/>
    <s v="Female"/>
    <x v="2"/>
    <n v="15.95"/>
    <n v="6"/>
    <n v="4.7850000000000001"/>
    <n v="100.485"/>
    <x v="57"/>
    <x v="8"/>
    <x v="2"/>
    <n v="95.7"/>
    <n v="4.7619047620000003"/>
    <n v="4.7850000000000001"/>
    <n v="5.0999999999999996"/>
  </r>
  <r>
    <s v="347-72-6115"/>
    <x v="2"/>
    <x v="2"/>
    <s v="Member"/>
    <s v="Female"/>
    <x v="3"/>
    <n v="90.74"/>
    <n v="7"/>
    <n v="31.759"/>
    <n v="666.93899999999996"/>
    <x v="65"/>
    <x v="172"/>
    <x v="2"/>
    <n v="635.17999999999995"/>
    <n v="4.7619047620000003"/>
    <n v="31.759"/>
    <n v="6.2"/>
  </r>
  <r>
    <s v="209-61-0206"/>
    <x v="0"/>
    <x v="0"/>
    <s v="Normal"/>
    <s v="Female"/>
    <x v="2"/>
    <n v="42.91"/>
    <n v="5"/>
    <n v="10.727499999999999"/>
    <n v="225.2775"/>
    <x v="0"/>
    <x v="260"/>
    <x v="0"/>
    <n v="214.55"/>
    <n v="4.7619047620000003"/>
    <n v="10.727499999999999"/>
    <n v="6.1"/>
  </r>
  <r>
    <s v="595-27-4851"/>
    <x v="0"/>
    <x v="0"/>
    <s v="Normal"/>
    <s v="Female"/>
    <x v="5"/>
    <n v="54.28"/>
    <n v="7"/>
    <n v="18.998000000000001"/>
    <n v="398.95800000000003"/>
    <x v="3"/>
    <x v="347"/>
    <x v="0"/>
    <n v="379.96"/>
    <n v="4.7619047620000003"/>
    <n v="18.998000000000001"/>
    <n v="9.3000000000000007"/>
  </r>
  <r>
    <s v="189-52-0236"/>
    <x v="0"/>
    <x v="0"/>
    <s v="Normal"/>
    <s v="Male"/>
    <x v="1"/>
    <n v="99.55"/>
    <n v="7"/>
    <n v="34.842500000000001"/>
    <n v="731.6925"/>
    <x v="86"/>
    <x v="348"/>
    <x v="1"/>
    <n v="696.85"/>
    <n v="4.7619047620000003"/>
    <n v="34.842500000000001"/>
    <n v="7.6"/>
  </r>
  <r>
    <s v="503-07-0930"/>
    <x v="1"/>
    <x v="1"/>
    <s v="Member"/>
    <s v="Male"/>
    <x v="3"/>
    <n v="58.39"/>
    <n v="7"/>
    <n v="20.436499999999999"/>
    <n v="429.16649999999998"/>
    <x v="55"/>
    <x v="349"/>
    <x v="2"/>
    <n v="408.73"/>
    <n v="4.7619047620000003"/>
    <n v="20.436499999999999"/>
    <n v="8.1999999999999993"/>
  </r>
  <r>
    <s v="413-20-6708"/>
    <x v="1"/>
    <x v="1"/>
    <s v="Member"/>
    <s v="Female"/>
    <x v="5"/>
    <n v="51.47"/>
    <n v="1"/>
    <n v="2.5735000000000001"/>
    <n v="54.043500000000002"/>
    <x v="79"/>
    <x v="350"/>
    <x v="0"/>
    <n v="51.47"/>
    <n v="4.7619047620000003"/>
    <n v="2.5735000000000001"/>
    <n v="8.5"/>
  </r>
  <r>
    <s v="425-85-2085"/>
    <x v="2"/>
    <x v="2"/>
    <s v="Member"/>
    <s v="Male"/>
    <x v="0"/>
    <n v="54.86"/>
    <n v="5"/>
    <n v="13.715"/>
    <n v="288.01499999999999"/>
    <x v="14"/>
    <x v="13"/>
    <x v="0"/>
    <n v="274.3"/>
    <n v="4.7619047620000003"/>
    <n v="13.715"/>
    <n v="9.8000000000000007"/>
  </r>
  <r>
    <s v="521-18-7827"/>
    <x v="1"/>
    <x v="1"/>
    <s v="Member"/>
    <s v="Male"/>
    <x v="2"/>
    <n v="39.39"/>
    <n v="5"/>
    <n v="9.8475000000000001"/>
    <n v="206.79750000000001"/>
    <x v="49"/>
    <x v="351"/>
    <x v="2"/>
    <n v="196.95"/>
    <n v="4.7619047620000003"/>
    <n v="9.8475000000000001"/>
    <n v="8.6999999999999993"/>
  </r>
  <r>
    <s v="220-28-1851"/>
    <x v="0"/>
    <x v="0"/>
    <s v="Normal"/>
    <s v="Male"/>
    <x v="2"/>
    <n v="34.729999999999997"/>
    <n v="2"/>
    <n v="3.4729999999999999"/>
    <n v="72.933000000000007"/>
    <x v="59"/>
    <x v="92"/>
    <x v="0"/>
    <n v="69.459999999999994"/>
    <n v="4.7619047620000003"/>
    <n v="3.4729999999999999"/>
    <n v="9.6999999999999993"/>
  </r>
  <r>
    <s v="600-38-9738"/>
    <x v="1"/>
    <x v="1"/>
    <s v="Member"/>
    <s v="Male"/>
    <x v="3"/>
    <n v="71.92"/>
    <n v="5"/>
    <n v="17.98"/>
    <n v="377.58"/>
    <x v="29"/>
    <x v="184"/>
    <x v="2"/>
    <n v="359.6"/>
    <n v="4.7619047620000003"/>
    <n v="17.98"/>
    <n v="4.3"/>
  </r>
  <r>
    <s v="734-91-1155"/>
    <x v="2"/>
    <x v="2"/>
    <s v="Normal"/>
    <s v="Female"/>
    <x v="1"/>
    <n v="45.71"/>
    <n v="3"/>
    <n v="6.8564999999999996"/>
    <n v="143.98650000000001"/>
    <x v="58"/>
    <x v="352"/>
    <x v="2"/>
    <n v="137.13"/>
    <n v="4.7619047620000003"/>
    <n v="6.8564999999999996"/>
    <n v="7.7"/>
  </r>
  <r>
    <s v="451-28-5717"/>
    <x v="1"/>
    <x v="1"/>
    <s v="Member"/>
    <s v="Female"/>
    <x v="2"/>
    <n v="83.17"/>
    <n v="6"/>
    <n v="24.951000000000001"/>
    <n v="523.971"/>
    <x v="80"/>
    <x v="219"/>
    <x v="1"/>
    <n v="499.02"/>
    <n v="4.7619047620000003"/>
    <n v="24.951000000000001"/>
    <n v="7.3"/>
  </r>
  <r>
    <s v="609-81-8548"/>
    <x v="0"/>
    <x v="0"/>
    <s v="Member"/>
    <s v="Female"/>
    <x v="2"/>
    <n v="37.44"/>
    <n v="6"/>
    <n v="11.231999999999999"/>
    <n v="235.87200000000001"/>
    <x v="10"/>
    <x v="353"/>
    <x v="2"/>
    <n v="224.64"/>
    <n v="4.7619047620000003"/>
    <n v="11.231999999999999"/>
    <n v="5.9"/>
  </r>
  <r>
    <s v="133-14-7229"/>
    <x v="1"/>
    <x v="1"/>
    <s v="Normal"/>
    <s v="Male"/>
    <x v="0"/>
    <n v="62.87"/>
    <n v="2"/>
    <n v="6.2869999999999999"/>
    <n v="132.02699999999999"/>
    <x v="17"/>
    <x v="354"/>
    <x v="1"/>
    <n v="125.74"/>
    <n v="4.7619047620000003"/>
    <n v="6.2869999999999999"/>
    <n v="5"/>
  </r>
  <r>
    <s v="534-01-4457"/>
    <x v="0"/>
    <x v="0"/>
    <s v="Normal"/>
    <s v="Male"/>
    <x v="4"/>
    <n v="81.709999999999994"/>
    <n v="6"/>
    <n v="24.513000000000002"/>
    <n v="514.77300000000002"/>
    <x v="3"/>
    <x v="6"/>
    <x v="2"/>
    <n v="490.26"/>
    <n v="4.7619047620000003"/>
    <n v="24.513000000000002"/>
    <n v="8"/>
  </r>
  <r>
    <s v="719-89-8991"/>
    <x v="0"/>
    <x v="0"/>
    <s v="Member"/>
    <s v="Female"/>
    <x v="3"/>
    <n v="91.41"/>
    <n v="5"/>
    <n v="22.852499999999999"/>
    <n v="479.90249999999997"/>
    <x v="6"/>
    <x v="355"/>
    <x v="0"/>
    <n v="457.05"/>
    <n v="4.7619047620000003"/>
    <n v="22.852499999999999"/>
    <n v="7.1"/>
  </r>
  <r>
    <s v="286-62-6248"/>
    <x v="2"/>
    <x v="2"/>
    <s v="Normal"/>
    <s v="Male"/>
    <x v="5"/>
    <n v="39.21"/>
    <n v="4"/>
    <n v="7.8419999999999996"/>
    <n v="164.68199999999999"/>
    <x v="65"/>
    <x v="356"/>
    <x v="2"/>
    <n v="156.84"/>
    <n v="4.7619047620000003"/>
    <n v="7.8419999999999996"/>
    <n v="9"/>
  </r>
  <r>
    <s v="339-38-9982"/>
    <x v="2"/>
    <x v="2"/>
    <s v="Member"/>
    <s v="Male"/>
    <x v="5"/>
    <n v="59.86"/>
    <n v="2"/>
    <n v="5.9859999999999998"/>
    <n v="125.706"/>
    <x v="50"/>
    <x v="304"/>
    <x v="0"/>
    <n v="119.72"/>
    <n v="4.7619047620000003"/>
    <n v="5.9859999999999998"/>
    <n v="6.7"/>
  </r>
  <r>
    <s v="827-44-5872"/>
    <x v="2"/>
    <x v="2"/>
    <s v="Member"/>
    <s v="Female"/>
    <x v="4"/>
    <n v="54.36"/>
    <n v="10"/>
    <n v="27.18"/>
    <n v="570.78"/>
    <x v="13"/>
    <x v="56"/>
    <x v="2"/>
    <n v="543.6"/>
    <n v="4.7619047620000003"/>
    <n v="27.18"/>
    <n v="6.1"/>
  </r>
  <r>
    <s v="827-77-7633"/>
    <x v="0"/>
    <x v="0"/>
    <s v="Normal"/>
    <s v="Male"/>
    <x v="3"/>
    <n v="98.09"/>
    <n v="9"/>
    <n v="44.140500000000003"/>
    <n v="926.95050000000003"/>
    <x v="21"/>
    <x v="357"/>
    <x v="1"/>
    <n v="882.81"/>
    <n v="4.7619047620000003"/>
    <n v="44.140500000000003"/>
    <n v="9.3000000000000007"/>
  </r>
  <r>
    <s v="287-83-1405"/>
    <x v="0"/>
    <x v="0"/>
    <s v="Normal"/>
    <s v="Male"/>
    <x v="0"/>
    <n v="25.43"/>
    <n v="6"/>
    <n v="7.6289999999999996"/>
    <n v="160.209"/>
    <x v="12"/>
    <x v="54"/>
    <x v="0"/>
    <n v="152.58000000000001"/>
    <n v="4.7619047620000003"/>
    <n v="7.6289999999999996"/>
    <n v="7"/>
  </r>
  <r>
    <s v="435-13-4908"/>
    <x v="0"/>
    <x v="0"/>
    <s v="Member"/>
    <s v="Male"/>
    <x v="5"/>
    <n v="86.68"/>
    <n v="8"/>
    <n v="34.671999999999997"/>
    <n v="728.11199999999997"/>
    <x v="46"/>
    <x v="358"/>
    <x v="2"/>
    <n v="693.44"/>
    <n v="4.7619047620000003"/>
    <n v="34.671999999999997"/>
    <n v="7.2"/>
  </r>
  <r>
    <s v="857-67-9057"/>
    <x v="2"/>
    <x v="2"/>
    <s v="Normal"/>
    <s v="Male"/>
    <x v="1"/>
    <n v="22.95"/>
    <n v="10"/>
    <n v="11.475"/>
    <n v="240.97499999999999"/>
    <x v="10"/>
    <x v="25"/>
    <x v="0"/>
    <n v="229.5"/>
    <n v="4.7619047620000003"/>
    <n v="11.475"/>
    <n v="8.1999999999999993"/>
  </r>
  <r>
    <s v="236-27-1144"/>
    <x v="1"/>
    <x v="1"/>
    <s v="Normal"/>
    <s v="Female"/>
    <x v="4"/>
    <n v="16.309999999999999"/>
    <n v="9"/>
    <n v="7.3395000000000001"/>
    <n v="154.12950000000001"/>
    <x v="58"/>
    <x v="359"/>
    <x v="0"/>
    <n v="146.79"/>
    <n v="4.7619047620000003"/>
    <n v="7.3395000000000001"/>
    <n v="8.4"/>
  </r>
  <r>
    <s v="892-05-6689"/>
    <x v="0"/>
    <x v="0"/>
    <s v="Normal"/>
    <s v="Female"/>
    <x v="2"/>
    <n v="28.32"/>
    <n v="5"/>
    <n v="7.08"/>
    <n v="148.68"/>
    <x v="16"/>
    <x v="360"/>
    <x v="0"/>
    <n v="141.6"/>
    <n v="4.7619047620000003"/>
    <n v="7.08"/>
    <n v="6.2"/>
  </r>
  <r>
    <s v="583-41-4548"/>
    <x v="1"/>
    <x v="1"/>
    <s v="Normal"/>
    <s v="Male"/>
    <x v="2"/>
    <n v="16.670000000000002"/>
    <n v="7"/>
    <n v="5.8345000000000002"/>
    <n v="122.5245"/>
    <x v="13"/>
    <x v="150"/>
    <x v="0"/>
    <n v="116.69"/>
    <n v="4.7619047620000003"/>
    <n v="5.8345000000000002"/>
    <n v="7.4"/>
  </r>
  <r>
    <s v="339-12-4827"/>
    <x v="2"/>
    <x v="2"/>
    <s v="Member"/>
    <s v="Female"/>
    <x v="5"/>
    <n v="73.959999999999994"/>
    <n v="1"/>
    <n v="3.698"/>
    <n v="77.658000000000001"/>
    <x v="0"/>
    <x v="102"/>
    <x v="2"/>
    <n v="73.959999999999994"/>
    <n v="4.7619047620000003"/>
    <n v="3.698"/>
    <n v="5"/>
  </r>
  <r>
    <s v="643-38-7867"/>
    <x v="0"/>
    <x v="0"/>
    <s v="Normal"/>
    <s v="Male"/>
    <x v="2"/>
    <n v="97.94"/>
    <n v="1"/>
    <n v="4.8970000000000002"/>
    <n v="102.837"/>
    <x v="37"/>
    <x v="231"/>
    <x v="0"/>
    <n v="97.94"/>
    <n v="4.7619047620000003"/>
    <n v="4.8970000000000002"/>
    <n v="6.9"/>
  </r>
  <r>
    <s v="308-81-0538"/>
    <x v="0"/>
    <x v="0"/>
    <s v="Normal"/>
    <s v="Female"/>
    <x v="5"/>
    <n v="73.05"/>
    <n v="4"/>
    <n v="14.61"/>
    <n v="306.81"/>
    <x v="6"/>
    <x v="361"/>
    <x v="2"/>
    <n v="292.2"/>
    <n v="4.7619047620000003"/>
    <n v="14.61"/>
    <n v="4.9000000000000004"/>
  </r>
  <r>
    <s v="358-88-9262"/>
    <x v="1"/>
    <x v="1"/>
    <s v="Member"/>
    <s v="Female"/>
    <x v="4"/>
    <n v="87.48"/>
    <n v="6"/>
    <n v="26.244"/>
    <n v="551.12400000000002"/>
    <x v="60"/>
    <x v="362"/>
    <x v="0"/>
    <n v="524.88"/>
    <n v="4.7619047620000003"/>
    <n v="26.244"/>
    <n v="5.0999999999999996"/>
  </r>
  <r>
    <s v="460-35-4390"/>
    <x v="0"/>
    <x v="0"/>
    <s v="Normal"/>
    <s v="Male"/>
    <x v="2"/>
    <n v="30.68"/>
    <n v="3"/>
    <n v="4.6020000000000003"/>
    <n v="96.641999999999996"/>
    <x v="49"/>
    <x v="224"/>
    <x v="0"/>
    <n v="92.04"/>
    <n v="4.7619047620000003"/>
    <n v="4.6020000000000003"/>
    <n v="9.1"/>
  </r>
  <r>
    <s v="343-87-0864"/>
    <x v="1"/>
    <x v="1"/>
    <s v="Member"/>
    <s v="Male"/>
    <x v="0"/>
    <n v="75.88"/>
    <n v="1"/>
    <n v="3.794"/>
    <n v="79.674000000000007"/>
    <x v="75"/>
    <x v="363"/>
    <x v="2"/>
    <n v="75.88"/>
    <n v="4.7619047620000003"/>
    <n v="3.794"/>
    <n v="7.1"/>
  </r>
  <r>
    <s v="173-50-1108"/>
    <x v="2"/>
    <x v="2"/>
    <s v="Member"/>
    <s v="Female"/>
    <x v="3"/>
    <n v="20.18"/>
    <n v="4"/>
    <n v="4.0359999999999996"/>
    <n v="84.756"/>
    <x v="77"/>
    <x v="280"/>
    <x v="2"/>
    <n v="80.72"/>
    <n v="4.7619047620000003"/>
    <n v="4.0359999999999996"/>
    <n v="5"/>
  </r>
  <r>
    <s v="243-47-2663"/>
    <x v="1"/>
    <x v="1"/>
    <s v="Member"/>
    <s v="Male"/>
    <x v="1"/>
    <n v="18.77"/>
    <n v="6"/>
    <n v="5.6310000000000002"/>
    <n v="118.251"/>
    <x v="26"/>
    <x v="122"/>
    <x v="2"/>
    <n v="112.62"/>
    <n v="4.7619047620000003"/>
    <n v="5.6310000000000002"/>
    <n v="5.5"/>
  </r>
  <r>
    <s v="841-18-8232"/>
    <x v="2"/>
    <x v="2"/>
    <s v="Normal"/>
    <s v="Female"/>
    <x v="4"/>
    <n v="71.2"/>
    <n v="1"/>
    <n v="3.56"/>
    <n v="74.760000000000005"/>
    <x v="0"/>
    <x v="364"/>
    <x v="2"/>
    <n v="71.2"/>
    <n v="4.7619047620000003"/>
    <n v="3.56"/>
    <n v="9.1999999999999993"/>
  </r>
  <r>
    <s v="701-23-5550"/>
    <x v="2"/>
    <x v="2"/>
    <s v="Member"/>
    <s v="Male"/>
    <x v="2"/>
    <n v="38.81"/>
    <n v="4"/>
    <n v="7.7619999999999996"/>
    <n v="163.00200000000001"/>
    <x v="35"/>
    <x v="61"/>
    <x v="0"/>
    <n v="155.24"/>
    <n v="4.7619047620000003"/>
    <n v="7.7619999999999996"/>
    <n v="4.9000000000000004"/>
  </r>
  <r>
    <s v="647-50-1224"/>
    <x v="0"/>
    <x v="0"/>
    <s v="Normal"/>
    <s v="Female"/>
    <x v="5"/>
    <n v="29.42"/>
    <n v="10"/>
    <n v="14.71"/>
    <n v="308.91000000000003"/>
    <x v="52"/>
    <x v="293"/>
    <x v="0"/>
    <n v="294.2"/>
    <n v="4.7619047620000003"/>
    <n v="14.71"/>
    <n v="8.9"/>
  </r>
  <r>
    <s v="541-48-8554"/>
    <x v="0"/>
    <x v="0"/>
    <s v="Normal"/>
    <s v="Male"/>
    <x v="3"/>
    <n v="60.95"/>
    <n v="9"/>
    <n v="27.427499999999998"/>
    <n v="575.97749999999996"/>
    <x v="27"/>
    <x v="365"/>
    <x v="2"/>
    <n v="548.54999999999995"/>
    <n v="4.7619047620000003"/>
    <n v="27.427499999999998"/>
    <n v="6"/>
  </r>
  <r>
    <s v="539-21-7227"/>
    <x v="2"/>
    <x v="2"/>
    <s v="Normal"/>
    <s v="Female"/>
    <x v="3"/>
    <n v="51.54"/>
    <n v="5"/>
    <n v="12.885"/>
    <n v="270.58499999999998"/>
    <x v="53"/>
    <x v="366"/>
    <x v="1"/>
    <n v="257.7"/>
    <n v="4.7619047620000003"/>
    <n v="12.885"/>
    <n v="4.2"/>
  </r>
  <r>
    <s v="213-32-1216"/>
    <x v="0"/>
    <x v="0"/>
    <s v="Normal"/>
    <s v="Female"/>
    <x v="1"/>
    <n v="66.06"/>
    <n v="6"/>
    <n v="19.818000000000001"/>
    <n v="416.178"/>
    <x v="54"/>
    <x v="367"/>
    <x v="1"/>
    <n v="396.36"/>
    <n v="4.7619047620000003"/>
    <n v="19.818000000000001"/>
    <n v="7.3"/>
  </r>
  <r>
    <s v="747-58-7183"/>
    <x v="2"/>
    <x v="2"/>
    <s v="Normal"/>
    <s v="Male"/>
    <x v="5"/>
    <n v="57.27"/>
    <n v="3"/>
    <n v="8.5905000000000005"/>
    <n v="180.40049999999999"/>
    <x v="57"/>
    <x v="106"/>
    <x v="0"/>
    <n v="171.81"/>
    <n v="4.7619047620000003"/>
    <n v="8.5905000000000005"/>
    <n v="6.5"/>
  </r>
  <r>
    <s v="582-52-8065"/>
    <x v="2"/>
    <x v="2"/>
    <s v="Normal"/>
    <s v="Female"/>
    <x v="5"/>
    <n v="54.31"/>
    <n v="9"/>
    <n v="24.439499999999999"/>
    <n v="513.22950000000003"/>
    <x v="70"/>
    <x v="368"/>
    <x v="1"/>
    <n v="488.79"/>
    <n v="4.7619047620000003"/>
    <n v="24.439499999999999"/>
    <n v="8.9"/>
  </r>
  <r>
    <s v="210-57-1719"/>
    <x v="2"/>
    <x v="2"/>
    <s v="Normal"/>
    <s v="Female"/>
    <x v="0"/>
    <n v="58.24"/>
    <n v="9"/>
    <n v="26.207999999999998"/>
    <n v="550.36800000000005"/>
    <x v="63"/>
    <x v="369"/>
    <x v="1"/>
    <n v="524.16"/>
    <n v="4.7619047620000003"/>
    <n v="26.207999999999998"/>
    <n v="9.6999999999999993"/>
  </r>
  <r>
    <s v="399-69-4630"/>
    <x v="1"/>
    <x v="1"/>
    <s v="Normal"/>
    <s v="Male"/>
    <x v="1"/>
    <n v="22.21"/>
    <n v="6"/>
    <n v="6.6630000000000003"/>
    <n v="139.923"/>
    <x v="37"/>
    <x v="81"/>
    <x v="2"/>
    <n v="133.26"/>
    <n v="4.7619047620000003"/>
    <n v="6.6630000000000003"/>
    <n v="8.6"/>
  </r>
  <r>
    <s v="134-75-2619"/>
    <x v="0"/>
    <x v="0"/>
    <s v="Member"/>
    <s v="Male"/>
    <x v="1"/>
    <n v="19.32"/>
    <n v="7"/>
    <n v="6.7619999999999996"/>
    <n v="142.00200000000001"/>
    <x v="5"/>
    <x v="370"/>
    <x v="1"/>
    <n v="135.24"/>
    <n v="4.7619047620000003"/>
    <n v="6.7619999999999996"/>
    <n v="6.9"/>
  </r>
  <r>
    <s v="356-44-8813"/>
    <x v="2"/>
    <x v="2"/>
    <s v="Normal"/>
    <s v="Male"/>
    <x v="2"/>
    <n v="37.479999999999997"/>
    <n v="3"/>
    <n v="5.6219999999999999"/>
    <n v="118.062"/>
    <x v="40"/>
    <x v="286"/>
    <x v="2"/>
    <n v="112.44"/>
    <n v="4.7619047620000003"/>
    <n v="5.6219999999999999"/>
    <n v="7.7"/>
  </r>
  <r>
    <s v="198-66-9832"/>
    <x v="2"/>
    <x v="2"/>
    <s v="Member"/>
    <s v="Female"/>
    <x v="5"/>
    <n v="72.040000000000006"/>
    <n v="2"/>
    <n v="7.2039999999999997"/>
    <n v="151.28399999999999"/>
    <x v="87"/>
    <x v="371"/>
    <x v="1"/>
    <n v="144.08000000000001"/>
    <n v="4.7619047620000003"/>
    <n v="7.2039999999999997"/>
    <n v="9.5"/>
  </r>
  <r>
    <s v="283-26-5248"/>
    <x v="1"/>
    <x v="1"/>
    <s v="Member"/>
    <s v="Female"/>
    <x v="4"/>
    <n v="98.52"/>
    <n v="10"/>
    <n v="49.26"/>
    <n v="1034.46"/>
    <x v="74"/>
    <x v="169"/>
    <x v="0"/>
    <n v="985.2"/>
    <n v="4.7619047620000003"/>
    <n v="49.26"/>
    <n v="4.5"/>
  </r>
  <r>
    <s v="712-39-0363"/>
    <x v="0"/>
    <x v="0"/>
    <s v="Member"/>
    <s v="Male"/>
    <x v="4"/>
    <n v="41.66"/>
    <n v="6"/>
    <n v="12.497999999999999"/>
    <n v="262.45800000000003"/>
    <x v="56"/>
    <x v="145"/>
    <x v="0"/>
    <n v="249.96"/>
    <n v="4.7619047620000003"/>
    <n v="12.497999999999999"/>
    <n v="5.6"/>
  </r>
  <r>
    <s v="218-59-9410"/>
    <x v="0"/>
    <x v="0"/>
    <s v="Member"/>
    <s v="Female"/>
    <x v="2"/>
    <n v="72.42"/>
    <n v="3"/>
    <n v="10.863"/>
    <n v="228.12299999999999"/>
    <x v="14"/>
    <x v="336"/>
    <x v="0"/>
    <n v="217.26"/>
    <n v="4.7619047620000003"/>
    <n v="10.863"/>
    <n v="8.1999999999999993"/>
  </r>
  <r>
    <s v="174-75-0888"/>
    <x v="2"/>
    <x v="2"/>
    <s v="Normal"/>
    <s v="Male"/>
    <x v="1"/>
    <n v="21.58"/>
    <n v="9"/>
    <n v="9.7110000000000003"/>
    <n v="203.93100000000001"/>
    <x v="86"/>
    <x v="372"/>
    <x v="1"/>
    <n v="194.22"/>
    <n v="4.7619047620000003"/>
    <n v="9.7110000000000003"/>
    <n v="7.3"/>
  </r>
  <r>
    <s v="866-99-7614"/>
    <x v="1"/>
    <x v="1"/>
    <s v="Normal"/>
    <s v="Male"/>
    <x v="4"/>
    <n v="89.2"/>
    <n v="10"/>
    <n v="44.6"/>
    <n v="936.6"/>
    <x v="48"/>
    <x v="324"/>
    <x v="2"/>
    <n v="892"/>
    <n v="4.7619047620000003"/>
    <n v="44.6"/>
    <n v="4.4000000000000004"/>
  </r>
  <r>
    <s v="134-54-4720"/>
    <x v="2"/>
    <x v="2"/>
    <s v="Normal"/>
    <s v="Female"/>
    <x v="1"/>
    <n v="42.42"/>
    <n v="8"/>
    <n v="16.968"/>
    <n v="356.32799999999997"/>
    <x v="74"/>
    <x v="139"/>
    <x v="0"/>
    <n v="339.36"/>
    <n v="4.7619047620000003"/>
    <n v="16.968"/>
    <n v="5.7"/>
  </r>
  <r>
    <s v="760-90-2357"/>
    <x v="0"/>
    <x v="0"/>
    <s v="Member"/>
    <s v="Male"/>
    <x v="1"/>
    <n v="74.510000000000005"/>
    <n v="6"/>
    <n v="22.353000000000002"/>
    <n v="469.41300000000001"/>
    <x v="80"/>
    <x v="264"/>
    <x v="0"/>
    <n v="447.06"/>
    <n v="4.7619047620000003"/>
    <n v="22.353000000000002"/>
    <n v="5"/>
  </r>
  <r>
    <s v="514-37-2845"/>
    <x v="2"/>
    <x v="2"/>
    <s v="Normal"/>
    <s v="Male"/>
    <x v="5"/>
    <n v="99.25"/>
    <n v="2"/>
    <n v="9.9250000000000007"/>
    <n v="208.42500000000001"/>
    <x v="80"/>
    <x v="276"/>
    <x v="1"/>
    <n v="198.5"/>
    <n v="4.7619047620000003"/>
    <n v="9.9250000000000007"/>
    <n v="9"/>
  </r>
  <r>
    <s v="698-98-5964"/>
    <x v="0"/>
    <x v="0"/>
    <s v="Normal"/>
    <s v="Female"/>
    <x v="4"/>
    <n v="81.209999999999994"/>
    <n v="10"/>
    <n v="40.604999999999997"/>
    <n v="852.70500000000004"/>
    <x v="29"/>
    <x v="39"/>
    <x v="2"/>
    <n v="812.1"/>
    <n v="4.7619047620000003"/>
    <n v="40.604999999999997"/>
    <n v="6.3"/>
  </r>
  <r>
    <s v="718-57-9773"/>
    <x v="1"/>
    <x v="1"/>
    <s v="Normal"/>
    <s v="Female"/>
    <x v="3"/>
    <n v="49.33"/>
    <n v="10"/>
    <n v="24.664999999999999"/>
    <n v="517.96500000000003"/>
    <x v="36"/>
    <x v="64"/>
    <x v="2"/>
    <n v="493.3"/>
    <n v="4.7619047620000003"/>
    <n v="24.664999999999999"/>
    <n v="9.4"/>
  </r>
  <r>
    <s v="651-88-7328"/>
    <x v="0"/>
    <x v="0"/>
    <s v="Normal"/>
    <s v="Female"/>
    <x v="5"/>
    <n v="65.739999999999995"/>
    <n v="9"/>
    <n v="29.582999999999998"/>
    <n v="621.24300000000005"/>
    <x v="17"/>
    <x v="353"/>
    <x v="1"/>
    <n v="591.66"/>
    <n v="4.7619047620000003"/>
    <n v="29.582999999999998"/>
    <n v="7.7"/>
  </r>
  <r>
    <s v="241-11-2261"/>
    <x v="2"/>
    <x v="2"/>
    <s v="Normal"/>
    <s v="Female"/>
    <x v="5"/>
    <n v="79.86"/>
    <n v="7"/>
    <n v="27.951000000000001"/>
    <n v="586.971"/>
    <x v="8"/>
    <x v="373"/>
    <x v="2"/>
    <n v="559.02"/>
    <n v="4.7619047620000003"/>
    <n v="27.951000000000001"/>
    <n v="5.5"/>
  </r>
  <r>
    <s v="408-26-9866"/>
    <x v="1"/>
    <x v="1"/>
    <s v="Normal"/>
    <s v="Female"/>
    <x v="3"/>
    <n v="73.98"/>
    <n v="7"/>
    <n v="25.893000000000001"/>
    <n v="543.75300000000004"/>
    <x v="22"/>
    <x v="86"/>
    <x v="0"/>
    <n v="517.86"/>
    <n v="4.7619047620000003"/>
    <n v="25.893000000000001"/>
    <n v="4.0999999999999996"/>
  </r>
  <r>
    <s v="834-83-1826"/>
    <x v="2"/>
    <x v="2"/>
    <s v="Member"/>
    <s v="Female"/>
    <x v="2"/>
    <n v="82.04"/>
    <n v="5"/>
    <n v="20.51"/>
    <n v="430.71"/>
    <x v="6"/>
    <x v="361"/>
    <x v="2"/>
    <n v="410.2"/>
    <n v="4.7619047620000003"/>
    <n v="20.51"/>
    <n v="7.6"/>
  </r>
  <r>
    <s v="343-61-3544"/>
    <x v="2"/>
    <x v="2"/>
    <s v="Member"/>
    <s v="Male"/>
    <x v="3"/>
    <n v="26.67"/>
    <n v="10"/>
    <n v="13.335000000000001"/>
    <n v="280.03500000000003"/>
    <x v="71"/>
    <x v="340"/>
    <x v="1"/>
    <n v="266.7"/>
    <n v="4.7619047620000003"/>
    <n v="13.335000000000001"/>
    <n v="8.6"/>
  </r>
  <r>
    <s v="239-48-4278"/>
    <x v="0"/>
    <x v="0"/>
    <s v="Member"/>
    <s v="Male"/>
    <x v="4"/>
    <n v="10.130000000000001"/>
    <n v="7"/>
    <n v="3.5455000000000001"/>
    <n v="74.455500000000001"/>
    <x v="24"/>
    <x v="323"/>
    <x v="0"/>
    <n v="70.91"/>
    <n v="4.7619047620000003"/>
    <n v="3.5455000000000001"/>
    <n v="8.3000000000000007"/>
  </r>
  <r>
    <s v="355-34-6244"/>
    <x v="2"/>
    <x v="2"/>
    <s v="Normal"/>
    <s v="Male"/>
    <x v="4"/>
    <n v="72.39"/>
    <n v="2"/>
    <n v="7.2389999999999999"/>
    <n v="152.01900000000001"/>
    <x v="50"/>
    <x v="374"/>
    <x v="2"/>
    <n v="144.78"/>
    <n v="4.7619047620000003"/>
    <n v="7.2389999999999999"/>
    <n v="8.1"/>
  </r>
  <r>
    <s v="550-84-8664"/>
    <x v="0"/>
    <x v="0"/>
    <s v="Normal"/>
    <s v="Male"/>
    <x v="3"/>
    <n v="85.91"/>
    <n v="5"/>
    <n v="21.477499999999999"/>
    <n v="451.02749999999997"/>
    <x v="23"/>
    <x v="375"/>
    <x v="2"/>
    <n v="429.55"/>
    <n v="4.7619047620000003"/>
    <n v="21.477499999999999"/>
    <n v="8.6"/>
  </r>
  <r>
    <s v="339-96-8318"/>
    <x v="2"/>
    <x v="2"/>
    <s v="Member"/>
    <s v="Male"/>
    <x v="5"/>
    <n v="81.31"/>
    <n v="7"/>
    <n v="28.458500000000001"/>
    <n v="597.62850000000003"/>
    <x v="59"/>
    <x v="349"/>
    <x v="0"/>
    <n v="569.16999999999996"/>
    <n v="4.7619047620000003"/>
    <n v="28.458500000000001"/>
    <n v="6.3"/>
  </r>
  <r>
    <s v="458-61-0011"/>
    <x v="2"/>
    <x v="2"/>
    <s v="Normal"/>
    <s v="Male"/>
    <x v="4"/>
    <n v="60.3"/>
    <n v="4"/>
    <n v="12.06"/>
    <n v="253.26"/>
    <x v="9"/>
    <x v="362"/>
    <x v="1"/>
    <n v="241.2"/>
    <n v="4.7619047620000003"/>
    <n v="12.06"/>
    <n v="5.8"/>
  </r>
  <r>
    <s v="592-34-6155"/>
    <x v="1"/>
    <x v="1"/>
    <s v="Normal"/>
    <s v="Male"/>
    <x v="4"/>
    <n v="31.77"/>
    <n v="4"/>
    <n v="6.3540000000000001"/>
    <n v="133.434"/>
    <x v="78"/>
    <x v="140"/>
    <x v="0"/>
    <n v="127.08"/>
    <n v="4.7619047620000003"/>
    <n v="6.3540000000000001"/>
    <n v="6.2"/>
  </r>
  <r>
    <s v="797-88-0493"/>
    <x v="0"/>
    <x v="0"/>
    <s v="Normal"/>
    <s v="Female"/>
    <x v="0"/>
    <n v="64.27"/>
    <n v="4"/>
    <n v="12.853999999999999"/>
    <n v="269.93400000000003"/>
    <x v="58"/>
    <x v="376"/>
    <x v="1"/>
    <n v="257.08"/>
    <n v="4.7619047620000003"/>
    <n v="12.853999999999999"/>
    <n v="7.7"/>
  </r>
  <r>
    <s v="207-73-1363"/>
    <x v="2"/>
    <x v="2"/>
    <s v="Normal"/>
    <s v="Male"/>
    <x v="0"/>
    <n v="69.510000000000005"/>
    <n v="2"/>
    <n v="6.9509999999999996"/>
    <n v="145.971"/>
    <x v="59"/>
    <x v="377"/>
    <x v="0"/>
    <n v="139.02000000000001"/>
    <n v="4.7619047620000003"/>
    <n v="6.9509999999999996"/>
    <n v="8.1"/>
  </r>
  <r>
    <s v="390-31-6381"/>
    <x v="1"/>
    <x v="1"/>
    <s v="Normal"/>
    <s v="Male"/>
    <x v="4"/>
    <n v="27.22"/>
    <n v="3"/>
    <n v="4.0830000000000002"/>
    <n v="85.742999999999995"/>
    <x v="27"/>
    <x v="378"/>
    <x v="1"/>
    <n v="81.66"/>
    <n v="4.7619047620000003"/>
    <n v="4.0830000000000002"/>
    <n v="7.3"/>
  </r>
  <r>
    <s v="443-82-0585"/>
    <x v="0"/>
    <x v="0"/>
    <s v="Member"/>
    <s v="Female"/>
    <x v="0"/>
    <n v="77.680000000000007"/>
    <n v="4"/>
    <n v="15.536"/>
    <n v="326.25599999999997"/>
    <x v="60"/>
    <x v="85"/>
    <x v="1"/>
    <n v="310.72000000000003"/>
    <n v="4.7619047620000003"/>
    <n v="15.536"/>
    <n v="8.4"/>
  </r>
  <r>
    <s v="339-18-7061"/>
    <x v="1"/>
    <x v="1"/>
    <s v="Member"/>
    <s v="Female"/>
    <x v="5"/>
    <n v="92.98"/>
    <n v="2"/>
    <n v="9.298"/>
    <n v="195.25800000000001"/>
    <x v="77"/>
    <x v="379"/>
    <x v="2"/>
    <n v="185.96"/>
    <n v="4.7619047620000003"/>
    <n v="9.298"/>
    <n v="8"/>
  </r>
  <r>
    <s v="359-90-3665"/>
    <x v="2"/>
    <x v="2"/>
    <s v="Member"/>
    <s v="Female"/>
    <x v="5"/>
    <n v="18.079999999999998"/>
    <n v="4"/>
    <n v="3.6160000000000001"/>
    <n v="75.936000000000007"/>
    <x v="78"/>
    <x v="172"/>
    <x v="2"/>
    <n v="72.319999999999993"/>
    <n v="4.7619047620000003"/>
    <n v="3.6160000000000001"/>
    <n v="9.5"/>
  </r>
  <r>
    <s v="375-72-3056"/>
    <x v="2"/>
    <x v="2"/>
    <s v="Normal"/>
    <s v="Male"/>
    <x v="3"/>
    <n v="63.06"/>
    <n v="3"/>
    <n v="9.4589999999999996"/>
    <n v="198.63900000000001"/>
    <x v="64"/>
    <x v="380"/>
    <x v="0"/>
    <n v="189.18"/>
    <n v="4.7619047620000003"/>
    <n v="9.4589999999999996"/>
    <n v="7"/>
  </r>
  <r>
    <s v="127-47-6963"/>
    <x v="0"/>
    <x v="0"/>
    <s v="Normal"/>
    <s v="Male"/>
    <x v="0"/>
    <n v="51.71"/>
    <n v="4"/>
    <n v="10.342000000000001"/>
    <n v="217.18199999999999"/>
    <x v="11"/>
    <x v="318"/>
    <x v="2"/>
    <n v="206.84"/>
    <n v="4.7619047620000003"/>
    <n v="10.342000000000001"/>
    <n v="9.8000000000000007"/>
  </r>
  <r>
    <s v="278-86-2735"/>
    <x v="0"/>
    <x v="0"/>
    <s v="Normal"/>
    <s v="Female"/>
    <x v="4"/>
    <n v="52.34"/>
    <n v="3"/>
    <n v="7.851"/>
    <n v="164.87100000000001"/>
    <x v="39"/>
    <x v="381"/>
    <x v="1"/>
    <n v="157.02000000000001"/>
    <n v="4.7619047620000003"/>
    <n v="7.851"/>
    <n v="9.1999999999999993"/>
  </r>
  <r>
    <s v="695-28-6250"/>
    <x v="0"/>
    <x v="0"/>
    <s v="Normal"/>
    <s v="Female"/>
    <x v="3"/>
    <n v="43.06"/>
    <n v="5"/>
    <n v="10.765000000000001"/>
    <n v="226.065"/>
    <x v="87"/>
    <x v="382"/>
    <x v="0"/>
    <n v="215.3"/>
    <n v="4.7619047620000003"/>
    <n v="10.765000000000001"/>
    <n v="7.7"/>
  </r>
  <r>
    <s v="379-17-6588"/>
    <x v="1"/>
    <x v="1"/>
    <s v="Normal"/>
    <s v="Male"/>
    <x v="5"/>
    <n v="59.61"/>
    <n v="10"/>
    <n v="29.805"/>
    <n v="625.90499999999997"/>
    <x v="86"/>
    <x v="383"/>
    <x v="1"/>
    <n v="596.1"/>
    <n v="4.7619047620000003"/>
    <n v="29.805"/>
    <n v="5.3"/>
  </r>
  <r>
    <s v="227-50-3718"/>
    <x v="0"/>
    <x v="0"/>
    <s v="Normal"/>
    <s v="Male"/>
    <x v="0"/>
    <n v="14.62"/>
    <n v="5"/>
    <n v="3.6549999999999998"/>
    <n v="76.754999999999995"/>
    <x v="31"/>
    <x v="384"/>
    <x v="1"/>
    <n v="73.099999999999994"/>
    <n v="4.7619047620000003"/>
    <n v="3.6549999999999998"/>
    <n v="4.4000000000000004"/>
  </r>
  <r>
    <s v="302-15-2162"/>
    <x v="1"/>
    <x v="1"/>
    <s v="Member"/>
    <s v="Male"/>
    <x v="0"/>
    <n v="46.53"/>
    <n v="6"/>
    <n v="13.959"/>
    <n v="293.13900000000001"/>
    <x v="2"/>
    <x v="200"/>
    <x v="2"/>
    <n v="279.18"/>
    <n v="4.7619047620000003"/>
    <n v="13.959"/>
    <n v="4.3"/>
  </r>
  <r>
    <s v="788-07-8452"/>
    <x v="1"/>
    <x v="1"/>
    <s v="Member"/>
    <s v="Female"/>
    <x v="2"/>
    <n v="24.24"/>
    <n v="7"/>
    <n v="8.484"/>
    <n v="178.16399999999999"/>
    <x v="3"/>
    <x v="180"/>
    <x v="0"/>
    <n v="169.68"/>
    <n v="4.7619047620000003"/>
    <n v="8.484"/>
    <n v="9.4"/>
  </r>
  <r>
    <s v="560-49-6611"/>
    <x v="0"/>
    <x v="0"/>
    <s v="Member"/>
    <s v="Female"/>
    <x v="3"/>
    <n v="45.58"/>
    <n v="1"/>
    <n v="2.2789999999999999"/>
    <n v="47.859000000000002"/>
    <x v="13"/>
    <x v="385"/>
    <x v="1"/>
    <n v="45.58"/>
    <n v="4.7619047620000003"/>
    <n v="2.2789999999999999"/>
    <n v="9.8000000000000007"/>
  </r>
  <r>
    <s v="880-35-0356"/>
    <x v="0"/>
    <x v="0"/>
    <s v="Member"/>
    <s v="Female"/>
    <x v="3"/>
    <n v="75.2"/>
    <n v="3"/>
    <n v="11.28"/>
    <n v="236.88"/>
    <x v="63"/>
    <x v="159"/>
    <x v="0"/>
    <n v="225.6"/>
    <n v="4.7619047620000003"/>
    <n v="11.28"/>
    <n v="4.8"/>
  </r>
  <r>
    <s v="585-11-6748"/>
    <x v="2"/>
    <x v="2"/>
    <s v="Member"/>
    <s v="Male"/>
    <x v="3"/>
    <n v="96.8"/>
    <n v="3"/>
    <n v="14.52"/>
    <n v="304.92"/>
    <x v="20"/>
    <x v="137"/>
    <x v="1"/>
    <n v="290.39999999999998"/>
    <n v="4.7619047620000003"/>
    <n v="14.52"/>
    <n v="5.3"/>
  </r>
  <r>
    <s v="470-31-3286"/>
    <x v="2"/>
    <x v="2"/>
    <s v="Normal"/>
    <s v="Male"/>
    <x v="0"/>
    <n v="14.82"/>
    <n v="3"/>
    <n v="2.2229999999999999"/>
    <n v="46.683"/>
    <x v="59"/>
    <x v="170"/>
    <x v="2"/>
    <n v="44.46"/>
    <n v="4.7619047620000003"/>
    <n v="2.2229999999999999"/>
    <n v="8.6999999999999993"/>
  </r>
  <r>
    <s v="152-68-2907"/>
    <x v="0"/>
    <x v="0"/>
    <s v="Normal"/>
    <s v="Male"/>
    <x v="4"/>
    <n v="52.2"/>
    <n v="3"/>
    <n v="7.83"/>
    <n v="164.43"/>
    <x v="42"/>
    <x v="241"/>
    <x v="2"/>
    <n v="156.6"/>
    <n v="4.7619047620000003"/>
    <n v="7.83"/>
    <n v="9.5"/>
  </r>
  <r>
    <s v="123-35-4896"/>
    <x v="1"/>
    <x v="1"/>
    <s v="Normal"/>
    <s v="Female"/>
    <x v="3"/>
    <n v="46.66"/>
    <n v="9"/>
    <n v="20.997"/>
    <n v="440.93700000000001"/>
    <x v="21"/>
    <x v="386"/>
    <x v="0"/>
    <n v="419.94"/>
    <n v="4.7619047620000003"/>
    <n v="20.997"/>
    <n v="5.3"/>
  </r>
  <r>
    <s v="258-69-7810"/>
    <x v="1"/>
    <x v="1"/>
    <s v="Normal"/>
    <s v="Female"/>
    <x v="5"/>
    <n v="36.85"/>
    <n v="5"/>
    <n v="9.2125000000000004"/>
    <n v="193.46250000000001"/>
    <x v="53"/>
    <x v="387"/>
    <x v="1"/>
    <n v="184.25"/>
    <n v="4.7619047620000003"/>
    <n v="9.2125000000000004"/>
    <n v="9.1999999999999993"/>
  </r>
  <r>
    <s v="334-64-2006"/>
    <x v="0"/>
    <x v="0"/>
    <s v="Member"/>
    <s v="Female"/>
    <x v="2"/>
    <n v="70.319999999999993"/>
    <n v="2"/>
    <n v="7.032"/>
    <n v="147.672"/>
    <x v="62"/>
    <x v="388"/>
    <x v="0"/>
    <n v="140.63999999999999"/>
    <n v="4.7619047620000003"/>
    <n v="7.032"/>
    <n v="9.6"/>
  </r>
  <r>
    <s v="219-61-4139"/>
    <x v="1"/>
    <x v="1"/>
    <s v="Normal"/>
    <s v="Male"/>
    <x v="1"/>
    <n v="83.08"/>
    <n v="1"/>
    <n v="4.1539999999999999"/>
    <n v="87.233999999999995"/>
    <x v="54"/>
    <x v="361"/>
    <x v="0"/>
    <n v="83.08"/>
    <n v="4.7619047620000003"/>
    <n v="4.1539999999999999"/>
    <n v="6.4"/>
  </r>
  <r>
    <s v="881-41-7302"/>
    <x v="1"/>
    <x v="1"/>
    <s v="Normal"/>
    <s v="Female"/>
    <x v="5"/>
    <n v="64.989999999999995"/>
    <n v="1"/>
    <n v="3.2494999999999998"/>
    <n v="68.239500000000007"/>
    <x v="53"/>
    <x v="389"/>
    <x v="2"/>
    <n v="64.989999999999995"/>
    <n v="4.7619047620000003"/>
    <n v="3.2494999999999998"/>
    <n v="4.5"/>
  </r>
  <r>
    <s v="373-09-4567"/>
    <x v="1"/>
    <x v="1"/>
    <s v="Normal"/>
    <s v="Male"/>
    <x v="4"/>
    <n v="77.56"/>
    <n v="10"/>
    <n v="38.78"/>
    <n v="814.38"/>
    <x v="86"/>
    <x v="82"/>
    <x v="0"/>
    <n v="775.6"/>
    <n v="4.7619047620000003"/>
    <n v="38.78"/>
    <n v="6.9"/>
  </r>
  <r>
    <s v="642-30-6693"/>
    <x v="2"/>
    <x v="2"/>
    <s v="Normal"/>
    <s v="Female"/>
    <x v="3"/>
    <n v="54.51"/>
    <n v="6"/>
    <n v="16.353000000000002"/>
    <n v="343.41300000000001"/>
    <x v="85"/>
    <x v="376"/>
    <x v="0"/>
    <n v="327.06"/>
    <n v="4.7619047620000003"/>
    <n v="16.353000000000002"/>
    <n v="7.8"/>
  </r>
  <r>
    <s v="484-22-8230"/>
    <x v="1"/>
    <x v="1"/>
    <s v="Member"/>
    <s v="Female"/>
    <x v="5"/>
    <n v="51.89"/>
    <n v="7"/>
    <n v="18.1615"/>
    <n v="381.39150000000001"/>
    <x v="66"/>
    <x v="390"/>
    <x v="1"/>
    <n v="363.23"/>
    <n v="4.7619047620000003"/>
    <n v="18.1615"/>
    <n v="4.5"/>
  </r>
  <r>
    <s v="830-58-2383"/>
    <x v="2"/>
    <x v="2"/>
    <s v="Normal"/>
    <s v="Male"/>
    <x v="2"/>
    <n v="31.75"/>
    <n v="4"/>
    <n v="6.35"/>
    <n v="133.35"/>
    <x v="4"/>
    <x v="108"/>
    <x v="1"/>
    <n v="127"/>
    <n v="4.7619047620000003"/>
    <n v="6.35"/>
    <n v="8.6"/>
  </r>
  <r>
    <s v="559-98-9873"/>
    <x v="0"/>
    <x v="0"/>
    <s v="Member"/>
    <s v="Female"/>
    <x v="5"/>
    <n v="53.65"/>
    <n v="7"/>
    <n v="18.7775"/>
    <n v="394.32749999999999"/>
    <x v="34"/>
    <x v="391"/>
    <x v="0"/>
    <n v="375.55"/>
    <n v="4.7619047620000003"/>
    <n v="18.7775"/>
    <n v="5.2"/>
  </r>
  <r>
    <s v="544-32-5024"/>
    <x v="1"/>
    <x v="1"/>
    <s v="Member"/>
    <s v="Female"/>
    <x v="4"/>
    <n v="49.79"/>
    <n v="4"/>
    <n v="9.9580000000000002"/>
    <n v="209.11799999999999"/>
    <x v="61"/>
    <x v="156"/>
    <x v="2"/>
    <n v="199.16"/>
    <n v="4.7619047620000003"/>
    <n v="9.9580000000000002"/>
    <n v="6.4"/>
  </r>
  <r>
    <s v="318-12-0304"/>
    <x v="0"/>
    <x v="0"/>
    <s v="Normal"/>
    <s v="Male"/>
    <x v="5"/>
    <n v="30.61"/>
    <n v="1"/>
    <n v="1.5305"/>
    <n v="32.140500000000003"/>
    <x v="54"/>
    <x v="22"/>
    <x v="0"/>
    <n v="30.61"/>
    <n v="4.7619047620000003"/>
    <n v="1.5305"/>
    <n v="5.2"/>
  </r>
  <r>
    <s v="349-97-8902"/>
    <x v="2"/>
    <x v="2"/>
    <s v="Member"/>
    <s v="Male"/>
    <x v="4"/>
    <n v="57.89"/>
    <n v="2"/>
    <n v="5.7889999999999997"/>
    <n v="121.569"/>
    <x v="29"/>
    <x v="4"/>
    <x v="0"/>
    <n v="115.78"/>
    <n v="4.7619047620000003"/>
    <n v="5.7889999999999997"/>
    <n v="8.9"/>
  </r>
  <r>
    <s v="421-95-9805"/>
    <x v="0"/>
    <x v="0"/>
    <s v="Normal"/>
    <s v="Female"/>
    <x v="1"/>
    <n v="28.96"/>
    <n v="1"/>
    <n v="1.448"/>
    <n v="30.408000000000001"/>
    <x v="13"/>
    <x v="392"/>
    <x v="2"/>
    <n v="28.96"/>
    <n v="4.7619047620000003"/>
    <n v="1.448"/>
    <n v="6.2"/>
  </r>
  <r>
    <s v="277-35-5865"/>
    <x v="1"/>
    <x v="1"/>
    <s v="Member"/>
    <s v="Female"/>
    <x v="4"/>
    <n v="98.97"/>
    <n v="9"/>
    <n v="44.536499999999997"/>
    <n v="935.26649999999995"/>
    <x v="11"/>
    <x v="219"/>
    <x v="1"/>
    <n v="890.73"/>
    <n v="4.7619047620000003"/>
    <n v="44.536499999999997"/>
    <n v="6.7"/>
  </r>
  <r>
    <s v="789-23-8625"/>
    <x v="2"/>
    <x v="2"/>
    <s v="Member"/>
    <s v="Male"/>
    <x v="5"/>
    <n v="93.22"/>
    <n v="3"/>
    <n v="13.983000000000001"/>
    <n v="293.64299999999997"/>
    <x v="46"/>
    <x v="393"/>
    <x v="1"/>
    <n v="279.66000000000003"/>
    <n v="4.7619047620000003"/>
    <n v="13.983000000000001"/>
    <n v="7.2"/>
  </r>
  <r>
    <s v="284-54-4231"/>
    <x v="1"/>
    <x v="1"/>
    <s v="Member"/>
    <s v="Male"/>
    <x v="3"/>
    <n v="80.930000000000007"/>
    <n v="1"/>
    <n v="4.0465"/>
    <n v="84.976500000000001"/>
    <x v="64"/>
    <x v="394"/>
    <x v="2"/>
    <n v="80.930000000000007"/>
    <n v="4.7619047620000003"/>
    <n v="4.0465"/>
    <n v="9"/>
  </r>
  <r>
    <s v="443-59-0061"/>
    <x v="0"/>
    <x v="0"/>
    <s v="Member"/>
    <s v="Male"/>
    <x v="4"/>
    <n v="67.45"/>
    <n v="10"/>
    <n v="33.725000000000001"/>
    <n v="708.22500000000002"/>
    <x v="36"/>
    <x v="210"/>
    <x v="0"/>
    <n v="674.5"/>
    <n v="4.7619047620000003"/>
    <n v="33.725000000000001"/>
    <n v="4.2"/>
  </r>
  <r>
    <s v="509-29-3912"/>
    <x v="0"/>
    <x v="0"/>
    <s v="Member"/>
    <s v="Female"/>
    <x v="3"/>
    <n v="38.72"/>
    <n v="9"/>
    <n v="17.423999999999999"/>
    <n v="365.904"/>
    <x v="80"/>
    <x v="395"/>
    <x v="0"/>
    <n v="348.48"/>
    <n v="4.7619047620000003"/>
    <n v="17.423999999999999"/>
    <n v="4.2"/>
  </r>
  <r>
    <s v="327-40-9673"/>
    <x v="2"/>
    <x v="2"/>
    <s v="Member"/>
    <s v="Male"/>
    <x v="3"/>
    <n v="72.599999999999994"/>
    <n v="6"/>
    <n v="21.78"/>
    <n v="457.38"/>
    <x v="50"/>
    <x v="396"/>
    <x v="1"/>
    <n v="435.6"/>
    <n v="4.7619047620000003"/>
    <n v="21.78"/>
    <n v="6.9"/>
  </r>
  <r>
    <s v="840-19-2096"/>
    <x v="1"/>
    <x v="1"/>
    <s v="Member"/>
    <s v="Male"/>
    <x v="1"/>
    <n v="87.91"/>
    <n v="5"/>
    <n v="21.977499999999999"/>
    <n v="461.52749999999997"/>
    <x v="86"/>
    <x v="397"/>
    <x v="0"/>
    <n v="439.55"/>
    <n v="4.7619047620000003"/>
    <n v="21.977499999999999"/>
    <n v="4.4000000000000004"/>
  </r>
  <r>
    <s v="828-46-6863"/>
    <x v="0"/>
    <x v="0"/>
    <s v="Member"/>
    <s v="Male"/>
    <x v="4"/>
    <n v="98.53"/>
    <n v="6"/>
    <n v="29.559000000000001"/>
    <n v="620.73900000000003"/>
    <x v="54"/>
    <x v="218"/>
    <x v="2"/>
    <n v="591.17999999999995"/>
    <n v="4.7619047620000003"/>
    <n v="29.559000000000001"/>
    <n v="4"/>
  </r>
  <r>
    <s v="641-96-3695"/>
    <x v="1"/>
    <x v="1"/>
    <s v="Member"/>
    <s v="Female"/>
    <x v="5"/>
    <n v="43.46"/>
    <n v="6"/>
    <n v="13.038"/>
    <n v="273.798"/>
    <x v="13"/>
    <x v="84"/>
    <x v="0"/>
    <n v="260.76"/>
    <n v="4.7619047620000003"/>
    <n v="13.038"/>
    <n v="8.5"/>
  </r>
  <r>
    <s v="420-97-3340"/>
    <x v="0"/>
    <x v="0"/>
    <s v="Normal"/>
    <s v="Female"/>
    <x v="4"/>
    <n v="71.680000000000007"/>
    <n v="3"/>
    <n v="10.752000000000001"/>
    <n v="225.792"/>
    <x v="61"/>
    <x v="19"/>
    <x v="2"/>
    <n v="215.04"/>
    <n v="4.7619047620000003"/>
    <n v="10.752000000000001"/>
    <n v="9.1999999999999993"/>
  </r>
  <r>
    <s v="436-54-4512"/>
    <x v="0"/>
    <x v="0"/>
    <s v="Member"/>
    <s v="Female"/>
    <x v="4"/>
    <n v="91.61"/>
    <n v="1"/>
    <n v="4.5804999999999998"/>
    <n v="96.1905"/>
    <x v="80"/>
    <x v="143"/>
    <x v="1"/>
    <n v="91.61"/>
    <n v="4.7619047620000003"/>
    <n v="4.5804999999999998"/>
    <n v="9.8000000000000007"/>
  </r>
  <r>
    <s v="670-79-6321"/>
    <x v="2"/>
    <x v="2"/>
    <s v="Member"/>
    <s v="Female"/>
    <x v="2"/>
    <n v="94.59"/>
    <n v="7"/>
    <n v="33.106499999999997"/>
    <n v="695.23649999999998"/>
    <x v="29"/>
    <x v="398"/>
    <x v="2"/>
    <n v="662.13"/>
    <n v="4.7619047620000003"/>
    <n v="33.106499999999997"/>
    <n v="4.9000000000000004"/>
  </r>
  <r>
    <s v="852-62-7105"/>
    <x v="2"/>
    <x v="2"/>
    <s v="Normal"/>
    <s v="Female"/>
    <x v="5"/>
    <n v="83.25"/>
    <n v="10"/>
    <n v="41.625"/>
    <n v="874.125"/>
    <x v="52"/>
    <x v="210"/>
    <x v="2"/>
    <n v="832.5"/>
    <n v="4.7619047620000003"/>
    <n v="41.625"/>
    <n v="4.4000000000000004"/>
  </r>
  <r>
    <s v="598-06-7312"/>
    <x v="2"/>
    <x v="2"/>
    <s v="Member"/>
    <s v="Male"/>
    <x v="5"/>
    <n v="91.35"/>
    <n v="1"/>
    <n v="4.5674999999999999"/>
    <n v="95.917500000000004"/>
    <x v="69"/>
    <x v="324"/>
    <x v="1"/>
    <n v="91.35"/>
    <n v="4.7619047620000003"/>
    <n v="4.5674999999999999"/>
    <n v="6.8"/>
  </r>
  <r>
    <s v="135-13-8269"/>
    <x v="2"/>
    <x v="2"/>
    <s v="Member"/>
    <s v="Female"/>
    <x v="4"/>
    <n v="78.88"/>
    <n v="2"/>
    <n v="7.8879999999999999"/>
    <n v="165.648"/>
    <x v="53"/>
    <x v="399"/>
    <x v="1"/>
    <n v="157.76"/>
    <n v="4.7619047620000003"/>
    <n v="7.8879999999999999"/>
    <n v="9.1"/>
  </r>
  <r>
    <s v="816-57-2053"/>
    <x v="0"/>
    <x v="0"/>
    <s v="Normal"/>
    <s v="Male"/>
    <x v="3"/>
    <n v="60.87"/>
    <n v="2"/>
    <n v="6.0869999999999997"/>
    <n v="127.827"/>
    <x v="11"/>
    <x v="378"/>
    <x v="0"/>
    <n v="121.74"/>
    <n v="4.7619047620000003"/>
    <n v="6.0869999999999997"/>
    <n v="8.6999999999999993"/>
  </r>
  <r>
    <s v="628-90-8624"/>
    <x v="2"/>
    <x v="2"/>
    <s v="Member"/>
    <s v="Male"/>
    <x v="0"/>
    <n v="82.58"/>
    <n v="10"/>
    <n v="41.29"/>
    <n v="867.09"/>
    <x v="86"/>
    <x v="400"/>
    <x v="1"/>
    <n v="825.8"/>
    <n v="4.7619047620000003"/>
    <n v="41.29"/>
    <n v="5"/>
  </r>
  <r>
    <s v="856-66-2701"/>
    <x v="0"/>
    <x v="0"/>
    <s v="Member"/>
    <s v="Male"/>
    <x v="2"/>
    <n v="53.3"/>
    <n v="3"/>
    <n v="7.9950000000000001"/>
    <n v="167.89500000000001"/>
    <x v="25"/>
    <x v="401"/>
    <x v="0"/>
    <n v="159.9"/>
    <n v="4.7619047620000003"/>
    <n v="7.9950000000000001"/>
    <n v="7.5"/>
  </r>
  <r>
    <s v="308-39-1707"/>
    <x v="0"/>
    <x v="0"/>
    <s v="Normal"/>
    <s v="Female"/>
    <x v="5"/>
    <n v="12.09"/>
    <n v="1"/>
    <n v="0.60450000000000004"/>
    <n v="12.6945"/>
    <x v="53"/>
    <x v="96"/>
    <x v="2"/>
    <n v="12.09"/>
    <n v="4.7619047620000003"/>
    <n v="0.60450000000000004"/>
    <n v="8.1999999999999993"/>
  </r>
  <r>
    <s v="149-61-1929"/>
    <x v="0"/>
    <x v="0"/>
    <s v="Normal"/>
    <s v="Male"/>
    <x v="3"/>
    <n v="64.19"/>
    <n v="10"/>
    <n v="32.094999999999999"/>
    <n v="673.995"/>
    <x v="64"/>
    <x v="402"/>
    <x v="2"/>
    <n v="641.9"/>
    <n v="4.7619047620000003"/>
    <n v="32.094999999999999"/>
    <n v="6.7"/>
  </r>
  <r>
    <s v="655-07-2265"/>
    <x v="0"/>
    <x v="0"/>
    <s v="Normal"/>
    <s v="Male"/>
    <x v="1"/>
    <n v="78.31"/>
    <n v="3"/>
    <n v="11.746499999999999"/>
    <n v="246.6765"/>
    <x v="19"/>
    <x v="382"/>
    <x v="0"/>
    <n v="234.93"/>
    <n v="4.7619047620000003"/>
    <n v="11.746499999999999"/>
    <n v="5.4"/>
  </r>
  <r>
    <s v="589-02-8023"/>
    <x v="0"/>
    <x v="0"/>
    <s v="Member"/>
    <s v="Male"/>
    <x v="4"/>
    <n v="83.77"/>
    <n v="2"/>
    <n v="8.3770000000000007"/>
    <n v="175.917"/>
    <x v="15"/>
    <x v="200"/>
    <x v="2"/>
    <n v="167.54"/>
    <n v="4.7619047620000003"/>
    <n v="8.3770000000000007"/>
    <n v="7"/>
  </r>
  <r>
    <s v="420-04-7590"/>
    <x v="2"/>
    <x v="2"/>
    <s v="Normal"/>
    <s v="Male"/>
    <x v="2"/>
    <n v="99.7"/>
    <n v="3"/>
    <n v="14.955"/>
    <n v="314.05500000000001"/>
    <x v="79"/>
    <x v="403"/>
    <x v="0"/>
    <n v="299.10000000000002"/>
    <n v="4.7619047620000003"/>
    <n v="14.955"/>
    <n v="4.7"/>
  </r>
  <r>
    <s v="182-88-2763"/>
    <x v="2"/>
    <x v="2"/>
    <s v="Member"/>
    <s v="Male"/>
    <x v="4"/>
    <n v="79.91"/>
    <n v="3"/>
    <n v="11.986499999999999"/>
    <n v="251.7165"/>
    <x v="80"/>
    <x v="198"/>
    <x v="2"/>
    <n v="239.73"/>
    <n v="4.7619047620000003"/>
    <n v="11.986499999999999"/>
    <n v="5"/>
  </r>
  <r>
    <s v="188-55-0967"/>
    <x v="2"/>
    <x v="2"/>
    <s v="Member"/>
    <s v="Male"/>
    <x v="0"/>
    <n v="66.47"/>
    <n v="10"/>
    <n v="33.234999999999999"/>
    <n v="697.93499999999995"/>
    <x v="15"/>
    <x v="66"/>
    <x v="2"/>
    <n v="664.7"/>
    <n v="4.7619047620000003"/>
    <n v="33.234999999999999"/>
    <n v="5"/>
  </r>
  <r>
    <s v="610-46-4100"/>
    <x v="0"/>
    <x v="0"/>
    <s v="Normal"/>
    <s v="Male"/>
    <x v="0"/>
    <n v="28.95"/>
    <n v="7"/>
    <n v="10.1325"/>
    <n v="212.7825"/>
    <x v="2"/>
    <x v="106"/>
    <x v="2"/>
    <n v="202.65"/>
    <n v="4.7619047620000003"/>
    <n v="10.1325"/>
    <n v="6"/>
  </r>
  <r>
    <s v="318-81-2368"/>
    <x v="1"/>
    <x v="1"/>
    <s v="Normal"/>
    <s v="Female"/>
    <x v="1"/>
    <n v="46.2"/>
    <n v="1"/>
    <n v="2.31"/>
    <n v="48.51"/>
    <x v="35"/>
    <x v="404"/>
    <x v="1"/>
    <n v="46.2"/>
    <n v="4.7619047620000003"/>
    <n v="2.31"/>
    <n v="6.3"/>
  </r>
  <r>
    <s v="364-33-8584"/>
    <x v="2"/>
    <x v="2"/>
    <s v="Member"/>
    <s v="Female"/>
    <x v="4"/>
    <n v="17.63"/>
    <n v="5"/>
    <n v="4.4074999999999998"/>
    <n v="92.557500000000005"/>
    <x v="1"/>
    <x v="398"/>
    <x v="1"/>
    <n v="88.15"/>
    <n v="4.7619047620000003"/>
    <n v="4.4074999999999998"/>
    <n v="8.5"/>
  </r>
  <r>
    <s v="665-63-9737"/>
    <x v="2"/>
    <x v="2"/>
    <s v="Normal"/>
    <s v="Male"/>
    <x v="5"/>
    <n v="52.42"/>
    <n v="3"/>
    <n v="7.8630000000000004"/>
    <n v="165.12299999999999"/>
    <x v="33"/>
    <x v="24"/>
    <x v="0"/>
    <n v="157.26"/>
    <n v="4.7619047620000003"/>
    <n v="7.8630000000000004"/>
    <n v="7.5"/>
  </r>
  <r>
    <s v="695-09-5146"/>
    <x v="2"/>
    <x v="2"/>
    <s v="Member"/>
    <s v="Female"/>
    <x v="4"/>
    <n v="98.79"/>
    <n v="3"/>
    <n v="14.8185"/>
    <n v="311.18849999999998"/>
    <x v="55"/>
    <x v="405"/>
    <x v="0"/>
    <n v="296.37"/>
    <n v="4.7619047620000003"/>
    <n v="14.8185"/>
    <n v="6.4"/>
  </r>
  <r>
    <s v="155-45-3814"/>
    <x v="1"/>
    <x v="1"/>
    <s v="Member"/>
    <s v="Female"/>
    <x v="1"/>
    <n v="88.55"/>
    <n v="8"/>
    <n v="35.42"/>
    <n v="743.82"/>
    <x v="35"/>
    <x v="406"/>
    <x v="0"/>
    <n v="708.4"/>
    <n v="4.7619047620000003"/>
    <n v="35.42"/>
    <n v="4.7"/>
  </r>
  <r>
    <s v="794-32-2436"/>
    <x v="2"/>
    <x v="2"/>
    <s v="Member"/>
    <s v="Male"/>
    <x v="1"/>
    <n v="55.67"/>
    <n v="2"/>
    <n v="5.5670000000000002"/>
    <n v="116.907"/>
    <x v="39"/>
    <x v="264"/>
    <x v="0"/>
    <n v="111.34"/>
    <n v="4.7619047620000003"/>
    <n v="5.5670000000000002"/>
    <n v="6"/>
  </r>
  <r>
    <s v="131-15-8856"/>
    <x v="1"/>
    <x v="1"/>
    <s v="Member"/>
    <s v="Female"/>
    <x v="4"/>
    <n v="72.52"/>
    <n v="8"/>
    <n v="29.007999999999999"/>
    <n v="609.16800000000001"/>
    <x v="73"/>
    <x v="206"/>
    <x v="2"/>
    <n v="580.16"/>
    <n v="4.7619047620000003"/>
    <n v="29.007999999999999"/>
    <n v="4"/>
  </r>
  <r>
    <s v="273-84-2164"/>
    <x v="1"/>
    <x v="1"/>
    <s v="Member"/>
    <s v="Male"/>
    <x v="1"/>
    <n v="12.05"/>
    <n v="5"/>
    <n v="3.0125000000000002"/>
    <n v="63.262500000000003"/>
    <x v="69"/>
    <x v="183"/>
    <x v="0"/>
    <n v="60.25"/>
    <n v="4.7619047620000003"/>
    <n v="3.0125000000000002"/>
    <n v="5.5"/>
  </r>
  <r>
    <s v="706-36-6154"/>
    <x v="0"/>
    <x v="0"/>
    <s v="Member"/>
    <s v="Male"/>
    <x v="2"/>
    <n v="19.36"/>
    <n v="9"/>
    <n v="8.7119999999999997"/>
    <n v="182.952"/>
    <x v="68"/>
    <x v="362"/>
    <x v="0"/>
    <n v="174.24"/>
    <n v="4.7619047620000003"/>
    <n v="8.7119999999999997"/>
    <n v="8.6999999999999993"/>
  </r>
  <r>
    <s v="778-89-7974"/>
    <x v="1"/>
    <x v="1"/>
    <s v="Normal"/>
    <s v="Male"/>
    <x v="0"/>
    <n v="70.209999999999994"/>
    <n v="6"/>
    <n v="21.062999999999999"/>
    <n v="442.32299999999998"/>
    <x v="73"/>
    <x v="407"/>
    <x v="1"/>
    <n v="421.26"/>
    <n v="4.7619047620000003"/>
    <n v="21.062999999999999"/>
    <n v="7.4"/>
  </r>
  <r>
    <s v="574-31-8277"/>
    <x v="2"/>
    <x v="2"/>
    <s v="Member"/>
    <s v="Male"/>
    <x v="5"/>
    <n v="33.630000000000003"/>
    <n v="1"/>
    <n v="1.6815"/>
    <n v="35.311500000000002"/>
    <x v="80"/>
    <x v="374"/>
    <x v="1"/>
    <n v="33.630000000000003"/>
    <n v="4.7619047620000003"/>
    <n v="1.6815"/>
    <n v="5.6"/>
  </r>
  <r>
    <s v="859-71-0933"/>
    <x v="1"/>
    <x v="1"/>
    <s v="Member"/>
    <s v="Female"/>
    <x v="3"/>
    <n v="15.49"/>
    <n v="2"/>
    <n v="1.5489999999999999"/>
    <n v="32.529000000000003"/>
    <x v="65"/>
    <x v="50"/>
    <x v="1"/>
    <n v="30.98"/>
    <n v="4.7619047620000003"/>
    <n v="1.5489999999999999"/>
    <n v="6.3"/>
  </r>
  <r>
    <s v="740-11-5257"/>
    <x v="1"/>
    <x v="1"/>
    <s v="Normal"/>
    <s v="Male"/>
    <x v="1"/>
    <n v="24.74"/>
    <n v="10"/>
    <n v="12.37"/>
    <n v="259.77"/>
    <x v="7"/>
    <x v="95"/>
    <x v="1"/>
    <n v="247.4"/>
    <n v="4.7619047620000003"/>
    <n v="12.37"/>
    <n v="7.1"/>
  </r>
  <r>
    <s v="369-82-2676"/>
    <x v="2"/>
    <x v="2"/>
    <s v="Normal"/>
    <s v="Male"/>
    <x v="1"/>
    <n v="75.66"/>
    <n v="5"/>
    <n v="18.914999999999999"/>
    <n v="397.21499999999997"/>
    <x v="15"/>
    <x v="282"/>
    <x v="0"/>
    <n v="378.3"/>
    <n v="4.7619047620000003"/>
    <n v="18.914999999999999"/>
    <n v="7.8"/>
  </r>
  <r>
    <s v="563-47-4072"/>
    <x v="2"/>
    <x v="2"/>
    <s v="Normal"/>
    <s v="Female"/>
    <x v="0"/>
    <n v="55.81"/>
    <n v="6"/>
    <n v="16.742999999999999"/>
    <n v="351.60300000000001"/>
    <x v="49"/>
    <x v="408"/>
    <x v="1"/>
    <n v="334.86"/>
    <n v="4.7619047620000003"/>
    <n v="16.742999999999999"/>
    <n v="9.9"/>
  </r>
  <r>
    <s v="742-04-5161"/>
    <x v="0"/>
    <x v="0"/>
    <s v="Member"/>
    <s v="Male"/>
    <x v="2"/>
    <n v="72.78"/>
    <n v="10"/>
    <n v="36.39"/>
    <n v="764.19"/>
    <x v="36"/>
    <x v="45"/>
    <x v="1"/>
    <n v="727.8"/>
    <n v="4.7619047620000003"/>
    <n v="36.39"/>
    <n v="7.3"/>
  </r>
  <r>
    <s v="149-15-7606"/>
    <x v="2"/>
    <x v="2"/>
    <s v="Member"/>
    <s v="Male"/>
    <x v="3"/>
    <n v="37.32"/>
    <n v="9"/>
    <n v="16.794"/>
    <n v="352.67399999999998"/>
    <x v="43"/>
    <x v="26"/>
    <x v="0"/>
    <n v="335.88"/>
    <n v="4.7619047620000003"/>
    <n v="16.794"/>
    <n v="5.0999999999999996"/>
  </r>
  <r>
    <s v="133-77-3154"/>
    <x v="2"/>
    <x v="2"/>
    <s v="Member"/>
    <s v="Male"/>
    <x v="5"/>
    <n v="60.18"/>
    <n v="4"/>
    <n v="12.036"/>
    <n v="252.756"/>
    <x v="69"/>
    <x v="358"/>
    <x v="2"/>
    <n v="240.72"/>
    <n v="4.7619047620000003"/>
    <n v="12.036"/>
    <n v="9.4"/>
  </r>
  <r>
    <s v="169-52-4504"/>
    <x v="0"/>
    <x v="0"/>
    <s v="Normal"/>
    <s v="Female"/>
    <x v="1"/>
    <n v="15.69"/>
    <n v="3"/>
    <n v="2.3534999999999999"/>
    <n v="49.423499999999997"/>
    <x v="86"/>
    <x v="385"/>
    <x v="2"/>
    <n v="47.07"/>
    <n v="4.7619047620000003"/>
    <n v="2.3534999999999999"/>
    <n v="5.8"/>
  </r>
  <r>
    <s v="250-81-7186"/>
    <x v="1"/>
    <x v="1"/>
    <s v="Normal"/>
    <s v="Female"/>
    <x v="1"/>
    <n v="99.69"/>
    <n v="1"/>
    <n v="4.9844999999999997"/>
    <n v="104.67449999999999"/>
    <x v="33"/>
    <x v="81"/>
    <x v="2"/>
    <n v="99.69"/>
    <n v="4.7619047620000003"/>
    <n v="4.9844999999999997"/>
    <n v="8"/>
  </r>
  <r>
    <s v="562-12-5430"/>
    <x v="0"/>
    <x v="0"/>
    <s v="Member"/>
    <s v="Female"/>
    <x v="5"/>
    <n v="88.15"/>
    <n v="3"/>
    <n v="13.2225"/>
    <n v="277.67250000000001"/>
    <x v="68"/>
    <x v="41"/>
    <x v="0"/>
    <n v="264.45"/>
    <n v="4.7619047620000003"/>
    <n v="13.2225"/>
    <n v="7.9"/>
  </r>
  <r>
    <s v="816-72-8853"/>
    <x v="0"/>
    <x v="0"/>
    <s v="Member"/>
    <s v="Female"/>
    <x v="3"/>
    <n v="27.93"/>
    <n v="5"/>
    <n v="6.9824999999999999"/>
    <n v="146.63249999999999"/>
    <x v="71"/>
    <x v="74"/>
    <x v="1"/>
    <n v="139.65"/>
    <n v="4.7619047620000003"/>
    <n v="6.9824999999999999"/>
    <n v="5.9"/>
  </r>
  <r>
    <s v="491-38-3499"/>
    <x v="0"/>
    <x v="0"/>
    <s v="Member"/>
    <s v="Male"/>
    <x v="5"/>
    <n v="55.45"/>
    <n v="1"/>
    <n v="2.7725"/>
    <n v="58.222499999999997"/>
    <x v="84"/>
    <x v="409"/>
    <x v="2"/>
    <n v="55.45"/>
    <n v="4.7619047620000003"/>
    <n v="2.7725"/>
    <n v="4.9000000000000004"/>
  </r>
  <r>
    <s v="322-02-2271"/>
    <x v="2"/>
    <x v="2"/>
    <s v="Normal"/>
    <s v="Female"/>
    <x v="3"/>
    <n v="42.97"/>
    <n v="3"/>
    <n v="6.4455"/>
    <n v="135.35550000000001"/>
    <x v="36"/>
    <x v="246"/>
    <x v="1"/>
    <n v="128.91"/>
    <n v="4.7619047620000003"/>
    <n v="6.4455"/>
    <n v="9.3000000000000007"/>
  </r>
  <r>
    <s v="842-29-4695"/>
    <x v="1"/>
    <x v="1"/>
    <s v="Member"/>
    <s v="Male"/>
    <x v="3"/>
    <n v="17.14"/>
    <n v="7"/>
    <n v="5.9989999999999997"/>
    <n v="125.979"/>
    <x v="65"/>
    <x v="348"/>
    <x v="2"/>
    <n v="119.98"/>
    <n v="4.7619047620000003"/>
    <n v="5.9989999999999997"/>
    <n v="7.9"/>
  </r>
  <r>
    <s v="725-67-2480"/>
    <x v="2"/>
    <x v="2"/>
    <s v="Member"/>
    <s v="Female"/>
    <x v="5"/>
    <n v="58.75"/>
    <n v="6"/>
    <n v="17.625"/>
    <n v="370.125"/>
    <x v="62"/>
    <x v="92"/>
    <x v="2"/>
    <n v="352.5"/>
    <n v="4.7619047620000003"/>
    <n v="17.625"/>
    <n v="5.9"/>
  </r>
  <r>
    <s v="641-51-2661"/>
    <x v="1"/>
    <x v="1"/>
    <s v="Member"/>
    <s v="Female"/>
    <x v="4"/>
    <n v="87.1"/>
    <n v="10"/>
    <n v="43.55"/>
    <n v="914.55"/>
    <x v="12"/>
    <x v="410"/>
    <x v="2"/>
    <n v="871"/>
    <n v="4.7619047620000003"/>
    <n v="43.55"/>
    <n v="9.9"/>
  </r>
  <r>
    <s v="714-02-3114"/>
    <x v="1"/>
    <x v="1"/>
    <s v="Normal"/>
    <s v="Female"/>
    <x v="3"/>
    <n v="98.8"/>
    <n v="2"/>
    <n v="9.8800000000000008"/>
    <n v="207.48"/>
    <x v="81"/>
    <x v="411"/>
    <x v="1"/>
    <n v="197.6"/>
    <n v="4.7619047620000003"/>
    <n v="9.8800000000000008"/>
    <n v="7.7"/>
  </r>
  <r>
    <s v="518-17-2983"/>
    <x v="0"/>
    <x v="0"/>
    <s v="Normal"/>
    <s v="Female"/>
    <x v="5"/>
    <n v="48.63"/>
    <n v="4"/>
    <n v="9.7260000000000009"/>
    <n v="204.24600000000001"/>
    <x v="87"/>
    <x v="284"/>
    <x v="0"/>
    <n v="194.52"/>
    <n v="4.7619047620000003"/>
    <n v="9.7260000000000009"/>
    <n v="7.6"/>
  </r>
  <r>
    <s v="779-42-2410"/>
    <x v="2"/>
    <x v="2"/>
    <s v="Member"/>
    <s v="Male"/>
    <x v="4"/>
    <n v="57.74"/>
    <n v="3"/>
    <n v="8.6609999999999996"/>
    <n v="181.881"/>
    <x v="9"/>
    <x v="412"/>
    <x v="0"/>
    <n v="173.22"/>
    <n v="4.7619047620000003"/>
    <n v="8.6609999999999996"/>
    <n v="7.7"/>
  </r>
  <r>
    <s v="190-14-3147"/>
    <x v="2"/>
    <x v="2"/>
    <s v="Normal"/>
    <s v="Female"/>
    <x v="0"/>
    <n v="17.97"/>
    <n v="4"/>
    <n v="3.5939999999999999"/>
    <n v="75.474000000000004"/>
    <x v="55"/>
    <x v="413"/>
    <x v="0"/>
    <n v="71.88"/>
    <n v="4.7619047620000003"/>
    <n v="3.5939999999999999"/>
    <n v="6.4"/>
  </r>
  <r>
    <s v="408-66-6712"/>
    <x v="1"/>
    <x v="1"/>
    <s v="Member"/>
    <s v="Female"/>
    <x v="0"/>
    <n v="47.71"/>
    <n v="6"/>
    <n v="14.313000000000001"/>
    <n v="300.57299999999998"/>
    <x v="69"/>
    <x v="401"/>
    <x v="0"/>
    <n v="286.26"/>
    <n v="4.7619047620000003"/>
    <n v="14.313000000000001"/>
    <n v="4.4000000000000004"/>
  </r>
  <r>
    <s v="679-22-6530"/>
    <x v="2"/>
    <x v="2"/>
    <s v="Normal"/>
    <s v="Female"/>
    <x v="3"/>
    <n v="40.619999999999997"/>
    <n v="2"/>
    <n v="4.0620000000000003"/>
    <n v="85.302000000000007"/>
    <x v="29"/>
    <x v="175"/>
    <x v="2"/>
    <n v="81.239999999999995"/>
    <n v="4.7619047620000003"/>
    <n v="4.0620000000000003"/>
    <n v="4.0999999999999996"/>
  </r>
  <r>
    <s v="588-47-8641"/>
    <x v="0"/>
    <x v="0"/>
    <s v="Member"/>
    <s v="Male"/>
    <x v="5"/>
    <n v="56.04"/>
    <n v="10"/>
    <n v="28.02"/>
    <n v="588.41999999999996"/>
    <x v="78"/>
    <x v="171"/>
    <x v="0"/>
    <n v="560.4"/>
    <n v="4.7619047620000003"/>
    <n v="28.02"/>
    <n v="4.4000000000000004"/>
  </r>
  <r>
    <s v="642-61-4706"/>
    <x v="2"/>
    <x v="2"/>
    <s v="Member"/>
    <s v="Male"/>
    <x v="4"/>
    <n v="93.4"/>
    <n v="2"/>
    <n v="9.34"/>
    <n v="196.14"/>
    <x v="73"/>
    <x v="414"/>
    <x v="1"/>
    <n v="186.8"/>
    <n v="4.7619047620000003"/>
    <n v="9.34"/>
    <n v="5.5"/>
  </r>
  <r>
    <s v="576-31-4774"/>
    <x v="2"/>
    <x v="2"/>
    <s v="Normal"/>
    <s v="Female"/>
    <x v="0"/>
    <n v="73.41"/>
    <n v="3"/>
    <n v="11.0115"/>
    <n v="231.2415"/>
    <x v="22"/>
    <x v="415"/>
    <x v="0"/>
    <n v="220.23"/>
    <n v="4.7619047620000003"/>
    <n v="11.0115"/>
    <n v="4"/>
  </r>
  <r>
    <s v="556-41-6224"/>
    <x v="1"/>
    <x v="1"/>
    <s v="Normal"/>
    <s v="Male"/>
    <x v="0"/>
    <n v="33.64"/>
    <n v="8"/>
    <n v="13.456"/>
    <n v="282.57600000000002"/>
    <x v="42"/>
    <x v="416"/>
    <x v="2"/>
    <n v="269.12"/>
    <n v="4.7619047620000003"/>
    <n v="13.456"/>
    <n v="9.3000000000000007"/>
  </r>
  <r>
    <s v="811-03-8790"/>
    <x v="0"/>
    <x v="0"/>
    <s v="Normal"/>
    <s v="Female"/>
    <x v="1"/>
    <n v="45.48"/>
    <n v="10"/>
    <n v="22.74"/>
    <n v="477.54"/>
    <x v="59"/>
    <x v="417"/>
    <x v="2"/>
    <n v="454.8"/>
    <n v="4.7619047620000003"/>
    <n v="22.74"/>
    <n v="4.8"/>
  </r>
  <r>
    <s v="242-11-3142"/>
    <x v="2"/>
    <x v="2"/>
    <s v="Member"/>
    <s v="Male"/>
    <x v="5"/>
    <n v="83.77"/>
    <n v="2"/>
    <n v="8.3770000000000007"/>
    <n v="175.917"/>
    <x v="7"/>
    <x v="129"/>
    <x v="1"/>
    <n v="167.54"/>
    <n v="4.7619047620000003"/>
    <n v="8.3770000000000007"/>
    <n v="4.5999999999999996"/>
  </r>
  <r>
    <s v="752-23-3760"/>
    <x v="2"/>
    <x v="2"/>
    <s v="Member"/>
    <s v="Female"/>
    <x v="3"/>
    <n v="64.08"/>
    <n v="7"/>
    <n v="22.428000000000001"/>
    <n v="470.988"/>
    <x v="88"/>
    <x v="418"/>
    <x v="2"/>
    <n v="448.56"/>
    <n v="4.7619047620000003"/>
    <n v="22.428000000000001"/>
    <n v="7.3"/>
  </r>
  <r>
    <s v="274-05-5470"/>
    <x v="0"/>
    <x v="0"/>
    <s v="Member"/>
    <s v="Female"/>
    <x v="4"/>
    <n v="73.47"/>
    <n v="4"/>
    <n v="14.694000000000001"/>
    <n v="308.57400000000001"/>
    <x v="55"/>
    <x v="5"/>
    <x v="1"/>
    <n v="293.88"/>
    <n v="4.7619047620000003"/>
    <n v="14.694000000000001"/>
    <n v="6"/>
  </r>
  <r>
    <s v="648-94-3045"/>
    <x v="1"/>
    <x v="1"/>
    <s v="Normal"/>
    <s v="Male"/>
    <x v="0"/>
    <n v="58.95"/>
    <n v="10"/>
    <n v="29.475000000000001"/>
    <n v="618.97500000000002"/>
    <x v="13"/>
    <x v="419"/>
    <x v="0"/>
    <n v="589.5"/>
    <n v="4.7619047620000003"/>
    <n v="29.475000000000001"/>
    <n v="8.1"/>
  </r>
  <r>
    <s v="130-67-4723"/>
    <x v="0"/>
    <x v="0"/>
    <s v="Member"/>
    <s v="Male"/>
    <x v="4"/>
    <n v="48.5"/>
    <n v="6"/>
    <n v="14.55"/>
    <n v="305.55"/>
    <x v="83"/>
    <x v="317"/>
    <x v="0"/>
    <n v="291"/>
    <n v="4.7619047620000003"/>
    <n v="14.55"/>
    <n v="9.4"/>
  </r>
  <r>
    <s v="528-87-5606"/>
    <x v="2"/>
    <x v="2"/>
    <s v="Member"/>
    <s v="Female"/>
    <x v="1"/>
    <n v="39.479999999999997"/>
    <n v="1"/>
    <n v="1.974"/>
    <n v="41.454000000000001"/>
    <x v="12"/>
    <x v="213"/>
    <x v="1"/>
    <n v="39.479999999999997"/>
    <n v="4.7619047620000003"/>
    <n v="1.974"/>
    <n v="6.5"/>
  </r>
  <r>
    <s v="320-85-2052"/>
    <x v="2"/>
    <x v="2"/>
    <s v="Normal"/>
    <s v="Female"/>
    <x v="3"/>
    <n v="34.81"/>
    <n v="1"/>
    <n v="1.7404999999999999"/>
    <n v="36.5505"/>
    <x v="78"/>
    <x v="41"/>
    <x v="2"/>
    <n v="34.81"/>
    <n v="4.7619047620000003"/>
    <n v="1.7404999999999999"/>
    <n v="7"/>
  </r>
  <r>
    <s v="370-96-0655"/>
    <x v="1"/>
    <x v="1"/>
    <s v="Normal"/>
    <s v="Female"/>
    <x v="5"/>
    <n v="49.32"/>
    <n v="6"/>
    <n v="14.795999999999999"/>
    <n v="310.71600000000001"/>
    <x v="51"/>
    <x v="190"/>
    <x v="0"/>
    <n v="295.92"/>
    <n v="4.7619047620000003"/>
    <n v="14.795999999999999"/>
    <n v="7.1"/>
  </r>
  <r>
    <s v="105-10-6182"/>
    <x v="0"/>
    <x v="0"/>
    <s v="Member"/>
    <s v="Male"/>
    <x v="5"/>
    <n v="21.48"/>
    <n v="2"/>
    <n v="2.1480000000000001"/>
    <n v="45.107999999999997"/>
    <x v="33"/>
    <x v="420"/>
    <x v="0"/>
    <n v="42.96"/>
    <n v="4.7619047620000003"/>
    <n v="2.1480000000000001"/>
    <n v="6.6"/>
  </r>
  <r>
    <s v="510-79-0415"/>
    <x v="2"/>
    <x v="2"/>
    <s v="Member"/>
    <s v="Female"/>
    <x v="3"/>
    <n v="23.08"/>
    <n v="6"/>
    <n v="6.9240000000000004"/>
    <n v="145.404"/>
    <x v="46"/>
    <x v="25"/>
    <x v="0"/>
    <n v="138.47999999999999"/>
    <n v="4.7619047620000003"/>
    <n v="6.9240000000000004"/>
    <n v="4.9000000000000004"/>
  </r>
  <r>
    <s v="241-96-5076"/>
    <x v="2"/>
    <x v="2"/>
    <s v="Member"/>
    <s v="Female"/>
    <x v="2"/>
    <n v="49.1"/>
    <n v="2"/>
    <n v="4.91"/>
    <n v="103.11"/>
    <x v="66"/>
    <x v="187"/>
    <x v="2"/>
    <n v="98.2"/>
    <n v="4.7619047620000003"/>
    <n v="4.91"/>
    <n v="6.4"/>
  </r>
  <r>
    <s v="767-97-4650"/>
    <x v="2"/>
    <x v="2"/>
    <s v="Member"/>
    <s v="Female"/>
    <x v="3"/>
    <n v="64.83"/>
    <n v="2"/>
    <n v="6.4829999999999997"/>
    <n v="136.143"/>
    <x v="66"/>
    <x v="421"/>
    <x v="2"/>
    <n v="129.66"/>
    <n v="4.7619047620000003"/>
    <n v="6.4829999999999997"/>
    <n v="8"/>
  </r>
  <r>
    <s v="648-83-1321"/>
    <x v="0"/>
    <x v="0"/>
    <s v="Member"/>
    <s v="Male"/>
    <x v="2"/>
    <n v="63.56"/>
    <n v="10"/>
    <n v="31.78"/>
    <n v="667.38"/>
    <x v="65"/>
    <x v="422"/>
    <x v="1"/>
    <n v="635.6"/>
    <n v="4.7619047620000003"/>
    <n v="31.78"/>
    <n v="4.3"/>
  </r>
  <r>
    <s v="173-57-2300"/>
    <x v="1"/>
    <x v="1"/>
    <s v="Member"/>
    <s v="Male"/>
    <x v="3"/>
    <n v="72.88"/>
    <n v="2"/>
    <n v="7.2880000000000003"/>
    <n v="153.048"/>
    <x v="45"/>
    <x v="423"/>
    <x v="1"/>
    <n v="145.76"/>
    <n v="4.7619047620000003"/>
    <n v="7.2880000000000003"/>
    <n v="6.1"/>
  </r>
  <r>
    <s v="305-03-2383"/>
    <x v="0"/>
    <x v="0"/>
    <s v="Normal"/>
    <s v="Female"/>
    <x v="4"/>
    <n v="67.099999999999994"/>
    <n v="3"/>
    <n v="10.065"/>
    <n v="211.36500000000001"/>
    <x v="42"/>
    <x v="130"/>
    <x v="1"/>
    <n v="201.3"/>
    <n v="4.7619047620000003"/>
    <n v="10.065"/>
    <n v="7.5"/>
  </r>
  <r>
    <s v="394-55-6384"/>
    <x v="1"/>
    <x v="1"/>
    <s v="Member"/>
    <s v="Female"/>
    <x v="3"/>
    <n v="70.19"/>
    <n v="9"/>
    <n v="31.5855"/>
    <n v="663.29549999999995"/>
    <x v="25"/>
    <x v="309"/>
    <x v="1"/>
    <n v="631.71"/>
    <n v="4.7619047620000003"/>
    <n v="31.5855"/>
    <n v="6.7"/>
  </r>
  <r>
    <s v="266-20-6657"/>
    <x v="1"/>
    <x v="1"/>
    <s v="Member"/>
    <s v="Male"/>
    <x v="4"/>
    <n v="55.04"/>
    <n v="7"/>
    <n v="19.263999999999999"/>
    <n v="404.54399999999998"/>
    <x v="41"/>
    <x v="30"/>
    <x v="0"/>
    <n v="385.28"/>
    <n v="4.7619047620000003"/>
    <n v="19.263999999999999"/>
    <n v="5.2"/>
  </r>
  <r>
    <s v="689-05-1884"/>
    <x v="0"/>
    <x v="0"/>
    <s v="Member"/>
    <s v="Male"/>
    <x v="0"/>
    <n v="48.63"/>
    <n v="10"/>
    <n v="24.315000000000001"/>
    <n v="510.61500000000001"/>
    <x v="31"/>
    <x v="104"/>
    <x v="1"/>
    <n v="486.3"/>
    <n v="4.7619047620000003"/>
    <n v="24.315000000000001"/>
    <n v="8.8000000000000007"/>
  </r>
  <r>
    <s v="196-01-2849"/>
    <x v="1"/>
    <x v="1"/>
    <s v="Member"/>
    <s v="Female"/>
    <x v="5"/>
    <n v="73.38"/>
    <n v="7"/>
    <n v="25.683"/>
    <n v="539.34299999999996"/>
    <x v="34"/>
    <x v="424"/>
    <x v="1"/>
    <n v="513.66"/>
    <n v="4.7619047620000003"/>
    <n v="25.683"/>
    <n v="9.5"/>
  </r>
  <r>
    <s v="372-62-5264"/>
    <x v="1"/>
    <x v="1"/>
    <s v="Normal"/>
    <s v="Female"/>
    <x v="4"/>
    <n v="52.6"/>
    <n v="9"/>
    <n v="23.67"/>
    <n v="497.07"/>
    <x v="65"/>
    <x v="51"/>
    <x v="1"/>
    <n v="473.4"/>
    <n v="4.7619047620000003"/>
    <n v="23.67"/>
    <n v="7.6"/>
  </r>
  <r>
    <s v="800-09-8606"/>
    <x v="0"/>
    <x v="0"/>
    <s v="Member"/>
    <s v="Female"/>
    <x v="2"/>
    <n v="87.37"/>
    <n v="5"/>
    <n v="21.842500000000001"/>
    <n v="458.6925"/>
    <x v="71"/>
    <x v="425"/>
    <x v="1"/>
    <n v="436.85"/>
    <n v="4.7619047620000003"/>
    <n v="21.842500000000001"/>
    <n v="6.6"/>
  </r>
  <r>
    <s v="182-52-7000"/>
    <x v="0"/>
    <x v="0"/>
    <s v="Member"/>
    <s v="Female"/>
    <x v="3"/>
    <n v="27.04"/>
    <n v="4"/>
    <n v="5.4080000000000004"/>
    <n v="113.568"/>
    <x v="17"/>
    <x v="263"/>
    <x v="0"/>
    <n v="108.16"/>
    <n v="4.7619047620000003"/>
    <n v="5.4080000000000004"/>
    <n v="6.9"/>
  </r>
  <r>
    <s v="826-58-8051"/>
    <x v="2"/>
    <x v="2"/>
    <s v="Normal"/>
    <s v="Male"/>
    <x v="2"/>
    <n v="62.19"/>
    <n v="4"/>
    <n v="12.438000000000001"/>
    <n v="261.19799999999998"/>
    <x v="47"/>
    <x v="162"/>
    <x v="0"/>
    <n v="248.76"/>
    <n v="4.7619047620000003"/>
    <n v="12.438000000000001"/>
    <n v="4.3"/>
  </r>
  <r>
    <s v="868-06-0466"/>
    <x v="0"/>
    <x v="0"/>
    <s v="Member"/>
    <s v="Male"/>
    <x v="1"/>
    <n v="69.58"/>
    <n v="9"/>
    <n v="31.311"/>
    <n v="657.53099999999995"/>
    <x v="88"/>
    <x v="371"/>
    <x v="2"/>
    <n v="626.22"/>
    <n v="4.7619047620000003"/>
    <n v="31.311"/>
    <n v="7.8"/>
  </r>
  <r>
    <s v="751-41-9720"/>
    <x v="1"/>
    <x v="1"/>
    <s v="Normal"/>
    <s v="Male"/>
    <x v="2"/>
    <n v="97.5"/>
    <n v="10"/>
    <n v="48.75"/>
    <n v="1023.75"/>
    <x v="52"/>
    <x v="426"/>
    <x v="0"/>
    <n v="975"/>
    <n v="4.7619047620000003"/>
    <n v="48.75"/>
    <n v="8"/>
  </r>
  <r>
    <s v="626-43-7888"/>
    <x v="1"/>
    <x v="1"/>
    <s v="Normal"/>
    <s v="Female"/>
    <x v="5"/>
    <n v="60.41"/>
    <n v="8"/>
    <n v="24.164000000000001"/>
    <n v="507.44400000000002"/>
    <x v="13"/>
    <x v="384"/>
    <x v="0"/>
    <n v="483.28"/>
    <n v="4.7619047620000003"/>
    <n v="24.164000000000001"/>
    <n v="9.6"/>
  </r>
  <r>
    <s v="176-64-7711"/>
    <x v="2"/>
    <x v="2"/>
    <s v="Normal"/>
    <s v="Male"/>
    <x v="4"/>
    <n v="32.32"/>
    <n v="3"/>
    <n v="4.8479999999999999"/>
    <n v="101.80800000000001"/>
    <x v="39"/>
    <x v="386"/>
    <x v="2"/>
    <n v="96.96"/>
    <n v="4.7619047620000003"/>
    <n v="4.8479999999999999"/>
    <n v="4.3"/>
  </r>
  <r>
    <s v="191-29-0321"/>
    <x v="2"/>
    <x v="2"/>
    <s v="Member"/>
    <s v="Female"/>
    <x v="5"/>
    <n v="19.77"/>
    <n v="10"/>
    <n v="9.8849999999999998"/>
    <n v="207.58500000000001"/>
    <x v="33"/>
    <x v="427"/>
    <x v="2"/>
    <n v="197.7"/>
    <n v="4.7619047620000003"/>
    <n v="9.8849999999999998"/>
    <n v="5"/>
  </r>
  <r>
    <s v="729-06-2010"/>
    <x v="2"/>
    <x v="2"/>
    <s v="Member"/>
    <s v="Male"/>
    <x v="0"/>
    <n v="80.47"/>
    <n v="9"/>
    <n v="36.211500000000001"/>
    <n v="760.44150000000002"/>
    <x v="47"/>
    <x v="428"/>
    <x v="1"/>
    <n v="724.23"/>
    <n v="4.7619047620000003"/>
    <n v="36.211500000000001"/>
    <n v="9.1999999999999993"/>
  </r>
  <r>
    <s v="640-48-5028"/>
    <x v="2"/>
    <x v="2"/>
    <s v="Member"/>
    <s v="Female"/>
    <x v="2"/>
    <n v="88.39"/>
    <n v="9"/>
    <n v="39.775500000000001"/>
    <n v="835.28549999999996"/>
    <x v="22"/>
    <x v="343"/>
    <x v="1"/>
    <n v="795.51"/>
    <n v="4.7619047620000003"/>
    <n v="39.775500000000001"/>
    <n v="6.3"/>
  </r>
  <r>
    <s v="186-79-9562"/>
    <x v="2"/>
    <x v="2"/>
    <s v="Normal"/>
    <s v="Male"/>
    <x v="0"/>
    <n v="71.77"/>
    <n v="7"/>
    <n v="25.119499999999999"/>
    <n v="527.5095"/>
    <x v="14"/>
    <x v="429"/>
    <x v="1"/>
    <n v="502.39"/>
    <n v="4.7619047620000003"/>
    <n v="25.119499999999999"/>
    <n v="8.9"/>
  </r>
  <r>
    <s v="834-45-5519"/>
    <x v="2"/>
    <x v="2"/>
    <s v="Normal"/>
    <s v="Female"/>
    <x v="1"/>
    <n v="43"/>
    <n v="4"/>
    <n v="8.6"/>
    <n v="180.6"/>
    <x v="82"/>
    <x v="109"/>
    <x v="0"/>
    <n v="172"/>
    <n v="4.7619047620000003"/>
    <n v="8.6"/>
    <n v="7.6"/>
  </r>
  <r>
    <s v="162-65-8559"/>
    <x v="1"/>
    <x v="1"/>
    <s v="Member"/>
    <s v="Male"/>
    <x v="4"/>
    <n v="68.98"/>
    <n v="1"/>
    <n v="3.4489999999999998"/>
    <n v="72.429000000000002"/>
    <x v="18"/>
    <x v="430"/>
    <x v="1"/>
    <n v="68.98"/>
    <n v="4.7619047620000003"/>
    <n v="3.4489999999999998"/>
    <n v="4.8"/>
  </r>
  <r>
    <s v="760-27-5490"/>
    <x v="1"/>
    <x v="1"/>
    <s v="Normal"/>
    <s v="Male"/>
    <x v="5"/>
    <n v="15.62"/>
    <n v="8"/>
    <n v="6.2480000000000002"/>
    <n v="131.208"/>
    <x v="40"/>
    <x v="291"/>
    <x v="0"/>
    <n v="124.96"/>
    <n v="4.7619047620000003"/>
    <n v="6.2480000000000002"/>
    <n v="9.1"/>
  </r>
  <r>
    <s v="445-30-9252"/>
    <x v="0"/>
    <x v="0"/>
    <s v="Normal"/>
    <s v="Male"/>
    <x v="3"/>
    <n v="25.7"/>
    <n v="3"/>
    <n v="3.855"/>
    <n v="80.954999999999998"/>
    <x v="29"/>
    <x v="422"/>
    <x v="0"/>
    <n v="77.099999999999994"/>
    <n v="4.7619047620000003"/>
    <n v="3.855"/>
    <n v="6.1"/>
  </r>
  <r>
    <s v="786-94-2700"/>
    <x v="0"/>
    <x v="0"/>
    <s v="Member"/>
    <s v="Male"/>
    <x v="4"/>
    <n v="80.62"/>
    <n v="6"/>
    <n v="24.186"/>
    <n v="507.90600000000001"/>
    <x v="38"/>
    <x v="307"/>
    <x v="1"/>
    <n v="483.72"/>
    <n v="4.7619047620000003"/>
    <n v="24.186"/>
    <n v="9.1"/>
  </r>
  <r>
    <s v="728-88-7867"/>
    <x v="1"/>
    <x v="1"/>
    <s v="Member"/>
    <s v="Female"/>
    <x v="2"/>
    <n v="75.53"/>
    <n v="4"/>
    <n v="15.106"/>
    <n v="317.226"/>
    <x v="35"/>
    <x v="350"/>
    <x v="0"/>
    <n v="302.12"/>
    <n v="4.7619047620000003"/>
    <n v="15.106"/>
    <n v="8.3000000000000007"/>
  </r>
  <r>
    <s v="183-21-3799"/>
    <x v="1"/>
    <x v="1"/>
    <s v="Normal"/>
    <s v="Female"/>
    <x v="1"/>
    <n v="77.63"/>
    <n v="9"/>
    <n v="34.933500000000002"/>
    <n v="733.60350000000005"/>
    <x v="88"/>
    <x v="431"/>
    <x v="0"/>
    <n v="698.67"/>
    <n v="4.7619047620000003"/>
    <n v="34.933500000000002"/>
    <n v="7.2"/>
  </r>
  <r>
    <s v="268-20-3585"/>
    <x v="1"/>
    <x v="1"/>
    <s v="Normal"/>
    <s v="Female"/>
    <x v="0"/>
    <n v="13.85"/>
    <n v="9"/>
    <n v="6.2324999999999999"/>
    <n v="130.88249999999999"/>
    <x v="87"/>
    <x v="165"/>
    <x v="0"/>
    <n v="124.65"/>
    <n v="4.7619047620000003"/>
    <n v="6.2324999999999999"/>
    <n v="6"/>
  </r>
  <r>
    <s v="735-32-9839"/>
    <x v="1"/>
    <x v="1"/>
    <s v="Member"/>
    <s v="Male"/>
    <x v="5"/>
    <n v="98.7"/>
    <n v="8"/>
    <n v="39.479999999999997"/>
    <n v="829.08"/>
    <x v="82"/>
    <x v="130"/>
    <x v="0"/>
    <n v="789.6"/>
    <n v="4.7619047620000003"/>
    <n v="39.479999999999997"/>
    <n v="8.5"/>
  </r>
  <r>
    <s v="258-92-7466"/>
    <x v="0"/>
    <x v="0"/>
    <s v="Normal"/>
    <s v="Female"/>
    <x v="0"/>
    <n v="35.68"/>
    <n v="5"/>
    <n v="8.92"/>
    <n v="187.32"/>
    <x v="10"/>
    <x v="333"/>
    <x v="2"/>
    <n v="178.4"/>
    <n v="4.7619047620000003"/>
    <n v="8.92"/>
    <n v="6.6"/>
  </r>
  <r>
    <s v="857-16-3520"/>
    <x v="0"/>
    <x v="0"/>
    <s v="Member"/>
    <s v="Female"/>
    <x v="5"/>
    <n v="71.459999999999994"/>
    <n v="7"/>
    <n v="25.010999999999999"/>
    <n v="525.23099999999999"/>
    <x v="61"/>
    <x v="432"/>
    <x v="0"/>
    <n v="500.22"/>
    <n v="4.7619047620000003"/>
    <n v="25.010999999999999"/>
    <n v="4.5"/>
  </r>
  <r>
    <s v="482-17-1179"/>
    <x v="0"/>
    <x v="0"/>
    <s v="Member"/>
    <s v="Male"/>
    <x v="1"/>
    <n v="11.94"/>
    <n v="3"/>
    <n v="1.7909999999999999"/>
    <n v="37.610999999999997"/>
    <x v="64"/>
    <x v="433"/>
    <x v="2"/>
    <n v="35.82"/>
    <n v="4.7619047620000003"/>
    <n v="1.7909999999999999"/>
    <n v="8.1"/>
  </r>
  <r>
    <s v="788-21-5741"/>
    <x v="0"/>
    <x v="0"/>
    <s v="Normal"/>
    <s v="Male"/>
    <x v="5"/>
    <n v="45.38"/>
    <n v="3"/>
    <n v="6.8070000000000004"/>
    <n v="142.947"/>
    <x v="21"/>
    <x v="229"/>
    <x v="2"/>
    <n v="136.13999999999999"/>
    <n v="4.7619047620000003"/>
    <n v="6.8070000000000004"/>
    <n v="7.2"/>
  </r>
  <r>
    <s v="821-14-9046"/>
    <x v="2"/>
    <x v="2"/>
    <s v="Member"/>
    <s v="Female"/>
    <x v="5"/>
    <n v="17.48"/>
    <n v="6"/>
    <n v="5.2439999999999998"/>
    <n v="110.124"/>
    <x v="68"/>
    <x v="278"/>
    <x v="2"/>
    <n v="104.88"/>
    <n v="4.7619047620000003"/>
    <n v="5.2439999999999998"/>
    <n v="6.1"/>
  </r>
  <r>
    <s v="418-05-0656"/>
    <x v="2"/>
    <x v="2"/>
    <s v="Normal"/>
    <s v="Female"/>
    <x v="5"/>
    <n v="25.56"/>
    <n v="7"/>
    <n v="8.9459999999999997"/>
    <n v="187.86600000000001"/>
    <x v="30"/>
    <x v="434"/>
    <x v="1"/>
    <n v="178.92"/>
    <n v="4.7619047620000003"/>
    <n v="8.9459999999999997"/>
    <n v="7.1"/>
  </r>
  <r>
    <s v="678-79-0726"/>
    <x v="1"/>
    <x v="1"/>
    <s v="Member"/>
    <s v="Female"/>
    <x v="3"/>
    <n v="90.63"/>
    <n v="9"/>
    <n v="40.783499999999997"/>
    <n v="856.45349999999996"/>
    <x v="68"/>
    <x v="311"/>
    <x v="1"/>
    <n v="815.67"/>
    <n v="4.7619047620000003"/>
    <n v="40.783499999999997"/>
    <n v="5.0999999999999996"/>
  </r>
  <r>
    <s v="776-68-1096"/>
    <x v="2"/>
    <x v="2"/>
    <s v="Normal"/>
    <s v="Male"/>
    <x v="2"/>
    <n v="44.12"/>
    <n v="3"/>
    <n v="6.6180000000000003"/>
    <n v="138.97800000000001"/>
    <x v="79"/>
    <x v="286"/>
    <x v="2"/>
    <n v="132.36000000000001"/>
    <n v="4.7619047620000003"/>
    <n v="6.6180000000000003"/>
    <n v="7.9"/>
  </r>
  <r>
    <s v="592-46-1692"/>
    <x v="1"/>
    <x v="1"/>
    <s v="Member"/>
    <s v="Female"/>
    <x v="4"/>
    <n v="36.770000000000003"/>
    <n v="7"/>
    <n v="12.8695"/>
    <n v="270.2595"/>
    <x v="83"/>
    <x v="435"/>
    <x v="1"/>
    <n v="257.39"/>
    <n v="4.7619047620000003"/>
    <n v="12.8695"/>
    <n v="7.4"/>
  </r>
  <r>
    <s v="434-35-9162"/>
    <x v="2"/>
    <x v="2"/>
    <s v="Member"/>
    <s v="Male"/>
    <x v="4"/>
    <n v="23.34"/>
    <n v="4"/>
    <n v="4.6680000000000001"/>
    <n v="98.028000000000006"/>
    <x v="87"/>
    <x v="387"/>
    <x v="0"/>
    <n v="93.36"/>
    <n v="4.7619047620000003"/>
    <n v="4.6680000000000001"/>
    <n v="7.4"/>
  </r>
  <r>
    <s v="149-14-0304"/>
    <x v="1"/>
    <x v="1"/>
    <s v="Member"/>
    <s v="Female"/>
    <x v="0"/>
    <n v="28.5"/>
    <n v="8"/>
    <n v="11.4"/>
    <n v="239.4"/>
    <x v="10"/>
    <x v="436"/>
    <x v="1"/>
    <n v="228"/>
    <n v="4.7619047620000003"/>
    <n v="11.4"/>
    <n v="6.6"/>
  </r>
  <r>
    <s v="442-44-6497"/>
    <x v="1"/>
    <x v="1"/>
    <s v="Member"/>
    <s v="Male"/>
    <x v="2"/>
    <n v="55.57"/>
    <n v="3"/>
    <n v="8.3354999999999997"/>
    <n v="175.0455"/>
    <x v="66"/>
    <x v="437"/>
    <x v="2"/>
    <n v="166.71"/>
    <n v="4.7619047620000003"/>
    <n v="8.3354999999999997"/>
    <n v="5.9"/>
  </r>
  <r>
    <s v="174-64-0215"/>
    <x v="2"/>
    <x v="2"/>
    <s v="Normal"/>
    <s v="Male"/>
    <x v="3"/>
    <n v="69.739999999999995"/>
    <n v="10"/>
    <n v="34.869999999999997"/>
    <n v="732.27"/>
    <x v="19"/>
    <x v="438"/>
    <x v="2"/>
    <n v="697.4"/>
    <n v="4.7619047620000003"/>
    <n v="34.869999999999997"/>
    <n v="8.9"/>
  </r>
  <r>
    <s v="210-74-9613"/>
    <x v="1"/>
    <x v="1"/>
    <s v="Normal"/>
    <s v="Male"/>
    <x v="5"/>
    <n v="97.26"/>
    <n v="4"/>
    <n v="19.452000000000002"/>
    <n v="408.49200000000002"/>
    <x v="32"/>
    <x v="439"/>
    <x v="0"/>
    <n v="389.04"/>
    <n v="4.7619047620000003"/>
    <n v="19.452000000000002"/>
    <n v="6.8"/>
  </r>
  <r>
    <s v="299-29-0180"/>
    <x v="2"/>
    <x v="2"/>
    <s v="Member"/>
    <s v="Female"/>
    <x v="2"/>
    <n v="52.18"/>
    <n v="7"/>
    <n v="18.263000000000002"/>
    <n v="383.52300000000002"/>
    <x v="11"/>
    <x v="200"/>
    <x v="1"/>
    <n v="365.26"/>
    <n v="4.7619047620000003"/>
    <n v="18.263000000000002"/>
    <n v="9.3000000000000007"/>
  </r>
  <r>
    <s v="247-11-2470"/>
    <x v="0"/>
    <x v="0"/>
    <s v="Member"/>
    <s v="Female"/>
    <x v="5"/>
    <n v="22.32"/>
    <n v="4"/>
    <n v="4.4640000000000004"/>
    <n v="93.744"/>
    <x v="59"/>
    <x v="293"/>
    <x v="2"/>
    <n v="89.28"/>
    <n v="4.7619047620000003"/>
    <n v="4.4640000000000004"/>
    <n v="4.4000000000000004"/>
  </r>
  <r>
    <s v="635-28-5728"/>
    <x v="0"/>
    <x v="0"/>
    <s v="Normal"/>
    <s v="Male"/>
    <x v="0"/>
    <n v="56"/>
    <n v="3"/>
    <n v="8.4"/>
    <n v="176.4"/>
    <x v="38"/>
    <x v="295"/>
    <x v="0"/>
    <n v="168"/>
    <n v="4.7619047620000003"/>
    <n v="8.4"/>
    <n v="4.8"/>
  </r>
  <r>
    <s v="756-49-0168"/>
    <x v="0"/>
    <x v="0"/>
    <s v="Member"/>
    <s v="Male"/>
    <x v="5"/>
    <n v="19.7"/>
    <n v="1"/>
    <n v="0.98499999999999999"/>
    <n v="20.684999999999999"/>
    <x v="4"/>
    <x v="411"/>
    <x v="0"/>
    <n v="19.7"/>
    <n v="4.7619047620000003"/>
    <n v="0.98499999999999999"/>
    <n v="9.5"/>
  </r>
  <r>
    <s v="438-23-1242"/>
    <x v="2"/>
    <x v="2"/>
    <s v="Normal"/>
    <s v="Male"/>
    <x v="1"/>
    <n v="75.88"/>
    <n v="7"/>
    <n v="26.558"/>
    <n v="557.71799999999996"/>
    <x v="46"/>
    <x v="440"/>
    <x v="0"/>
    <n v="531.16"/>
    <n v="4.7619047620000003"/>
    <n v="26.558"/>
    <n v="8.9"/>
  </r>
  <r>
    <s v="238-45-6950"/>
    <x v="2"/>
    <x v="2"/>
    <s v="Member"/>
    <s v="Male"/>
    <x v="4"/>
    <n v="53.72"/>
    <n v="1"/>
    <n v="2.6859999999999999"/>
    <n v="56.405999999999999"/>
    <x v="59"/>
    <x v="356"/>
    <x v="0"/>
    <n v="53.72"/>
    <n v="4.7619047620000003"/>
    <n v="2.6859999999999999"/>
    <n v="6.4"/>
  </r>
  <r>
    <s v="607-65-2441"/>
    <x v="1"/>
    <x v="1"/>
    <s v="Member"/>
    <s v="Male"/>
    <x v="0"/>
    <n v="81.95"/>
    <n v="10"/>
    <n v="40.975000000000001"/>
    <n v="860.47500000000002"/>
    <x v="24"/>
    <x v="441"/>
    <x v="2"/>
    <n v="819.5"/>
    <n v="4.7619047620000003"/>
    <n v="40.975000000000001"/>
    <n v="6"/>
  </r>
  <r>
    <s v="386-27-7606"/>
    <x v="1"/>
    <x v="1"/>
    <s v="Member"/>
    <s v="Female"/>
    <x v="2"/>
    <n v="81.2"/>
    <n v="7"/>
    <n v="28.42"/>
    <n v="596.82000000000005"/>
    <x v="28"/>
    <x v="273"/>
    <x v="2"/>
    <n v="568.4"/>
    <n v="4.7619047620000003"/>
    <n v="28.42"/>
    <n v="8.1"/>
  </r>
  <r>
    <s v="137-63-5492"/>
    <x v="1"/>
    <x v="1"/>
    <s v="Normal"/>
    <s v="Male"/>
    <x v="1"/>
    <n v="58.76"/>
    <n v="10"/>
    <n v="29.38"/>
    <n v="616.98"/>
    <x v="71"/>
    <x v="442"/>
    <x v="0"/>
    <n v="587.6"/>
    <n v="4.7619047620000003"/>
    <n v="29.38"/>
    <n v="9"/>
  </r>
  <r>
    <s v="197-77-7132"/>
    <x v="2"/>
    <x v="2"/>
    <s v="Member"/>
    <s v="Male"/>
    <x v="1"/>
    <n v="91.56"/>
    <n v="8"/>
    <n v="36.624000000000002"/>
    <n v="769.10400000000004"/>
    <x v="52"/>
    <x v="282"/>
    <x v="0"/>
    <n v="732.48"/>
    <n v="4.7619047620000003"/>
    <n v="36.624000000000002"/>
    <n v="6"/>
  </r>
  <r>
    <s v="805-86-0265"/>
    <x v="0"/>
    <x v="0"/>
    <s v="Normal"/>
    <s v="Male"/>
    <x v="2"/>
    <n v="93.96"/>
    <n v="9"/>
    <n v="42.281999999999996"/>
    <n v="887.92200000000003"/>
    <x v="80"/>
    <x v="102"/>
    <x v="1"/>
    <n v="845.64"/>
    <n v="4.7619047620000003"/>
    <n v="42.281999999999996"/>
    <n v="9.8000000000000007"/>
  </r>
  <r>
    <s v="733-29-1227"/>
    <x v="1"/>
    <x v="1"/>
    <s v="Normal"/>
    <s v="Male"/>
    <x v="2"/>
    <n v="55.61"/>
    <n v="7"/>
    <n v="19.4635"/>
    <n v="408.73349999999999"/>
    <x v="28"/>
    <x v="443"/>
    <x v="1"/>
    <n v="389.27"/>
    <n v="4.7619047620000003"/>
    <n v="19.4635"/>
    <n v="8.5"/>
  </r>
  <r>
    <s v="451-73-2711"/>
    <x v="1"/>
    <x v="1"/>
    <s v="Normal"/>
    <s v="Male"/>
    <x v="4"/>
    <n v="84.83"/>
    <n v="1"/>
    <n v="4.2415000000000003"/>
    <n v="89.0715"/>
    <x v="78"/>
    <x v="444"/>
    <x v="0"/>
    <n v="84.83"/>
    <n v="4.7619047620000003"/>
    <n v="4.2415000000000003"/>
    <n v="8.8000000000000007"/>
  </r>
  <r>
    <s v="373-14-0504"/>
    <x v="0"/>
    <x v="0"/>
    <s v="Member"/>
    <s v="Female"/>
    <x v="3"/>
    <n v="71.63"/>
    <n v="2"/>
    <n v="7.1630000000000003"/>
    <n v="150.423"/>
    <x v="12"/>
    <x v="375"/>
    <x v="0"/>
    <n v="143.26"/>
    <n v="4.7619047620000003"/>
    <n v="7.1630000000000003"/>
    <n v="8.8000000000000007"/>
  </r>
  <r>
    <s v="546-80-2899"/>
    <x v="0"/>
    <x v="0"/>
    <s v="Member"/>
    <s v="Male"/>
    <x v="2"/>
    <n v="37.69"/>
    <n v="2"/>
    <n v="3.7690000000000001"/>
    <n v="79.149000000000001"/>
    <x v="9"/>
    <x v="406"/>
    <x v="0"/>
    <n v="75.38"/>
    <n v="4.7619047620000003"/>
    <n v="3.7690000000000001"/>
    <n v="9.5"/>
  </r>
  <r>
    <s v="345-68-9016"/>
    <x v="1"/>
    <x v="1"/>
    <s v="Member"/>
    <s v="Female"/>
    <x v="3"/>
    <n v="31.67"/>
    <n v="8"/>
    <n v="12.667999999999999"/>
    <n v="266.02800000000002"/>
    <x v="56"/>
    <x v="15"/>
    <x v="2"/>
    <n v="253.36"/>
    <n v="4.7619047620000003"/>
    <n v="12.667999999999999"/>
    <n v="5.6"/>
  </r>
  <r>
    <s v="390-17-5806"/>
    <x v="1"/>
    <x v="1"/>
    <s v="Member"/>
    <s v="Female"/>
    <x v="4"/>
    <n v="38.42"/>
    <n v="1"/>
    <n v="1.921"/>
    <n v="40.341000000000001"/>
    <x v="30"/>
    <x v="445"/>
    <x v="1"/>
    <n v="38.42"/>
    <n v="4.7619047620000003"/>
    <n v="1.921"/>
    <n v="8.6"/>
  </r>
  <r>
    <s v="457-13-1708"/>
    <x v="2"/>
    <x v="2"/>
    <s v="Member"/>
    <s v="Male"/>
    <x v="5"/>
    <n v="65.23"/>
    <n v="10"/>
    <n v="32.615000000000002"/>
    <n v="684.91499999999996"/>
    <x v="66"/>
    <x v="312"/>
    <x v="2"/>
    <n v="652.29999999999995"/>
    <n v="4.7619047620000003"/>
    <n v="32.615000000000002"/>
    <n v="5.2"/>
  </r>
  <r>
    <s v="664-14-2882"/>
    <x v="1"/>
    <x v="1"/>
    <s v="Member"/>
    <s v="Female"/>
    <x v="2"/>
    <n v="10.53"/>
    <n v="5"/>
    <n v="2.6324999999999998"/>
    <n v="55.282499999999999"/>
    <x v="74"/>
    <x v="140"/>
    <x v="2"/>
    <n v="52.65"/>
    <n v="4.7619047620000003"/>
    <n v="2.6324999999999998"/>
    <n v="5.8"/>
  </r>
  <r>
    <s v="487-79-6868"/>
    <x v="2"/>
    <x v="2"/>
    <s v="Member"/>
    <s v="Female"/>
    <x v="2"/>
    <n v="12.29"/>
    <n v="9"/>
    <n v="5.5305"/>
    <n v="116.1405"/>
    <x v="58"/>
    <x v="198"/>
    <x v="2"/>
    <n v="110.61"/>
    <n v="4.7619047620000003"/>
    <n v="5.5305"/>
    <n v="8"/>
  </r>
  <r>
    <s v="314-23-4520"/>
    <x v="1"/>
    <x v="1"/>
    <s v="Member"/>
    <s v="Male"/>
    <x v="0"/>
    <n v="81.23"/>
    <n v="7"/>
    <n v="28.430499999999999"/>
    <n v="597.04049999999995"/>
    <x v="15"/>
    <x v="446"/>
    <x v="1"/>
    <n v="568.61"/>
    <n v="4.7619047620000003"/>
    <n v="28.430499999999999"/>
    <n v="9"/>
  </r>
  <r>
    <s v="210-30-7976"/>
    <x v="2"/>
    <x v="2"/>
    <s v="Member"/>
    <s v="Female"/>
    <x v="5"/>
    <n v="22.32"/>
    <n v="4"/>
    <n v="4.4640000000000004"/>
    <n v="93.744"/>
    <x v="86"/>
    <x v="447"/>
    <x v="0"/>
    <n v="89.28"/>
    <n v="4.7619047620000003"/>
    <n v="4.4640000000000004"/>
    <n v="4.0999999999999996"/>
  </r>
  <r>
    <s v="585-86-8361"/>
    <x v="0"/>
    <x v="0"/>
    <s v="Normal"/>
    <s v="Female"/>
    <x v="4"/>
    <n v="27.28"/>
    <n v="5"/>
    <n v="6.82"/>
    <n v="143.22"/>
    <x v="36"/>
    <x v="359"/>
    <x v="2"/>
    <n v="136.4"/>
    <n v="4.7619047620000003"/>
    <n v="6.82"/>
    <n v="8.6"/>
  </r>
  <r>
    <s v="807-14-7833"/>
    <x v="0"/>
    <x v="0"/>
    <s v="Member"/>
    <s v="Female"/>
    <x v="1"/>
    <n v="17.420000000000002"/>
    <n v="10"/>
    <n v="8.7100000000000009"/>
    <n v="182.91"/>
    <x v="70"/>
    <x v="448"/>
    <x v="0"/>
    <n v="174.2"/>
    <n v="4.7619047620000003"/>
    <n v="8.7100000000000009"/>
    <n v="7"/>
  </r>
  <r>
    <s v="775-72-1988"/>
    <x v="2"/>
    <x v="2"/>
    <s v="Normal"/>
    <s v="Male"/>
    <x v="2"/>
    <n v="73.28"/>
    <n v="5"/>
    <n v="18.32"/>
    <n v="384.72"/>
    <x v="46"/>
    <x v="184"/>
    <x v="0"/>
    <n v="366.4"/>
    <n v="4.7619047620000003"/>
    <n v="18.32"/>
    <n v="8.4"/>
  </r>
  <r>
    <s v="288-38-3758"/>
    <x v="1"/>
    <x v="1"/>
    <s v="Member"/>
    <s v="Female"/>
    <x v="5"/>
    <n v="84.87"/>
    <n v="3"/>
    <n v="12.730499999999999"/>
    <n v="267.34050000000002"/>
    <x v="25"/>
    <x v="5"/>
    <x v="0"/>
    <n v="254.61"/>
    <n v="4.7619047620000003"/>
    <n v="12.730499999999999"/>
    <n v="7.4"/>
  </r>
  <r>
    <s v="652-43-6591"/>
    <x v="0"/>
    <x v="0"/>
    <s v="Normal"/>
    <s v="Female"/>
    <x v="5"/>
    <n v="97.29"/>
    <n v="8"/>
    <n v="38.915999999999997"/>
    <n v="817.23599999999999"/>
    <x v="11"/>
    <x v="118"/>
    <x v="2"/>
    <n v="778.32"/>
    <n v="4.7619047620000003"/>
    <n v="38.915999999999997"/>
    <n v="6.2"/>
  </r>
  <r>
    <s v="785-96-0615"/>
    <x v="2"/>
    <x v="2"/>
    <s v="Member"/>
    <s v="Female"/>
    <x v="1"/>
    <n v="35.74"/>
    <n v="8"/>
    <n v="14.295999999999999"/>
    <n v="300.21600000000001"/>
    <x v="21"/>
    <x v="311"/>
    <x v="0"/>
    <n v="285.92"/>
    <n v="4.7619047620000003"/>
    <n v="14.295999999999999"/>
    <n v="4.9000000000000004"/>
  </r>
  <r>
    <s v="406-46-7107"/>
    <x v="0"/>
    <x v="0"/>
    <s v="Normal"/>
    <s v="Female"/>
    <x v="2"/>
    <n v="96.52"/>
    <n v="6"/>
    <n v="28.956"/>
    <n v="608.07600000000002"/>
    <x v="83"/>
    <x v="408"/>
    <x v="1"/>
    <n v="579.12"/>
    <n v="4.7619047620000003"/>
    <n v="28.956"/>
    <n v="4.5"/>
  </r>
  <r>
    <s v="250-17-5703"/>
    <x v="0"/>
    <x v="0"/>
    <s v="Member"/>
    <s v="Male"/>
    <x v="4"/>
    <n v="18.850000000000001"/>
    <n v="10"/>
    <n v="9.4250000000000007"/>
    <n v="197.92500000000001"/>
    <x v="33"/>
    <x v="202"/>
    <x v="0"/>
    <n v="188.5"/>
    <n v="4.7619047620000003"/>
    <n v="9.4250000000000007"/>
    <n v="5.6"/>
  </r>
  <r>
    <s v="156-95-3964"/>
    <x v="0"/>
    <x v="0"/>
    <s v="Normal"/>
    <s v="Female"/>
    <x v="4"/>
    <n v="55.39"/>
    <n v="4"/>
    <n v="11.077999999999999"/>
    <n v="232.63800000000001"/>
    <x v="5"/>
    <x v="332"/>
    <x v="0"/>
    <n v="221.56"/>
    <n v="4.7619047620000003"/>
    <n v="11.077999999999999"/>
    <n v="8"/>
  </r>
  <r>
    <s v="842-40-8179"/>
    <x v="2"/>
    <x v="2"/>
    <s v="Member"/>
    <s v="Female"/>
    <x v="4"/>
    <n v="77.2"/>
    <n v="10"/>
    <n v="38.6"/>
    <n v="810.6"/>
    <x v="48"/>
    <x v="440"/>
    <x v="2"/>
    <n v="772"/>
    <n v="4.7619047620000003"/>
    <n v="38.6"/>
    <n v="5.6"/>
  </r>
  <r>
    <s v="525-09-8450"/>
    <x v="2"/>
    <x v="2"/>
    <s v="Normal"/>
    <s v="Male"/>
    <x v="1"/>
    <n v="72.13"/>
    <n v="10"/>
    <n v="36.064999999999998"/>
    <n v="757.36500000000001"/>
    <x v="82"/>
    <x v="290"/>
    <x v="2"/>
    <n v="721.3"/>
    <n v="4.7619047620000003"/>
    <n v="36.064999999999998"/>
    <n v="4.2"/>
  </r>
  <r>
    <s v="410-67-1709"/>
    <x v="0"/>
    <x v="0"/>
    <s v="Member"/>
    <s v="Female"/>
    <x v="5"/>
    <n v="63.88"/>
    <n v="8"/>
    <n v="25.552"/>
    <n v="536.59199999999998"/>
    <x v="40"/>
    <x v="449"/>
    <x v="0"/>
    <n v="511.04"/>
    <n v="4.7619047620000003"/>
    <n v="25.552"/>
    <n v="9.9"/>
  </r>
  <r>
    <s v="587-73-4862"/>
    <x v="0"/>
    <x v="0"/>
    <s v="Member"/>
    <s v="Female"/>
    <x v="0"/>
    <n v="10.69"/>
    <n v="5"/>
    <n v="2.6724999999999999"/>
    <n v="56.122500000000002"/>
    <x v="58"/>
    <x v="383"/>
    <x v="0"/>
    <n v="53.45"/>
    <n v="4.7619047620000003"/>
    <n v="2.6724999999999999"/>
    <n v="7.6"/>
  </r>
  <r>
    <s v="787-87-2010"/>
    <x v="0"/>
    <x v="0"/>
    <s v="Member"/>
    <s v="Male"/>
    <x v="0"/>
    <n v="55.5"/>
    <n v="4"/>
    <n v="11.1"/>
    <n v="233.1"/>
    <x v="40"/>
    <x v="74"/>
    <x v="2"/>
    <n v="222"/>
    <n v="4.7619047620000003"/>
    <n v="11.1"/>
    <n v="6.6"/>
  </r>
  <r>
    <s v="593-14-4239"/>
    <x v="2"/>
    <x v="2"/>
    <s v="Normal"/>
    <s v="Female"/>
    <x v="2"/>
    <n v="95.46"/>
    <n v="8"/>
    <n v="38.183999999999997"/>
    <n v="801.86400000000003"/>
    <x v="19"/>
    <x v="138"/>
    <x v="0"/>
    <n v="763.68"/>
    <n v="4.7619047620000003"/>
    <n v="38.183999999999997"/>
    <n v="4.7"/>
  </r>
  <r>
    <s v="801-88-0346"/>
    <x v="1"/>
    <x v="1"/>
    <s v="Normal"/>
    <s v="Female"/>
    <x v="5"/>
    <n v="76.06"/>
    <n v="3"/>
    <n v="11.409000000000001"/>
    <n v="239.589"/>
    <x v="0"/>
    <x v="450"/>
    <x v="2"/>
    <n v="228.18"/>
    <n v="4.7619047620000003"/>
    <n v="11.409000000000001"/>
    <n v="9.8000000000000007"/>
  </r>
  <r>
    <s v="388-76-2555"/>
    <x v="2"/>
    <x v="2"/>
    <s v="Normal"/>
    <s v="Male"/>
    <x v="3"/>
    <n v="13.69"/>
    <n v="6"/>
    <n v="4.1070000000000002"/>
    <n v="86.247"/>
    <x v="77"/>
    <x v="451"/>
    <x v="1"/>
    <n v="82.14"/>
    <n v="4.7619047620000003"/>
    <n v="4.1070000000000002"/>
    <n v="6.3"/>
  </r>
  <r>
    <s v="711-31-1234"/>
    <x v="2"/>
    <x v="2"/>
    <s v="Normal"/>
    <s v="Female"/>
    <x v="1"/>
    <n v="95.64"/>
    <n v="4"/>
    <n v="19.128"/>
    <n v="401.68799999999999"/>
    <x v="32"/>
    <x v="370"/>
    <x v="1"/>
    <n v="382.56"/>
    <n v="4.7619047620000003"/>
    <n v="19.128"/>
    <n v="7.9"/>
  </r>
  <r>
    <s v="886-54-6089"/>
    <x v="0"/>
    <x v="0"/>
    <s v="Normal"/>
    <s v="Female"/>
    <x v="2"/>
    <n v="11.43"/>
    <n v="6"/>
    <n v="3.4289999999999998"/>
    <n v="72.009"/>
    <x v="15"/>
    <x v="45"/>
    <x v="1"/>
    <n v="68.58"/>
    <n v="4.7619047620000003"/>
    <n v="3.4289999999999998"/>
    <n v="7.7"/>
  </r>
  <r>
    <s v="707-32-7409"/>
    <x v="2"/>
    <x v="2"/>
    <s v="Member"/>
    <s v="Female"/>
    <x v="3"/>
    <n v="95.54"/>
    <n v="4"/>
    <n v="19.108000000000001"/>
    <n v="401.26799999999997"/>
    <x v="84"/>
    <x v="452"/>
    <x v="0"/>
    <n v="382.16"/>
    <n v="4.7619047620000003"/>
    <n v="19.108000000000001"/>
    <n v="4.5"/>
  </r>
  <r>
    <s v="759-98-4285"/>
    <x v="1"/>
    <x v="1"/>
    <s v="Member"/>
    <s v="Female"/>
    <x v="0"/>
    <n v="85.87"/>
    <n v="7"/>
    <n v="30.054500000000001"/>
    <n v="631.14449999999999"/>
    <x v="33"/>
    <x v="54"/>
    <x v="2"/>
    <n v="601.09"/>
    <n v="4.7619047620000003"/>
    <n v="30.054500000000001"/>
    <n v="8"/>
  </r>
  <r>
    <s v="201-63-8275"/>
    <x v="1"/>
    <x v="1"/>
    <s v="Member"/>
    <s v="Female"/>
    <x v="3"/>
    <n v="67.989999999999995"/>
    <n v="7"/>
    <n v="23.796500000000002"/>
    <n v="499.72649999999999"/>
    <x v="21"/>
    <x v="453"/>
    <x v="0"/>
    <n v="475.93"/>
    <n v="4.7619047620000003"/>
    <n v="23.796500000000002"/>
    <n v="5.7"/>
  </r>
  <r>
    <s v="471-06-8611"/>
    <x v="1"/>
    <x v="1"/>
    <s v="Normal"/>
    <s v="Female"/>
    <x v="4"/>
    <n v="52.42"/>
    <n v="1"/>
    <n v="2.621"/>
    <n v="55.040999999999997"/>
    <x v="10"/>
    <x v="417"/>
    <x v="2"/>
    <n v="52.42"/>
    <n v="4.7619047620000003"/>
    <n v="2.621"/>
    <n v="6.3"/>
  </r>
  <r>
    <s v="200-16-5952"/>
    <x v="1"/>
    <x v="1"/>
    <s v="Member"/>
    <s v="Male"/>
    <x v="4"/>
    <n v="65.650000000000006"/>
    <n v="2"/>
    <n v="6.5650000000000004"/>
    <n v="137.86500000000001"/>
    <x v="29"/>
    <x v="252"/>
    <x v="1"/>
    <n v="131.30000000000001"/>
    <n v="4.7619047620000003"/>
    <n v="6.5650000000000004"/>
    <n v="6"/>
  </r>
  <r>
    <s v="120-54-2248"/>
    <x v="2"/>
    <x v="2"/>
    <s v="Normal"/>
    <s v="Female"/>
    <x v="4"/>
    <n v="28.86"/>
    <n v="5"/>
    <n v="7.2149999999999999"/>
    <n v="151.51499999999999"/>
    <x v="49"/>
    <x v="182"/>
    <x v="2"/>
    <n v="144.30000000000001"/>
    <n v="4.7619047620000003"/>
    <n v="7.2149999999999999"/>
    <n v="8"/>
  </r>
  <r>
    <s v="102-77-2261"/>
    <x v="1"/>
    <x v="1"/>
    <s v="Member"/>
    <s v="Male"/>
    <x v="0"/>
    <n v="65.31"/>
    <n v="7"/>
    <n v="22.858499999999999"/>
    <n v="480.02850000000001"/>
    <x v="19"/>
    <x v="454"/>
    <x v="2"/>
    <n v="457.17"/>
    <n v="4.7619047620000003"/>
    <n v="22.858499999999999"/>
    <n v="4.2"/>
  </r>
  <r>
    <s v="875-31-8302"/>
    <x v="2"/>
    <x v="2"/>
    <s v="Normal"/>
    <s v="Male"/>
    <x v="3"/>
    <n v="93.38"/>
    <n v="1"/>
    <n v="4.6689999999999996"/>
    <n v="98.049000000000007"/>
    <x v="75"/>
    <x v="270"/>
    <x v="1"/>
    <n v="93.38"/>
    <n v="4.7619047620000003"/>
    <n v="4.6689999999999996"/>
    <n v="9.6"/>
  </r>
  <r>
    <s v="102-06-2002"/>
    <x v="1"/>
    <x v="1"/>
    <s v="Member"/>
    <s v="Male"/>
    <x v="3"/>
    <n v="25.25"/>
    <n v="5"/>
    <n v="6.3125"/>
    <n v="132.5625"/>
    <x v="80"/>
    <x v="455"/>
    <x v="1"/>
    <n v="126.25"/>
    <n v="4.7619047620000003"/>
    <n v="6.3125"/>
    <n v="6.1"/>
  </r>
  <r>
    <s v="457-94-0464"/>
    <x v="2"/>
    <x v="2"/>
    <s v="Member"/>
    <s v="Male"/>
    <x v="1"/>
    <n v="87.87"/>
    <n v="9"/>
    <n v="39.541499999999999"/>
    <n v="830.37149999999997"/>
    <x v="82"/>
    <x v="456"/>
    <x v="0"/>
    <n v="790.83"/>
    <n v="4.7619047620000003"/>
    <n v="39.541499999999999"/>
    <n v="5.6"/>
  </r>
  <r>
    <s v="629-42-4133"/>
    <x v="1"/>
    <x v="1"/>
    <s v="Normal"/>
    <s v="Male"/>
    <x v="0"/>
    <n v="21.8"/>
    <n v="8"/>
    <n v="8.7200000000000006"/>
    <n v="183.12"/>
    <x v="88"/>
    <x v="225"/>
    <x v="1"/>
    <n v="174.4"/>
    <n v="4.7619047620000003"/>
    <n v="8.7200000000000006"/>
    <n v="8.3000000000000007"/>
  </r>
  <r>
    <s v="534-53-3526"/>
    <x v="0"/>
    <x v="0"/>
    <s v="Normal"/>
    <s v="Female"/>
    <x v="3"/>
    <n v="94.76"/>
    <n v="4"/>
    <n v="18.952000000000002"/>
    <n v="397.99200000000002"/>
    <x v="48"/>
    <x v="432"/>
    <x v="0"/>
    <n v="379.04"/>
    <n v="4.7619047620000003"/>
    <n v="18.952000000000002"/>
    <n v="7.8"/>
  </r>
  <r>
    <s v="307-04-2070"/>
    <x v="0"/>
    <x v="0"/>
    <s v="Member"/>
    <s v="Female"/>
    <x v="5"/>
    <n v="30.62"/>
    <n v="1"/>
    <n v="1.5309999999999999"/>
    <n v="32.151000000000003"/>
    <x v="63"/>
    <x v="341"/>
    <x v="2"/>
    <n v="30.62"/>
    <n v="4.7619047620000003"/>
    <n v="1.5309999999999999"/>
    <n v="4.0999999999999996"/>
  </r>
  <r>
    <s v="468-99-7231"/>
    <x v="1"/>
    <x v="1"/>
    <s v="Normal"/>
    <s v="Female"/>
    <x v="2"/>
    <n v="44.01"/>
    <n v="8"/>
    <n v="17.603999999999999"/>
    <n v="369.68400000000003"/>
    <x v="2"/>
    <x v="24"/>
    <x v="1"/>
    <n v="352.08"/>
    <n v="4.7619047620000003"/>
    <n v="17.603999999999999"/>
    <n v="8.8000000000000007"/>
  </r>
  <r>
    <s v="516-77-6464"/>
    <x v="1"/>
    <x v="1"/>
    <s v="Member"/>
    <s v="Female"/>
    <x v="0"/>
    <n v="10.16"/>
    <n v="5"/>
    <n v="2.54"/>
    <n v="53.34"/>
    <x v="7"/>
    <x v="0"/>
    <x v="0"/>
    <n v="50.8"/>
    <n v="4.7619047620000003"/>
    <n v="2.54"/>
    <n v="4.0999999999999996"/>
  </r>
  <r>
    <s v="404-91-5964"/>
    <x v="0"/>
    <x v="0"/>
    <s v="Normal"/>
    <s v="Male"/>
    <x v="1"/>
    <n v="74.58"/>
    <n v="7"/>
    <n v="26.103000000000002"/>
    <n v="548.16300000000001"/>
    <x v="87"/>
    <x v="457"/>
    <x v="2"/>
    <n v="522.05999999999995"/>
    <n v="4.7619047620000003"/>
    <n v="26.103000000000002"/>
    <n v="9"/>
  </r>
  <r>
    <s v="886-77-9084"/>
    <x v="1"/>
    <x v="1"/>
    <s v="Normal"/>
    <s v="Male"/>
    <x v="1"/>
    <n v="71.89"/>
    <n v="8"/>
    <n v="28.756"/>
    <n v="603.87599999999998"/>
    <x v="88"/>
    <x v="458"/>
    <x v="0"/>
    <n v="575.12"/>
    <n v="4.7619047620000003"/>
    <n v="28.756"/>
    <n v="5.5"/>
  </r>
  <r>
    <s v="790-38-4466"/>
    <x v="1"/>
    <x v="1"/>
    <s v="Normal"/>
    <s v="Female"/>
    <x v="0"/>
    <n v="10.99"/>
    <n v="5"/>
    <n v="2.7475000000000001"/>
    <n v="57.697499999999998"/>
    <x v="54"/>
    <x v="392"/>
    <x v="2"/>
    <n v="54.95"/>
    <n v="4.7619047620000003"/>
    <n v="2.7475000000000001"/>
    <n v="9.3000000000000007"/>
  </r>
  <r>
    <s v="704-10-4056"/>
    <x v="1"/>
    <x v="1"/>
    <s v="Member"/>
    <s v="Male"/>
    <x v="0"/>
    <n v="60.47"/>
    <n v="3"/>
    <n v="9.0704999999999991"/>
    <n v="190.48050000000001"/>
    <x v="78"/>
    <x v="60"/>
    <x v="2"/>
    <n v="181.41"/>
    <n v="4.7619047620000003"/>
    <n v="9.0704999999999991"/>
    <n v="5.6"/>
  </r>
  <r>
    <s v="497-37-6538"/>
    <x v="0"/>
    <x v="0"/>
    <s v="Normal"/>
    <s v="Male"/>
    <x v="3"/>
    <n v="58.91"/>
    <n v="7"/>
    <n v="20.618500000000001"/>
    <n v="432.98849999999999"/>
    <x v="29"/>
    <x v="459"/>
    <x v="0"/>
    <n v="412.37"/>
    <n v="4.7619047620000003"/>
    <n v="20.618500000000001"/>
    <n v="9.6999999999999993"/>
  </r>
  <r>
    <s v="651-96-5970"/>
    <x v="0"/>
    <x v="0"/>
    <s v="Normal"/>
    <s v="Male"/>
    <x v="5"/>
    <n v="46.41"/>
    <n v="1"/>
    <n v="2.3205"/>
    <n v="48.730499999999999"/>
    <x v="2"/>
    <x v="460"/>
    <x v="2"/>
    <n v="46.41"/>
    <n v="4.7619047620000003"/>
    <n v="2.3205"/>
    <n v="4"/>
  </r>
  <r>
    <s v="400-80-4065"/>
    <x v="1"/>
    <x v="1"/>
    <s v="Member"/>
    <s v="Male"/>
    <x v="0"/>
    <n v="68.55"/>
    <n v="4"/>
    <n v="13.71"/>
    <n v="287.91000000000003"/>
    <x v="42"/>
    <x v="277"/>
    <x v="2"/>
    <n v="274.2"/>
    <n v="4.7619047620000003"/>
    <n v="13.71"/>
    <n v="9.1999999999999993"/>
  </r>
  <r>
    <s v="744-16-7898"/>
    <x v="2"/>
    <x v="2"/>
    <s v="Normal"/>
    <s v="Female"/>
    <x v="2"/>
    <n v="97.37"/>
    <n v="10"/>
    <n v="48.685000000000002"/>
    <n v="1022.385"/>
    <x v="15"/>
    <x v="128"/>
    <x v="2"/>
    <n v="973.7"/>
    <n v="4.7619047620000003"/>
    <n v="48.685000000000002"/>
    <n v="4.9000000000000004"/>
  </r>
  <r>
    <s v="263-12-5321"/>
    <x v="0"/>
    <x v="0"/>
    <s v="Member"/>
    <s v="Male"/>
    <x v="1"/>
    <n v="92.6"/>
    <n v="7"/>
    <n v="32.409999999999997"/>
    <n v="680.61"/>
    <x v="33"/>
    <x v="299"/>
    <x v="2"/>
    <n v="648.20000000000005"/>
    <n v="4.7619047620000003"/>
    <n v="32.409999999999997"/>
    <n v="9.3000000000000007"/>
  </r>
  <r>
    <s v="702-72-0487"/>
    <x v="0"/>
    <x v="0"/>
    <s v="Normal"/>
    <s v="Female"/>
    <x v="1"/>
    <n v="46.61"/>
    <n v="2"/>
    <n v="4.6609999999999996"/>
    <n v="97.881"/>
    <x v="84"/>
    <x v="35"/>
    <x v="2"/>
    <n v="93.22"/>
    <n v="4.7619047620000003"/>
    <n v="4.6609999999999996"/>
    <n v="6.6"/>
  </r>
  <r>
    <s v="605-83-1050"/>
    <x v="2"/>
    <x v="2"/>
    <s v="Normal"/>
    <s v="Male"/>
    <x v="5"/>
    <n v="27.18"/>
    <n v="2"/>
    <n v="2.718"/>
    <n v="57.078000000000003"/>
    <x v="20"/>
    <x v="461"/>
    <x v="0"/>
    <n v="54.36"/>
    <n v="4.7619047620000003"/>
    <n v="2.718"/>
    <n v="4.3"/>
  </r>
  <r>
    <s v="443-60-9639"/>
    <x v="1"/>
    <x v="1"/>
    <s v="Member"/>
    <s v="Female"/>
    <x v="2"/>
    <n v="60.87"/>
    <n v="1"/>
    <n v="3.0434999999999999"/>
    <n v="63.913499999999999"/>
    <x v="46"/>
    <x v="38"/>
    <x v="1"/>
    <n v="60.87"/>
    <n v="4.7619047620000003"/>
    <n v="3.0434999999999999"/>
    <n v="5.5"/>
  </r>
  <r>
    <s v="864-24-7918"/>
    <x v="0"/>
    <x v="0"/>
    <s v="Member"/>
    <s v="Female"/>
    <x v="3"/>
    <n v="24.49"/>
    <n v="10"/>
    <n v="12.244999999999999"/>
    <n v="257.14499999999998"/>
    <x v="70"/>
    <x v="459"/>
    <x v="1"/>
    <n v="244.9"/>
    <n v="4.7619047620000003"/>
    <n v="12.244999999999999"/>
    <n v="8.1"/>
  </r>
  <r>
    <s v="359-94-5395"/>
    <x v="2"/>
    <x v="2"/>
    <s v="Normal"/>
    <s v="Male"/>
    <x v="0"/>
    <n v="92.78"/>
    <n v="1"/>
    <n v="4.6390000000000002"/>
    <n v="97.418999999999997"/>
    <x v="20"/>
    <x v="155"/>
    <x v="2"/>
    <n v="92.78"/>
    <n v="4.7619047620000003"/>
    <n v="4.6390000000000002"/>
    <n v="9.8000000000000007"/>
  </r>
  <r>
    <s v="401-09-4232"/>
    <x v="1"/>
    <x v="1"/>
    <s v="Member"/>
    <s v="Male"/>
    <x v="2"/>
    <n v="86.69"/>
    <n v="5"/>
    <n v="21.672499999999999"/>
    <n v="455.1225"/>
    <x v="48"/>
    <x v="462"/>
    <x v="0"/>
    <n v="433.45"/>
    <n v="4.7619047620000003"/>
    <n v="21.672499999999999"/>
    <n v="9.4"/>
  </r>
  <r>
    <s v="751-15-6198"/>
    <x v="2"/>
    <x v="2"/>
    <s v="Normal"/>
    <s v="Male"/>
    <x v="3"/>
    <n v="23.01"/>
    <n v="6"/>
    <n v="6.9029999999999996"/>
    <n v="144.96299999999999"/>
    <x v="52"/>
    <x v="463"/>
    <x v="0"/>
    <n v="138.06"/>
    <n v="4.7619047620000003"/>
    <n v="6.9029999999999996"/>
    <n v="7.9"/>
  </r>
  <r>
    <s v="324-41-6833"/>
    <x v="1"/>
    <x v="1"/>
    <s v="Member"/>
    <s v="Female"/>
    <x v="1"/>
    <n v="30.2"/>
    <n v="8"/>
    <n v="12.08"/>
    <n v="253.68"/>
    <x v="2"/>
    <x v="171"/>
    <x v="0"/>
    <n v="241.6"/>
    <n v="4.7619047620000003"/>
    <n v="12.08"/>
    <n v="5.0999999999999996"/>
  </r>
  <r>
    <s v="474-33-8305"/>
    <x v="1"/>
    <x v="1"/>
    <s v="Member"/>
    <s v="Male"/>
    <x v="5"/>
    <n v="67.39"/>
    <n v="7"/>
    <n v="23.586500000000001"/>
    <n v="495.31650000000002"/>
    <x v="28"/>
    <x v="2"/>
    <x v="0"/>
    <n v="471.73"/>
    <n v="4.7619047620000003"/>
    <n v="23.586500000000001"/>
    <n v="6.9"/>
  </r>
  <r>
    <s v="759-29-9521"/>
    <x v="0"/>
    <x v="0"/>
    <s v="Member"/>
    <s v="Female"/>
    <x v="5"/>
    <n v="48.96"/>
    <n v="9"/>
    <n v="22.032"/>
    <n v="462.67200000000003"/>
    <x v="31"/>
    <x v="94"/>
    <x v="1"/>
    <n v="440.64"/>
    <n v="4.7619047620000003"/>
    <n v="22.032"/>
    <n v="8"/>
  </r>
  <r>
    <s v="831-81-6575"/>
    <x v="2"/>
    <x v="2"/>
    <s v="Member"/>
    <s v="Female"/>
    <x v="1"/>
    <n v="75.59"/>
    <n v="9"/>
    <n v="34.015500000000003"/>
    <n v="714.32550000000003"/>
    <x v="55"/>
    <x v="289"/>
    <x v="1"/>
    <n v="680.31"/>
    <n v="4.7619047620000003"/>
    <n v="34.015500000000003"/>
    <n v="8"/>
  </r>
  <r>
    <s v="220-68-6701"/>
    <x v="0"/>
    <x v="0"/>
    <s v="Normal"/>
    <s v="Female"/>
    <x v="2"/>
    <n v="77.47"/>
    <n v="4"/>
    <n v="15.494"/>
    <n v="325.37400000000002"/>
    <x v="85"/>
    <x v="345"/>
    <x v="1"/>
    <n v="309.88"/>
    <n v="4.7619047620000003"/>
    <n v="15.494"/>
    <n v="4.2"/>
  </r>
  <r>
    <s v="618-34-8551"/>
    <x v="0"/>
    <x v="0"/>
    <s v="Normal"/>
    <s v="Female"/>
    <x v="3"/>
    <n v="93.18"/>
    <n v="2"/>
    <n v="9.3179999999999996"/>
    <n v="195.678"/>
    <x v="65"/>
    <x v="464"/>
    <x v="2"/>
    <n v="186.36"/>
    <n v="4.7619047620000003"/>
    <n v="9.3179999999999996"/>
    <n v="8.5"/>
  </r>
  <r>
    <s v="257-60-7754"/>
    <x v="0"/>
    <x v="0"/>
    <s v="Normal"/>
    <s v="Female"/>
    <x v="1"/>
    <n v="50.23"/>
    <n v="4"/>
    <n v="10.045999999999999"/>
    <n v="210.96600000000001"/>
    <x v="66"/>
    <x v="465"/>
    <x v="1"/>
    <n v="200.92"/>
    <n v="4.7619047620000003"/>
    <n v="10.045999999999999"/>
    <n v="9"/>
  </r>
  <r>
    <s v="559-61-5987"/>
    <x v="2"/>
    <x v="2"/>
    <s v="Normal"/>
    <s v="Female"/>
    <x v="0"/>
    <n v="17.75"/>
    <n v="1"/>
    <n v="0.88749999999999996"/>
    <n v="18.637499999999999"/>
    <x v="78"/>
    <x v="440"/>
    <x v="1"/>
    <n v="17.75"/>
    <n v="4.7619047620000003"/>
    <n v="0.88749999999999996"/>
    <n v="8.6"/>
  </r>
  <r>
    <s v="189-55-2313"/>
    <x v="1"/>
    <x v="1"/>
    <s v="Normal"/>
    <s v="Female"/>
    <x v="5"/>
    <n v="62.18"/>
    <n v="10"/>
    <n v="31.09"/>
    <n v="652.89"/>
    <x v="82"/>
    <x v="373"/>
    <x v="0"/>
    <n v="621.79999999999995"/>
    <n v="4.7619047620000003"/>
    <n v="31.09"/>
    <n v="6"/>
  </r>
  <r>
    <s v="565-91-4567"/>
    <x v="2"/>
    <x v="2"/>
    <s v="Normal"/>
    <s v="Male"/>
    <x v="0"/>
    <n v="10.75"/>
    <n v="8"/>
    <n v="4.3"/>
    <n v="90.3"/>
    <x v="20"/>
    <x v="242"/>
    <x v="0"/>
    <n v="86"/>
    <n v="4.7619047620000003"/>
    <n v="4.3"/>
    <n v="6.2"/>
  </r>
  <r>
    <s v="380-60-5336"/>
    <x v="0"/>
    <x v="0"/>
    <s v="Normal"/>
    <s v="Female"/>
    <x v="1"/>
    <n v="40.26"/>
    <n v="10"/>
    <n v="20.13"/>
    <n v="422.73"/>
    <x v="7"/>
    <x v="191"/>
    <x v="2"/>
    <n v="402.6"/>
    <n v="4.7619047620000003"/>
    <n v="20.13"/>
    <n v="5"/>
  </r>
  <r>
    <s v="815-04-6282"/>
    <x v="1"/>
    <x v="1"/>
    <s v="Member"/>
    <s v="Female"/>
    <x v="3"/>
    <n v="64.97"/>
    <n v="5"/>
    <n v="16.2425"/>
    <n v="341.09249999999997"/>
    <x v="4"/>
    <x v="299"/>
    <x v="2"/>
    <n v="324.85000000000002"/>
    <n v="4.7619047620000003"/>
    <n v="16.2425"/>
    <n v="6.5"/>
  </r>
  <r>
    <s v="674-56-6360"/>
    <x v="0"/>
    <x v="0"/>
    <s v="Normal"/>
    <s v="Male"/>
    <x v="1"/>
    <n v="95.15"/>
    <n v="1"/>
    <n v="4.7575000000000003"/>
    <n v="99.907499999999999"/>
    <x v="23"/>
    <x v="466"/>
    <x v="1"/>
    <n v="95.15"/>
    <n v="4.7619047620000003"/>
    <n v="4.7575000000000003"/>
    <n v="6"/>
  </r>
  <r>
    <s v="778-34-2523"/>
    <x v="0"/>
    <x v="0"/>
    <s v="Member"/>
    <s v="Female"/>
    <x v="1"/>
    <n v="48.62"/>
    <n v="8"/>
    <n v="19.448"/>
    <n v="408.40800000000002"/>
    <x v="46"/>
    <x v="315"/>
    <x v="1"/>
    <n v="388.96"/>
    <n v="4.7619047620000003"/>
    <n v="19.448"/>
    <n v="5"/>
  </r>
  <r>
    <s v="499-27-7781"/>
    <x v="2"/>
    <x v="2"/>
    <s v="Normal"/>
    <s v="Female"/>
    <x v="4"/>
    <n v="53.21"/>
    <n v="8"/>
    <n v="21.283999999999999"/>
    <n v="446.964"/>
    <x v="86"/>
    <x v="463"/>
    <x v="0"/>
    <n v="425.68"/>
    <n v="4.7619047620000003"/>
    <n v="21.283999999999999"/>
    <n v="5"/>
  </r>
  <r>
    <s v="477-59-2456"/>
    <x v="1"/>
    <x v="1"/>
    <s v="Normal"/>
    <s v="Female"/>
    <x v="5"/>
    <n v="45.44"/>
    <n v="7"/>
    <n v="15.904"/>
    <n v="333.98399999999998"/>
    <x v="54"/>
    <x v="23"/>
    <x v="1"/>
    <n v="318.08"/>
    <n v="4.7619047620000003"/>
    <n v="15.904"/>
    <n v="9.1999999999999993"/>
  </r>
  <r>
    <s v="832-51-6761"/>
    <x v="0"/>
    <x v="0"/>
    <s v="Normal"/>
    <s v="Male"/>
    <x v="4"/>
    <n v="33.880000000000003"/>
    <n v="8"/>
    <n v="13.552"/>
    <n v="284.59199999999998"/>
    <x v="64"/>
    <x v="245"/>
    <x v="0"/>
    <n v="271.04000000000002"/>
    <n v="4.7619047620000003"/>
    <n v="13.552"/>
    <n v="9.6"/>
  </r>
  <r>
    <s v="869-11-3082"/>
    <x v="2"/>
    <x v="2"/>
    <s v="Member"/>
    <s v="Male"/>
    <x v="0"/>
    <n v="96.16"/>
    <n v="4"/>
    <n v="19.231999999999999"/>
    <n v="403.87200000000001"/>
    <x v="3"/>
    <x v="356"/>
    <x v="2"/>
    <n v="384.64"/>
    <n v="4.7619047620000003"/>
    <n v="19.231999999999999"/>
    <n v="8.4"/>
  </r>
  <r>
    <s v="190-59-3964"/>
    <x v="2"/>
    <x v="2"/>
    <s v="Member"/>
    <s v="Male"/>
    <x v="4"/>
    <n v="47.16"/>
    <n v="5"/>
    <n v="11.79"/>
    <n v="247.59"/>
    <x v="36"/>
    <x v="63"/>
    <x v="2"/>
    <n v="235.8"/>
    <n v="4.7619047620000003"/>
    <n v="11.79"/>
    <n v="6"/>
  </r>
  <r>
    <s v="366-43-6862"/>
    <x v="2"/>
    <x v="2"/>
    <s v="Normal"/>
    <s v="Male"/>
    <x v="1"/>
    <n v="52.89"/>
    <n v="4"/>
    <n v="10.577999999999999"/>
    <n v="222.13800000000001"/>
    <x v="5"/>
    <x v="467"/>
    <x v="0"/>
    <n v="211.56"/>
    <n v="4.7619047620000003"/>
    <n v="10.577999999999999"/>
    <n v="6.7"/>
  </r>
  <r>
    <s v="186-43-8965"/>
    <x v="0"/>
    <x v="0"/>
    <s v="Member"/>
    <s v="Female"/>
    <x v="2"/>
    <n v="47.68"/>
    <n v="2"/>
    <n v="4.7679999999999998"/>
    <n v="100.128"/>
    <x v="7"/>
    <x v="468"/>
    <x v="2"/>
    <n v="95.36"/>
    <n v="4.7619047620000003"/>
    <n v="4.7679999999999998"/>
    <n v="4.0999999999999996"/>
  </r>
  <r>
    <s v="784-21-9238"/>
    <x v="1"/>
    <x v="1"/>
    <s v="Member"/>
    <s v="Male"/>
    <x v="3"/>
    <n v="10.17"/>
    <n v="1"/>
    <n v="0.50849999999999995"/>
    <n v="10.6785"/>
    <x v="13"/>
    <x v="331"/>
    <x v="1"/>
    <n v="10.17"/>
    <n v="4.7619047620000003"/>
    <n v="0.50849999999999995"/>
    <n v="5.9"/>
  </r>
  <r>
    <s v="276-75-6884"/>
    <x v="0"/>
    <x v="0"/>
    <s v="Normal"/>
    <s v="Female"/>
    <x v="0"/>
    <n v="68.709999999999994"/>
    <n v="3"/>
    <n v="10.3065"/>
    <n v="216.4365"/>
    <x v="31"/>
    <x v="469"/>
    <x v="1"/>
    <n v="206.13"/>
    <n v="4.7619047620000003"/>
    <n v="10.3065"/>
    <n v="8.6999999999999993"/>
  </r>
  <r>
    <s v="109-86-4363"/>
    <x v="2"/>
    <x v="2"/>
    <s v="Member"/>
    <s v="Female"/>
    <x v="3"/>
    <n v="60.08"/>
    <n v="7"/>
    <n v="21.027999999999999"/>
    <n v="441.58800000000002"/>
    <x v="44"/>
    <x v="150"/>
    <x v="2"/>
    <n v="420.56"/>
    <n v="4.7619047620000003"/>
    <n v="21.027999999999999"/>
    <n v="4.5"/>
  </r>
  <r>
    <s v="569-76-2760"/>
    <x v="0"/>
    <x v="0"/>
    <s v="Member"/>
    <s v="Female"/>
    <x v="3"/>
    <n v="22.01"/>
    <n v="4"/>
    <n v="4.4020000000000001"/>
    <n v="92.441999999999993"/>
    <x v="71"/>
    <x v="470"/>
    <x v="2"/>
    <n v="88.04"/>
    <n v="4.7619047620000003"/>
    <n v="4.4020000000000001"/>
    <n v="6.6"/>
  </r>
  <r>
    <s v="222-42-0244"/>
    <x v="2"/>
    <x v="2"/>
    <s v="Member"/>
    <s v="Female"/>
    <x v="0"/>
    <n v="72.11"/>
    <n v="9"/>
    <n v="32.4495"/>
    <n v="681.43949999999995"/>
    <x v="26"/>
    <x v="318"/>
    <x v="2"/>
    <n v="648.99"/>
    <n v="4.7619047620000003"/>
    <n v="32.4495"/>
    <n v="7.7"/>
  </r>
  <r>
    <s v="760-53-9233"/>
    <x v="0"/>
    <x v="0"/>
    <s v="Member"/>
    <s v="Male"/>
    <x v="5"/>
    <n v="41.28"/>
    <n v="3"/>
    <n v="6.1920000000000002"/>
    <n v="130.03200000000001"/>
    <x v="58"/>
    <x v="78"/>
    <x v="2"/>
    <n v="123.84"/>
    <n v="4.7619047620000003"/>
    <n v="6.1920000000000002"/>
    <n v="8.5"/>
  </r>
  <r>
    <s v="538-22-0304"/>
    <x v="1"/>
    <x v="1"/>
    <s v="Normal"/>
    <s v="Male"/>
    <x v="1"/>
    <n v="64.95"/>
    <n v="10"/>
    <n v="32.475000000000001"/>
    <n v="681.97500000000002"/>
    <x v="62"/>
    <x v="185"/>
    <x v="1"/>
    <n v="649.5"/>
    <n v="4.7619047620000003"/>
    <n v="32.475000000000001"/>
    <n v="5.2"/>
  </r>
  <r>
    <s v="416-17-9926"/>
    <x v="0"/>
    <x v="0"/>
    <s v="Member"/>
    <s v="Female"/>
    <x v="1"/>
    <n v="74.22"/>
    <n v="10"/>
    <n v="37.11"/>
    <n v="779.31"/>
    <x v="17"/>
    <x v="51"/>
    <x v="2"/>
    <n v="742.2"/>
    <n v="4.7619047620000003"/>
    <n v="37.11"/>
    <n v="4.3"/>
  </r>
  <r>
    <s v="237-44-6163"/>
    <x v="0"/>
    <x v="0"/>
    <s v="Normal"/>
    <s v="Male"/>
    <x v="1"/>
    <n v="10.56"/>
    <n v="8"/>
    <n v="4.2240000000000002"/>
    <n v="88.703999999999994"/>
    <x v="46"/>
    <x v="255"/>
    <x v="1"/>
    <n v="84.48"/>
    <n v="4.7619047620000003"/>
    <n v="4.2240000000000002"/>
    <n v="7.6"/>
  </r>
  <r>
    <s v="636-17-0325"/>
    <x v="2"/>
    <x v="2"/>
    <s v="Normal"/>
    <s v="Male"/>
    <x v="0"/>
    <n v="62.57"/>
    <n v="4"/>
    <n v="12.513999999999999"/>
    <n v="262.79399999999998"/>
    <x v="6"/>
    <x v="78"/>
    <x v="1"/>
    <n v="250.28"/>
    <n v="4.7619047620000003"/>
    <n v="12.513999999999999"/>
    <n v="9.5"/>
  </r>
  <r>
    <s v="343-75-9322"/>
    <x v="2"/>
    <x v="2"/>
    <s v="Member"/>
    <s v="Female"/>
    <x v="3"/>
    <n v="11.85"/>
    <n v="8"/>
    <n v="4.74"/>
    <n v="99.54"/>
    <x v="51"/>
    <x v="414"/>
    <x v="1"/>
    <n v="94.8"/>
    <n v="4.7619047620000003"/>
    <n v="4.74"/>
    <n v="4.0999999999999996"/>
  </r>
  <r>
    <s v="528-14-9470"/>
    <x v="0"/>
    <x v="0"/>
    <s v="Member"/>
    <s v="Male"/>
    <x v="0"/>
    <n v="91.3"/>
    <n v="1"/>
    <n v="4.5650000000000004"/>
    <n v="95.864999999999995"/>
    <x v="44"/>
    <x v="51"/>
    <x v="0"/>
    <n v="91.3"/>
    <n v="4.7619047620000003"/>
    <n v="4.5650000000000004"/>
    <n v="9.1999999999999993"/>
  </r>
  <r>
    <s v="427-45-9297"/>
    <x v="2"/>
    <x v="2"/>
    <s v="Member"/>
    <s v="Female"/>
    <x v="2"/>
    <n v="40.729999999999997"/>
    <n v="7"/>
    <n v="14.2555"/>
    <n v="299.3655"/>
    <x v="41"/>
    <x v="471"/>
    <x v="0"/>
    <n v="285.11"/>
    <n v="4.7619047620000003"/>
    <n v="14.2555"/>
    <n v="5.4"/>
  </r>
  <r>
    <s v="807-34-3742"/>
    <x v="0"/>
    <x v="0"/>
    <s v="Normal"/>
    <s v="Male"/>
    <x v="5"/>
    <n v="52.38"/>
    <n v="1"/>
    <n v="2.6190000000000002"/>
    <n v="54.999000000000002"/>
    <x v="58"/>
    <x v="143"/>
    <x v="1"/>
    <n v="52.38"/>
    <n v="4.7619047620000003"/>
    <n v="2.6190000000000002"/>
    <n v="5.8"/>
  </r>
  <r>
    <s v="288-62-1085"/>
    <x v="0"/>
    <x v="0"/>
    <s v="Member"/>
    <s v="Male"/>
    <x v="5"/>
    <n v="38.54"/>
    <n v="5"/>
    <n v="9.6349999999999998"/>
    <n v="202.33500000000001"/>
    <x v="51"/>
    <x v="229"/>
    <x v="0"/>
    <n v="192.7"/>
    <n v="4.7619047620000003"/>
    <n v="9.6349999999999998"/>
    <n v="5.6"/>
  </r>
  <r>
    <s v="670-71-7306"/>
    <x v="2"/>
    <x v="2"/>
    <s v="Normal"/>
    <s v="Male"/>
    <x v="3"/>
    <n v="44.63"/>
    <n v="6"/>
    <n v="13.388999999999999"/>
    <n v="281.16899999999998"/>
    <x v="56"/>
    <x v="390"/>
    <x v="2"/>
    <n v="267.77999999999997"/>
    <n v="4.7619047620000003"/>
    <n v="13.388999999999999"/>
    <n v="5.0999999999999996"/>
  </r>
  <r>
    <s v="660-29-7083"/>
    <x v="1"/>
    <x v="1"/>
    <s v="Normal"/>
    <s v="Male"/>
    <x v="1"/>
    <n v="55.87"/>
    <n v="10"/>
    <n v="27.934999999999999"/>
    <n v="586.63499999999999"/>
    <x v="15"/>
    <x v="66"/>
    <x v="1"/>
    <n v="558.70000000000005"/>
    <n v="4.7619047620000003"/>
    <n v="27.934999999999999"/>
    <n v="5.8"/>
  </r>
  <r>
    <s v="271-77-8740"/>
    <x v="1"/>
    <x v="1"/>
    <s v="Member"/>
    <s v="Female"/>
    <x v="3"/>
    <n v="29.22"/>
    <n v="6"/>
    <n v="8.766"/>
    <n v="184.08600000000001"/>
    <x v="17"/>
    <x v="335"/>
    <x v="0"/>
    <n v="175.32"/>
    <n v="4.7619047620000003"/>
    <n v="8.766"/>
    <n v="5"/>
  </r>
  <r>
    <s v="497-36-0989"/>
    <x v="0"/>
    <x v="0"/>
    <s v="Normal"/>
    <s v="Male"/>
    <x v="5"/>
    <n v="51.94"/>
    <n v="3"/>
    <n v="7.7910000000000004"/>
    <n v="163.61099999999999"/>
    <x v="42"/>
    <x v="472"/>
    <x v="1"/>
    <n v="155.82"/>
    <n v="4.7619047620000003"/>
    <n v="7.7910000000000004"/>
    <n v="7.9"/>
  </r>
  <r>
    <s v="291-59-1384"/>
    <x v="2"/>
    <x v="2"/>
    <s v="Normal"/>
    <s v="Male"/>
    <x v="1"/>
    <n v="60.3"/>
    <n v="1"/>
    <n v="3.0150000000000001"/>
    <n v="63.314999999999998"/>
    <x v="38"/>
    <x v="180"/>
    <x v="1"/>
    <n v="60.3"/>
    <n v="4.7619047620000003"/>
    <n v="3.0150000000000001"/>
    <n v="6"/>
  </r>
  <r>
    <s v="860-73-6466"/>
    <x v="0"/>
    <x v="0"/>
    <s v="Member"/>
    <s v="Female"/>
    <x v="3"/>
    <n v="39.47"/>
    <n v="2"/>
    <n v="3.9470000000000001"/>
    <n v="82.887"/>
    <x v="22"/>
    <x v="473"/>
    <x v="2"/>
    <n v="78.94"/>
    <n v="4.7619047620000003"/>
    <n v="3.9470000000000001"/>
    <n v="5"/>
  </r>
  <r>
    <s v="549-23-9016"/>
    <x v="1"/>
    <x v="1"/>
    <s v="Member"/>
    <s v="Female"/>
    <x v="4"/>
    <n v="14.87"/>
    <n v="2"/>
    <n v="1.4870000000000001"/>
    <n v="31.227"/>
    <x v="77"/>
    <x v="470"/>
    <x v="2"/>
    <n v="29.74"/>
    <n v="4.7619047620000003"/>
    <n v="1.4870000000000001"/>
    <n v="8.9"/>
  </r>
  <r>
    <s v="896-34-0956"/>
    <x v="0"/>
    <x v="0"/>
    <s v="Normal"/>
    <s v="Male"/>
    <x v="5"/>
    <n v="21.32"/>
    <n v="1"/>
    <n v="1.0660000000000001"/>
    <n v="22.385999999999999"/>
    <x v="53"/>
    <x v="31"/>
    <x v="1"/>
    <n v="21.32"/>
    <n v="4.7619047620000003"/>
    <n v="1.0660000000000001"/>
    <n v="5.9"/>
  </r>
  <r>
    <s v="804-38-3935"/>
    <x v="0"/>
    <x v="0"/>
    <s v="Member"/>
    <s v="Male"/>
    <x v="1"/>
    <n v="93.78"/>
    <n v="3"/>
    <n v="14.067"/>
    <n v="295.40699999999998"/>
    <x v="74"/>
    <x v="102"/>
    <x v="2"/>
    <n v="281.33999999999997"/>
    <n v="4.7619047620000003"/>
    <n v="14.067"/>
    <n v="5.9"/>
  </r>
  <r>
    <s v="585-90-0249"/>
    <x v="0"/>
    <x v="0"/>
    <s v="Member"/>
    <s v="Male"/>
    <x v="1"/>
    <n v="73.260000000000005"/>
    <n v="1"/>
    <n v="3.6629999999999998"/>
    <n v="76.923000000000002"/>
    <x v="3"/>
    <x v="182"/>
    <x v="0"/>
    <n v="73.260000000000005"/>
    <n v="4.7619047620000003"/>
    <n v="3.6629999999999998"/>
    <n v="9.6999999999999993"/>
  </r>
  <r>
    <s v="862-29-5914"/>
    <x v="1"/>
    <x v="1"/>
    <s v="Normal"/>
    <s v="Female"/>
    <x v="3"/>
    <n v="22.38"/>
    <n v="1"/>
    <n v="1.119"/>
    <n v="23.498999999999999"/>
    <x v="74"/>
    <x v="48"/>
    <x v="2"/>
    <n v="22.38"/>
    <n v="4.7619047620000003"/>
    <n v="1.119"/>
    <n v="8.6"/>
  </r>
  <r>
    <s v="845-94-6841"/>
    <x v="1"/>
    <x v="1"/>
    <s v="Member"/>
    <s v="Female"/>
    <x v="4"/>
    <n v="72.88"/>
    <n v="9"/>
    <n v="32.795999999999999"/>
    <n v="688.71600000000001"/>
    <x v="66"/>
    <x v="371"/>
    <x v="1"/>
    <n v="655.92"/>
    <n v="4.7619047620000003"/>
    <n v="32.795999999999999"/>
    <n v="4"/>
  </r>
  <r>
    <s v="125-45-2293"/>
    <x v="0"/>
    <x v="0"/>
    <s v="Normal"/>
    <s v="Female"/>
    <x v="5"/>
    <n v="99.1"/>
    <n v="6"/>
    <n v="29.73"/>
    <n v="624.33000000000004"/>
    <x v="64"/>
    <x v="90"/>
    <x v="1"/>
    <n v="594.6"/>
    <n v="4.7619047620000003"/>
    <n v="29.73"/>
    <n v="4.2"/>
  </r>
  <r>
    <s v="843-73-4724"/>
    <x v="0"/>
    <x v="0"/>
    <s v="Normal"/>
    <s v="Male"/>
    <x v="5"/>
    <n v="74.099999999999994"/>
    <n v="1"/>
    <n v="3.7050000000000001"/>
    <n v="77.805000000000007"/>
    <x v="25"/>
    <x v="474"/>
    <x v="1"/>
    <n v="74.099999999999994"/>
    <n v="4.7619047620000003"/>
    <n v="3.7050000000000001"/>
    <n v="9.1999999999999993"/>
  </r>
  <r>
    <s v="409-33-9708"/>
    <x v="0"/>
    <x v="0"/>
    <s v="Normal"/>
    <s v="Female"/>
    <x v="5"/>
    <n v="98.48"/>
    <n v="2"/>
    <n v="9.8480000000000008"/>
    <n v="206.80799999999999"/>
    <x v="88"/>
    <x v="33"/>
    <x v="0"/>
    <n v="196.96"/>
    <n v="4.7619047620000003"/>
    <n v="9.8480000000000008"/>
    <n v="9.1999999999999993"/>
  </r>
  <r>
    <s v="658-66-3967"/>
    <x v="1"/>
    <x v="1"/>
    <s v="Normal"/>
    <s v="Male"/>
    <x v="0"/>
    <n v="53.19"/>
    <n v="7"/>
    <n v="18.616499999999998"/>
    <n v="390.94650000000001"/>
    <x v="78"/>
    <x v="324"/>
    <x v="0"/>
    <n v="372.33"/>
    <n v="4.7619047620000003"/>
    <n v="18.616499999999998"/>
    <n v="5"/>
  </r>
  <r>
    <s v="866-70-2814"/>
    <x v="2"/>
    <x v="2"/>
    <s v="Normal"/>
    <s v="Female"/>
    <x v="1"/>
    <n v="52.79"/>
    <n v="10"/>
    <n v="26.395"/>
    <n v="554.29499999999996"/>
    <x v="6"/>
    <x v="452"/>
    <x v="0"/>
    <n v="527.9"/>
    <n v="4.7619047620000003"/>
    <n v="26.395"/>
    <n v="10"/>
  </r>
  <r>
    <s v="160-22-2687"/>
    <x v="0"/>
    <x v="0"/>
    <s v="Member"/>
    <s v="Female"/>
    <x v="0"/>
    <n v="95.95"/>
    <n v="5"/>
    <n v="23.987500000000001"/>
    <n v="503.73750000000001"/>
    <x v="54"/>
    <x v="239"/>
    <x v="0"/>
    <n v="479.75"/>
    <n v="4.7619047620000003"/>
    <n v="23.987500000000001"/>
    <n v="8.8000000000000007"/>
  </r>
  <r>
    <s v="895-03-6665"/>
    <x v="2"/>
    <x v="2"/>
    <s v="Normal"/>
    <s v="Female"/>
    <x v="5"/>
    <n v="36.51"/>
    <n v="9"/>
    <n v="16.429500000000001"/>
    <n v="345.01949999999999"/>
    <x v="69"/>
    <x v="196"/>
    <x v="1"/>
    <n v="328.59"/>
    <n v="4.7619047620000003"/>
    <n v="16.429500000000001"/>
    <n v="4.2"/>
  </r>
  <r>
    <s v="770-42-8960"/>
    <x v="2"/>
    <x v="2"/>
    <s v="Normal"/>
    <s v="Male"/>
    <x v="4"/>
    <n v="21.12"/>
    <n v="8"/>
    <n v="8.4480000000000004"/>
    <n v="177.40799999999999"/>
    <x v="17"/>
    <x v="475"/>
    <x v="1"/>
    <n v="168.96"/>
    <n v="4.7619047620000003"/>
    <n v="8.4480000000000004"/>
    <n v="6.3"/>
  </r>
  <r>
    <s v="748-45-2862"/>
    <x v="0"/>
    <x v="0"/>
    <s v="Member"/>
    <s v="Female"/>
    <x v="2"/>
    <n v="28.31"/>
    <n v="4"/>
    <n v="5.6619999999999999"/>
    <n v="118.902"/>
    <x v="37"/>
    <x v="476"/>
    <x v="1"/>
    <n v="113.24"/>
    <n v="4.7619047620000003"/>
    <n v="5.6619999999999999"/>
    <n v="8.1999999999999993"/>
  </r>
  <r>
    <s v="234-36-2483"/>
    <x v="2"/>
    <x v="2"/>
    <s v="Normal"/>
    <s v="Male"/>
    <x v="0"/>
    <n v="57.59"/>
    <n v="6"/>
    <n v="17.277000000000001"/>
    <n v="362.81700000000001"/>
    <x v="42"/>
    <x v="477"/>
    <x v="1"/>
    <n v="345.54"/>
    <n v="4.7619047620000003"/>
    <n v="17.277000000000001"/>
    <n v="5.0999999999999996"/>
  </r>
  <r>
    <s v="316-66-3011"/>
    <x v="0"/>
    <x v="0"/>
    <s v="Member"/>
    <s v="Female"/>
    <x v="4"/>
    <n v="47.63"/>
    <n v="9"/>
    <n v="21.433499999999999"/>
    <n v="450.1035"/>
    <x v="54"/>
    <x v="478"/>
    <x v="1"/>
    <n v="428.67"/>
    <n v="4.7619047620000003"/>
    <n v="21.433499999999999"/>
    <n v="5"/>
  </r>
  <r>
    <s v="848-95-6252"/>
    <x v="1"/>
    <x v="1"/>
    <s v="Member"/>
    <s v="Female"/>
    <x v="2"/>
    <n v="86.27"/>
    <n v="1"/>
    <n v="4.3135000000000003"/>
    <n v="90.583500000000001"/>
    <x v="9"/>
    <x v="38"/>
    <x v="0"/>
    <n v="86.27"/>
    <n v="4.7619047620000003"/>
    <n v="4.3135000000000003"/>
    <n v="7"/>
  </r>
  <r>
    <s v="840-76-5966"/>
    <x v="0"/>
    <x v="0"/>
    <s v="Member"/>
    <s v="Male"/>
    <x v="3"/>
    <n v="12.76"/>
    <n v="2"/>
    <n v="1.276"/>
    <n v="26.795999999999999"/>
    <x v="66"/>
    <x v="191"/>
    <x v="0"/>
    <n v="25.52"/>
    <n v="4.7619047620000003"/>
    <n v="1.276"/>
    <n v="7.8"/>
  </r>
  <r>
    <s v="152-03-4217"/>
    <x v="2"/>
    <x v="2"/>
    <s v="Normal"/>
    <s v="Female"/>
    <x v="2"/>
    <n v="11.28"/>
    <n v="9"/>
    <n v="5.0759999999999996"/>
    <n v="106.596"/>
    <x v="85"/>
    <x v="479"/>
    <x v="2"/>
    <n v="101.52"/>
    <n v="4.7619047620000003"/>
    <n v="5.0759999999999996"/>
    <n v="4.3"/>
  </r>
  <r>
    <s v="533-66-5566"/>
    <x v="2"/>
    <x v="2"/>
    <s v="Normal"/>
    <s v="Female"/>
    <x v="2"/>
    <n v="51.07"/>
    <n v="7"/>
    <n v="17.874500000000001"/>
    <n v="375.36450000000002"/>
    <x v="52"/>
    <x v="437"/>
    <x v="1"/>
    <n v="357.49"/>
    <n v="4.7619047620000003"/>
    <n v="17.874500000000001"/>
    <n v="7"/>
  </r>
  <r>
    <s v="124-31-1458"/>
    <x v="0"/>
    <x v="0"/>
    <s v="Member"/>
    <s v="Female"/>
    <x v="1"/>
    <n v="79.59"/>
    <n v="3"/>
    <n v="11.938499999999999"/>
    <n v="250.70849999999999"/>
    <x v="66"/>
    <x v="101"/>
    <x v="1"/>
    <n v="238.77"/>
    <n v="4.7619047620000003"/>
    <n v="11.938499999999999"/>
    <n v="6.6"/>
  </r>
  <r>
    <s v="176-78-1170"/>
    <x v="1"/>
    <x v="1"/>
    <s v="Member"/>
    <s v="Male"/>
    <x v="0"/>
    <n v="33.81"/>
    <n v="3"/>
    <n v="5.0715000000000003"/>
    <n v="106.50149999999999"/>
    <x v="53"/>
    <x v="480"/>
    <x v="0"/>
    <n v="101.43"/>
    <n v="4.7619047620000003"/>
    <n v="5.0715000000000003"/>
    <n v="7.3"/>
  </r>
  <r>
    <s v="361-59-0574"/>
    <x v="2"/>
    <x v="2"/>
    <s v="Member"/>
    <s v="Male"/>
    <x v="3"/>
    <n v="90.53"/>
    <n v="8"/>
    <n v="36.212000000000003"/>
    <n v="760.452"/>
    <x v="20"/>
    <x v="481"/>
    <x v="2"/>
    <n v="724.24"/>
    <n v="4.7619047620000003"/>
    <n v="36.212000000000003"/>
    <n v="6.5"/>
  </r>
  <r>
    <s v="101-81-4070"/>
    <x v="1"/>
    <x v="1"/>
    <s v="Member"/>
    <s v="Female"/>
    <x v="0"/>
    <n v="62.82"/>
    <n v="2"/>
    <n v="6.282"/>
    <n v="131.922"/>
    <x v="29"/>
    <x v="482"/>
    <x v="0"/>
    <n v="125.64"/>
    <n v="4.7619047620000003"/>
    <n v="6.282"/>
    <n v="4.9000000000000004"/>
  </r>
  <r>
    <s v="631-34-1880"/>
    <x v="1"/>
    <x v="1"/>
    <s v="Member"/>
    <s v="Male"/>
    <x v="4"/>
    <n v="24.31"/>
    <n v="3"/>
    <n v="3.6465000000000001"/>
    <n v="76.576499999999996"/>
    <x v="66"/>
    <x v="268"/>
    <x v="2"/>
    <n v="72.930000000000007"/>
    <n v="4.7619047620000003"/>
    <n v="3.6465000000000001"/>
    <n v="4.3"/>
  </r>
  <r>
    <s v="852-82-2749"/>
    <x v="0"/>
    <x v="0"/>
    <s v="Normal"/>
    <s v="Male"/>
    <x v="3"/>
    <n v="64.59"/>
    <n v="4"/>
    <n v="12.917999999999999"/>
    <n v="271.27800000000002"/>
    <x v="47"/>
    <x v="483"/>
    <x v="0"/>
    <n v="258.36"/>
    <n v="4.7619047620000003"/>
    <n v="12.917999999999999"/>
    <n v="9.3000000000000007"/>
  </r>
  <r>
    <s v="873-14-6353"/>
    <x v="0"/>
    <x v="0"/>
    <s v="Member"/>
    <s v="Male"/>
    <x v="4"/>
    <n v="24.82"/>
    <n v="7"/>
    <n v="8.6869999999999994"/>
    <n v="182.42699999999999"/>
    <x v="69"/>
    <x v="373"/>
    <x v="2"/>
    <n v="173.74"/>
    <n v="4.7619047620000003"/>
    <n v="8.6869999999999994"/>
    <n v="7.1"/>
  </r>
  <r>
    <s v="584-66-4073"/>
    <x v="1"/>
    <x v="1"/>
    <s v="Normal"/>
    <s v="Male"/>
    <x v="5"/>
    <n v="56.5"/>
    <n v="1"/>
    <n v="2.8250000000000002"/>
    <n v="59.325000000000003"/>
    <x v="45"/>
    <x v="484"/>
    <x v="0"/>
    <n v="56.5"/>
    <n v="4.7619047620000003"/>
    <n v="2.8250000000000002"/>
    <n v="9.6"/>
  </r>
  <r>
    <s v="544-55-9589"/>
    <x v="2"/>
    <x v="2"/>
    <s v="Member"/>
    <s v="Female"/>
    <x v="1"/>
    <n v="21.43"/>
    <n v="10"/>
    <n v="10.715"/>
    <n v="225.01499999999999"/>
    <x v="26"/>
    <x v="159"/>
    <x v="1"/>
    <n v="214.3"/>
    <n v="4.7619047620000003"/>
    <n v="10.715"/>
    <n v="6.2"/>
  </r>
  <r>
    <s v="166-19-2553"/>
    <x v="0"/>
    <x v="0"/>
    <s v="Member"/>
    <s v="Male"/>
    <x v="3"/>
    <n v="89.06"/>
    <n v="6"/>
    <n v="26.718"/>
    <n v="561.07799999999997"/>
    <x v="68"/>
    <x v="111"/>
    <x v="1"/>
    <n v="534.36"/>
    <n v="4.7619047620000003"/>
    <n v="26.718"/>
    <n v="9.9"/>
  </r>
  <r>
    <s v="737-88-5876"/>
    <x v="0"/>
    <x v="0"/>
    <s v="Member"/>
    <s v="Male"/>
    <x v="2"/>
    <n v="23.29"/>
    <n v="4"/>
    <n v="4.6580000000000004"/>
    <n v="97.817999999999998"/>
    <x v="35"/>
    <x v="408"/>
    <x v="2"/>
    <n v="93.16"/>
    <n v="4.7619047620000003"/>
    <n v="4.6580000000000004"/>
    <n v="5.9"/>
  </r>
  <r>
    <s v="154-87-7367"/>
    <x v="1"/>
    <x v="1"/>
    <s v="Normal"/>
    <s v="Male"/>
    <x v="2"/>
    <n v="65.260000000000005"/>
    <n v="8"/>
    <n v="26.103999999999999"/>
    <n v="548.18399999999997"/>
    <x v="20"/>
    <x v="214"/>
    <x v="0"/>
    <n v="522.08000000000004"/>
    <n v="4.7619047620000003"/>
    <n v="26.103999999999999"/>
    <n v="6.3"/>
  </r>
  <r>
    <s v="885-56-0389"/>
    <x v="1"/>
    <x v="1"/>
    <s v="Member"/>
    <s v="Male"/>
    <x v="5"/>
    <n v="52.35"/>
    <n v="1"/>
    <n v="2.6175000000000002"/>
    <n v="54.967500000000001"/>
    <x v="12"/>
    <x v="438"/>
    <x v="1"/>
    <n v="52.35"/>
    <n v="4.7619047620000003"/>
    <n v="2.6175000000000002"/>
    <n v="4"/>
  </r>
  <r>
    <s v="608-05-3804"/>
    <x v="2"/>
    <x v="2"/>
    <s v="Member"/>
    <s v="Male"/>
    <x v="1"/>
    <n v="39.75"/>
    <n v="1"/>
    <n v="1.9875"/>
    <n v="41.737499999999997"/>
    <x v="6"/>
    <x v="99"/>
    <x v="1"/>
    <n v="39.75"/>
    <n v="4.7619047620000003"/>
    <n v="1.9875"/>
    <n v="6.1"/>
  </r>
  <r>
    <s v="448-61-3783"/>
    <x v="0"/>
    <x v="0"/>
    <s v="Normal"/>
    <s v="Female"/>
    <x v="1"/>
    <n v="90.02"/>
    <n v="8"/>
    <n v="36.008000000000003"/>
    <n v="756.16800000000001"/>
    <x v="76"/>
    <x v="394"/>
    <x v="2"/>
    <n v="720.16"/>
    <n v="4.7619047620000003"/>
    <n v="36.008000000000003"/>
    <n v="4.5"/>
  </r>
  <r>
    <s v="761-49-0439"/>
    <x v="2"/>
    <x v="2"/>
    <s v="Member"/>
    <s v="Female"/>
    <x v="1"/>
    <n v="12.1"/>
    <n v="8"/>
    <n v="4.84"/>
    <n v="101.64"/>
    <x v="64"/>
    <x v="79"/>
    <x v="0"/>
    <n v="96.8"/>
    <n v="4.7619047620000003"/>
    <n v="4.84"/>
    <n v="8.6"/>
  </r>
  <r>
    <s v="490-95-0021"/>
    <x v="2"/>
    <x v="2"/>
    <s v="Member"/>
    <s v="Female"/>
    <x v="4"/>
    <n v="33.21"/>
    <n v="10"/>
    <n v="16.605"/>
    <n v="348.70499999999998"/>
    <x v="66"/>
    <x v="485"/>
    <x v="0"/>
    <n v="332.1"/>
    <n v="4.7619047620000003"/>
    <n v="16.605"/>
    <n v="6"/>
  </r>
  <r>
    <s v="115-38-7388"/>
    <x v="1"/>
    <x v="1"/>
    <s v="Member"/>
    <s v="Female"/>
    <x v="5"/>
    <n v="10.18"/>
    <n v="8"/>
    <n v="4.0720000000000001"/>
    <n v="85.512"/>
    <x v="73"/>
    <x v="423"/>
    <x v="2"/>
    <n v="81.44"/>
    <n v="4.7619047620000003"/>
    <n v="4.0720000000000001"/>
    <n v="9.5"/>
  </r>
  <r>
    <s v="311-13-6971"/>
    <x v="2"/>
    <x v="2"/>
    <s v="Member"/>
    <s v="Male"/>
    <x v="3"/>
    <n v="31.99"/>
    <n v="10"/>
    <n v="15.994999999999999"/>
    <n v="335.89499999999998"/>
    <x v="9"/>
    <x v="486"/>
    <x v="2"/>
    <n v="319.89999999999998"/>
    <n v="4.7619047620000003"/>
    <n v="15.994999999999999"/>
    <n v="9.9"/>
  </r>
  <r>
    <s v="291-55-6563"/>
    <x v="0"/>
    <x v="0"/>
    <s v="Member"/>
    <s v="Female"/>
    <x v="2"/>
    <n v="34.42"/>
    <n v="6"/>
    <n v="10.326000000000001"/>
    <n v="216.846"/>
    <x v="73"/>
    <x v="47"/>
    <x v="0"/>
    <n v="206.52"/>
    <n v="4.7619047620000003"/>
    <n v="10.326000000000001"/>
    <n v="7.5"/>
  </r>
  <r>
    <s v="548-48-3156"/>
    <x v="0"/>
    <x v="0"/>
    <s v="Member"/>
    <s v="Female"/>
    <x v="4"/>
    <n v="83.34"/>
    <n v="2"/>
    <n v="8.3339999999999996"/>
    <n v="175.01400000000001"/>
    <x v="35"/>
    <x v="303"/>
    <x v="1"/>
    <n v="166.68"/>
    <n v="4.7619047620000003"/>
    <n v="8.3339999999999996"/>
    <n v="7.6"/>
  </r>
  <r>
    <s v="460-93-5834"/>
    <x v="0"/>
    <x v="0"/>
    <s v="Normal"/>
    <s v="Male"/>
    <x v="3"/>
    <n v="45.58"/>
    <n v="7"/>
    <n v="15.952999999999999"/>
    <n v="335.01299999999998"/>
    <x v="50"/>
    <x v="487"/>
    <x v="1"/>
    <n v="319.06"/>
    <n v="4.7619047620000003"/>
    <n v="15.952999999999999"/>
    <n v="5"/>
  </r>
  <r>
    <s v="325-89-4209"/>
    <x v="0"/>
    <x v="0"/>
    <s v="Member"/>
    <s v="Male"/>
    <x v="4"/>
    <n v="87.9"/>
    <n v="1"/>
    <n v="4.3949999999999996"/>
    <n v="92.295000000000002"/>
    <x v="63"/>
    <x v="144"/>
    <x v="0"/>
    <n v="87.9"/>
    <n v="4.7619047620000003"/>
    <n v="4.3949999999999996"/>
    <n v="6.7"/>
  </r>
  <r>
    <s v="884-80-6021"/>
    <x v="0"/>
    <x v="0"/>
    <s v="Member"/>
    <s v="Female"/>
    <x v="1"/>
    <n v="73.47"/>
    <n v="10"/>
    <n v="36.734999999999999"/>
    <n v="771.43499999999995"/>
    <x v="28"/>
    <x v="488"/>
    <x v="0"/>
    <n v="734.7"/>
    <n v="4.7619047620000003"/>
    <n v="36.734999999999999"/>
    <n v="9.5"/>
  </r>
  <r>
    <s v="137-74-8729"/>
    <x v="1"/>
    <x v="1"/>
    <s v="Normal"/>
    <s v="Female"/>
    <x v="5"/>
    <n v="12.19"/>
    <n v="8"/>
    <n v="4.8760000000000003"/>
    <n v="102.396"/>
    <x v="45"/>
    <x v="433"/>
    <x v="0"/>
    <n v="97.52"/>
    <n v="4.7619047620000003"/>
    <n v="4.8760000000000003"/>
    <n v="6.8"/>
  </r>
  <r>
    <s v="880-46-5796"/>
    <x v="0"/>
    <x v="0"/>
    <s v="Member"/>
    <s v="Male"/>
    <x v="3"/>
    <n v="76.92"/>
    <n v="10"/>
    <n v="38.46"/>
    <n v="807.66"/>
    <x v="85"/>
    <x v="267"/>
    <x v="0"/>
    <n v="769.2"/>
    <n v="4.7619047620000003"/>
    <n v="38.46"/>
    <n v="5.6"/>
  </r>
  <r>
    <s v="389-70-2397"/>
    <x v="1"/>
    <x v="1"/>
    <s v="Normal"/>
    <s v="Female"/>
    <x v="0"/>
    <n v="83.66"/>
    <n v="5"/>
    <n v="20.914999999999999"/>
    <n v="439.21499999999997"/>
    <x v="81"/>
    <x v="306"/>
    <x v="1"/>
    <n v="418.3"/>
    <n v="4.7619047620000003"/>
    <n v="20.914999999999999"/>
    <n v="7.2"/>
  </r>
  <r>
    <s v="114-35-5271"/>
    <x v="2"/>
    <x v="2"/>
    <s v="Normal"/>
    <s v="Female"/>
    <x v="1"/>
    <n v="57.91"/>
    <n v="8"/>
    <n v="23.164000000000001"/>
    <n v="486.44400000000002"/>
    <x v="13"/>
    <x v="379"/>
    <x v="1"/>
    <n v="463.28"/>
    <n v="4.7619047620000003"/>
    <n v="23.164000000000001"/>
    <n v="8.1"/>
  </r>
  <r>
    <s v="607-76-6216"/>
    <x v="1"/>
    <x v="1"/>
    <s v="Member"/>
    <s v="Female"/>
    <x v="5"/>
    <n v="92.49"/>
    <n v="5"/>
    <n v="23.122499999999999"/>
    <n v="485.57249999999999"/>
    <x v="22"/>
    <x v="489"/>
    <x v="2"/>
    <n v="462.45"/>
    <n v="4.7619047620000003"/>
    <n v="23.122499999999999"/>
    <n v="8.6"/>
  </r>
  <r>
    <s v="715-20-1673"/>
    <x v="2"/>
    <x v="2"/>
    <s v="Normal"/>
    <s v="Male"/>
    <x v="1"/>
    <n v="28.38"/>
    <n v="5"/>
    <n v="7.0949999999999998"/>
    <n v="148.995"/>
    <x v="43"/>
    <x v="490"/>
    <x v="1"/>
    <n v="141.9"/>
    <n v="4.7619047620000003"/>
    <n v="7.0949999999999998"/>
    <n v="9.4"/>
  </r>
  <r>
    <s v="811-35-1094"/>
    <x v="2"/>
    <x v="2"/>
    <s v="Member"/>
    <s v="Male"/>
    <x v="1"/>
    <n v="50.45"/>
    <n v="6"/>
    <n v="15.135"/>
    <n v="317.83499999999998"/>
    <x v="10"/>
    <x v="204"/>
    <x v="2"/>
    <n v="302.7"/>
    <n v="4.7619047620000003"/>
    <n v="15.135"/>
    <n v="8.9"/>
  </r>
  <r>
    <s v="699-88-1972"/>
    <x v="2"/>
    <x v="2"/>
    <s v="Normal"/>
    <s v="Male"/>
    <x v="0"/>
    <n v="99.16"/>
    <n v="8"/>
    <n v="39.664000000000001"/>
    <n v="832.94399999999996"/>
    <x v="26"/>
    <x v="59"/>
    <x v="2"/>
    <n v="793.28"/>
    <n v="4.7619047620000003"/>
    <n v="39.664000000000001"/>
    <n v="4.2"/>
  </r>
  <r>
    <s v="781-84-8059"/>
    <x v="1"/>
    <x v="1"/>
    <s v="Normal"/>
    <s v="Male"/>
    <x v="5"/>
    <n v="60.74"/>
    <n v="7"/>
    <n v="21.259"/>
    <n v="446.43900000000002"/>
    <x v="68"/>
    <x v="293"/>
    <x v="0"/>
    <n v="425.18"/>
    <n v="4.7619047620000003"/>
    <n v="21.259"/>
    <n v="5"/>
  </r>
  <r>
    <s v="409-49-6995"/>
    <x v="1"/>
    <x v="1"/>
    <s v="Member"/>
    <s v="Female"/>
    <x v="4"/>
    <n v="47.27"/>
    <n v="6"/>
    <n v="14.180999999999999"/>
    <n v="297.80099999999999"/>
    <x v="63"/>
    <x v="79"/>
    <x v="1"/>
    <n v="283.62"/>
    <n v="4.7619047620000003"/>
    <n v="14.180999999999999"/>
    <n v="8.8000000000000007"/>
  </r>
  <r>
    <s v="725-54-0677"/>
    <x v="1"/>
    <x v="1"/>
    <s v="Member"/>
    <s v="Male"/>
    <x v="0"/>
    <n v="85.6"/>
    <n v="7"/>
    <n v="29.96"/>
    <n v="629.16"/>
    <x v="22"/>
    <x v="491"/>
    <x v="1"/>
    <n v="599.20000000000005"/>
    <n v="4.7619047620000003"/>
    <n v="29.96"/>
    <n v="5.3"/>
  </r>
  <r>
    <s v="146-09-5432"/>
    <x v="0"/>
    <x v="0"/>
    <s v="Member"/>
    <s v="Male"/>
    <x v="4"/>
    <n v="35.04"/>
    <n v="9"/>
    <n v="15.768000000000001"/>
    <n v="331.12799999999999"/>
    <x v="57"/>
    <x v="151"/>
    <x v="0"/>
    <n v="315.36"/>
    <n v="4.7619047620000003"/>
    <n v="15.768000000000001"/>
    <n v="4.5999999999999996"/>
  </r>
  <r>
    <s v="377-79-7592"/>
    <x v="1"/>
    <x v="1"/>
    <s v="Member"/>
    <s v="Female"/>
    <x v="1"/>
    <n v="44.84"/>
    <n v="9"/>
    <n v="20.178000000000001"/>
    <n v="423.738"/>
    <x v="78"/>
    <x v="466"/>
    <x v="2"/>
    <n v="403.56"/>
    <n v="4.7619047620000003"/>
    <n v="20.178000000000001"/>
    <n v="7.5"/>
  </r>
  <r>
    <s v="509-10-0516"/>
    <x v="2"/>
    <x v="2"/>
    <s v="Normal"/>
    <s v="Male"/>
    <x v="2"/>
    <n v="45.97"/>
    <n v="4"/>
    <n v="9.1940000000000008"/>
    <n v="193.07400000000001"/>
    <x v="57"/>
    <x v="110"/>
    <x v="0"/>
    <n v="183.88"/>
    <n v="4.7619047620000003"/>
    <n v="9.1940000000000008"/>
    <n v="5.0999999999999996"/>
  </r>
  <r>
    <s v="595-94-9924"/>
    <x v="0"/>
    <x v="0"/>
    <s v="Member"/>
    <s v="Female"/>
    <x v="0"/>
    <n v="27.73"/>
    <n v="5"/>
    <n v="6.9325000000000001"/>
    <n v="145.58250000000001"/>
    <x v="58"/>
    <x v="277"/>
    <x v="2"/>
    <n v="138.65"/>
    <n v="4.7619047620000003"/>
    <n v="6.9325000000000001"/>
    <n v="4.2"/>
  </r>
  <r>
    <s v="865-41-9075"/>
    <x v="0"/>
    <x v="0"/>
    <s v="Normal"/>
    <s v="Male"/>
    <x v="4"/>
    <n v="11.53"/>
    <n v="7"/>
    <n v="4.0354999999999999"/>
    <n v="84.745500000000007"/>
    <x v="26"/>
    <x v="492"/>
    <x v="1"/>
    <n v="80.709999999999994"/>
    <n v="4.7619047620000003"/>
    <n v="4.0354999999999999"/>
    <n v="8.1"/>
  </r>
  <r>
    <s v="545-07-8534"/>
    <x v="1"/>
    <x v="1"/>
    <s v="Normal"/>
    <s v="Female"/>
    <x v="0"/>
    <n v="58.32"/>
    <n v="2"/>
    <n v="5.8319999999999999"/>
    <n v="122.47199999999999"/>
    <x v="44"/>
    <x v="179"/>
    <x v="0"/>
    <n v="116.64"/>
    <n v="4.7619047620000003"/>
    <n v="5.8319999999999999"/>
    <n v="6"/>
  </r>
  <r>
    <s v="118-62-1812"/>
    <x v="1"/>
    <x v="1"/>
    <s v="Member"/>
    <s v="Female"/>
    <x v="2"/>
    <n v="78.38"/>
    <n v="4"/>
    <n v="15.676"/>
    <n v="329.19600000000003"/>
    <x v="62"/>
    <x v="493"/>
    <x v="1"/>
    <n v="313.52"/>
    <n v="4.7619047620000003"/>
    <n v="15.676"/>
    <n v="7.9"/>
  </r>
  <r>
    <s v="450-42-3339"/>
    <x v="1"/>
    <x v="1"/>
    <s v="Normal"/>
    <s v="Male"/>
    <x v="0"/>
    <n v="84.61"/>
    <n v="10"/>
    <n v="42.305"/>
    <n v="888.40499999999997"/>
    <x v="57"/>
    <x v="262"/>
    <x v="2"/>
    <n v="846.1"/>
    <n v="4.7619047620000003"/>
    <n v="42.305"/>
    <n v="8.8000000000000007"/>
  </r>
  <r>
    <s v="851-98-3555"/>
    <x v="2"/>
    <x v="2"/>
    <s v="Normal"/>
    <s v="Female"/>
    <x v="0"/>
    <n v="82.88"/>
    <n v="5"/>
    <n v="20.72"/>
    <n v="435.12"/>
    <x v="62"/>
    <x v="402"/>
    <x v="2"/>
    <n v="414.4"/>
    <n v="4.7619047620000003"/>
    <n v="20.72"/>
    <n v="6.6"/>
  </r>
  <r>
    <s v="186-71-5196"/>
    <x v="0"/>
    <x v="0"/>
    <s v="Member"/>
    <s v="Female"/>
    <x v="4"/>
    <n v="79.540000000000006"/>
    <n v="2"/>
    <n v="7.9539999999999997"/>
    <n v="167.03399999999999"/>
    <x v="39"/>
    <x v="269"/>
    <x v="0"/>
    <n v="159.08000000000001"/>
    <n v="4.7619047620000003"/>
    <n v="7.9539999999999997"/>
    <n v="6.2"/>
  </r>
  <r>
    <s v="624-01-8356"/>
    <x v="2"/>
    <x v="2"/>
    <s v="Normal"/>
    <s v="Female"/>
    <x v="2"/>
    <n v="49.01"/>
    <n v="10"/>
    <n v="24.504999999999999"/>
    <n v="514.60500000000002"/>
    <x v="3"/>
    <x v="494"/>
    <x v="2"/>
    <n v="490.1"/>
    <n v="4.7619047620000003"/>
    <n v="24.504999999999999"/>
    <n v="4.2"/>
  </r>
  <r>
    <s v="313-66-9943"/>
    <x v="2"/>
    <x v="2"/>
    <s v="Member"/>
    <s v="Female"/>
    <x v="4"/>
    <n v="29.15"/>
    <n v="3"/>
    <n v="4.3724999999999996"/>
    <n v="91.822500000000005"/>
    <x v="39"/>
    <x v="245"/>
    <x v="2"/>
    <n v="87.45"/>
    <n v="4.7619047620000003"/>
    <n v="4.3724999999999996"/>
    <n v="7.3"/>
  </r>
  <r>
    <s v="151-27-8496"/>
    <x v="1"/>
    <x v="1"/>
    <s v="Normal"/>
    <s v="Female"/>
    <x v="1"/>
    <n v="56.13"/>
    <n v="4"/>
    <n v="11.226000000000001"/>
    <n v="235.74600000000001"/>
    <x v="64"/>
    <x v="354"/>
    <x v="0"/>
    <n v="224.52"/>
    <n v="4.7619047620000003"/>
    <n v="11.226000000000001"/>
    <n v="8.6"/>
  </r>
  <r>
    <s v="453-33-6436"/>
    <x v="0"/>
    <x v="0"/>
    <s v="Normal"/>
    <s v="Female"/>
    <x v="2"/>
    <n v="93.12"/>
    <n v="8"/>
    <n v="37.247999999999998"/>
    <n v="782.20799999999997"/>
    <x v="13"/>
    <x v="495"/>
    <x v="1"/>
    <n v="744.96"/>
    <n v="4.7619047620000003"/>
    <n v="37.247999999999998"/>
    <n v="6.8"/>
  </r>
  <r>
    <s v="522-57-8364"/>
    <x v="0"/>
    <x v="0"/>
    <s v="Member"/>
    <s v="Male"/>
    <x v="5"/>
    <n v="51.34"/>
    <n v="8"/>
    <n v="20.536000000000001"/>
    <n v="431.25599999999997"/>
    <x v="82"/>
    <x v="158"/>
    <x v="0"/>
    <n v="410.72"/>
    <n v="4.7619047620000003"/>
    <n v="20.536000000000001"/>
    <n v="7.6"/>
  </r>
  <r>
    <s v="459-45-2396"/>
    <x v="0"/>
    <x v="0"/>
    <s v="Member"/>
    <s v="Female"/>
    <x v="4"/>
    <n v="99.6"/>
    <n v="3"/>
    <n v="14.94"/>
    <n v="313.74"/>
    <x v="6"/>
    <x v="40"/>
    <x v="1"/>
    <n v="298.8"/>
    <n v="4.7619047620000003"/>
    <n v="14.94"/>
    <n v="5.8"/>
  </r>
  <r>
    <s v="717-96-4189"/>
    <x v="1"/>
    <x v="1"/>
    <s v="Normal"/>
    <s v="Female"/>
    <x v="1"/>
    <n v="35.49"/>
    <n v="6"/>
    <n v="10.647"/>
    <n v="223.58699999999999"/>
    <x v="30"/>
    <x v="343"/>
    <x v="1"/>
    <n v="212.94"/>
    <n v="4.7619047620000003"/>
    <n v="10.647"/>
    <n v="4.0999999999999996"/>
  </r>
  <r>
    <s v="722-13-2115"/>
    <x v="1"/>
    <x v="1"/>
    <s v="Member"/>
    <s v="Male"/>
    <x v="3"/>
    <n v="42.85"/>
    <n v="1"/>
    <n v="2.1425000000000001"/>
    <n v="44.9925"/>
    <x v="86"/>
    <x v="29"/>
    <x v="2"/>
    <n v="42.85"/>
    <n v="4.7619047620000003"/>
    <n v="2.1425000000000001"/>
    <n v="9.3000000000000007"/>
  </r>
  <r>
    <s v="749-81-8133"/>
    <x v="0"/>
    <x v="0"/>
    <s v="Normal"/>
    <s v="Female"/>
    <x v="5"/>
    <n v="94.67"/>
    <n v="4"/>
    <n v="18.934000000000001"/>
    <n v="397.61399999999998"/>
    <x v="16"/>
    <x v="153"/>
    <x v="1"/>
    <n v="378.68"/>
    <n v="4.7619047620000003"/>
    <n v="18.934000000000001"/>
    <n v="6.8"/>
  </r>
  <r>
    <s v="777-67-2495"/>
    <x v="2"/>
    <x v="2"/>
    <s v="Normal"/>
    <s v="Male"/>
    <x v="2"/>
    <n v="68.97"/>
    <n v="3"/>
    <n v="10.345499999999999"/>
    <n v="217.25550000000001"/>
    <x v="70"/>
    <x v="55"/>
    <x v="0"/>
    <n v="206.91"/>
    <n v="4.7619047620000003"/>
    <n v="10.345499999999999"/>
    <n v="8.6999999999999993"/>
  </r>
  <r>
    <s v="636-98-3364"/>
    <x v="2"/>
    <x v="2"/>
    <s v="Member"/>
    <s v="Female"/>
    <x v="1"/>
    <n v="26.26"/>
    <n v="3"/>
    <n v="3.9390000000000001"/>
    <n v="82.718999999999994"/>
    <x v="22"/>
    <x v="482"/>
    <x v="0"/>
    <n v="78.78"/>
    <n v="4.7619047620000003"/>
    <n v="3.9390000000000001"/>
    <n v="6.3"/>
  </r>
  <r>
    <s v="246-55-6923"/>
    <x v="1"/>
    <x v="1"/>
    <s v="Member"/>
    <s v="Female"/>
    <x v="2"/>
    <n v="35.79"/>
    <n v="9"/>
    <n v="16.105499999999999"/>
    <n v="338.21550000000002"/>
    <x v="24"/>
    <x v="379"/>
    <x v="2"/>
    <n v="322.11"/>
    <n v="4.7619047620000003"/>
    <n v="16.105499999999999"/>
    <n v="5.0999999999999996"/>
  </r>
  <r>
    <s v="181-82-6255"/>
    <x v="2"/>
    <x v="2"/>
    <s v="Normal"/>
    <s v="Female"/>
    <x v="2"/>
    <n v="16.37"/>
    <n v="6"/>
    <n v="4.9109999999999996"/>
    <n v="103.131"/>
    <x v="4"/>
    <x v="496"/>
    <x v="1"/>
    <n v="98.22"/>
    <n v="4.7619047620000003"/>
    <n v="4.9109999999999996"/>
    <n v="7"/>
  </r>
  <r>
    <s v="838-02-1821"/>
    <x v="1"/>
    <x v="1"/>
    <s v="Member"/>
    <s v="Female"/>
    <x v="2"/>
    <n v="12.73"/>
    <n v="2"/>
    <n v="1.2729999999999999"/>
    <n v="26.733000000000001"/>
    <x v="70"/>
    <x v="334"/>
    <x v="2"/>
    <n v="25.46"/>
    <n v="4.7619047620000003"/>
    <n v="1.2729999999999999"/>
    <n v="5.2"/>
  </r>
  <r>
    <s v="887-42-0517"/>
    <x v="1"/>
    <x v="1"/>
    <s v="Normal"/>
    <s v="Female"/>
    <x v="3"/>
    <n v="83.14"/>
    <n v="7"/>
    <n v="29.099"/>
    <n v="611.07899999999995"/>
    <x v="8"/>
    <x v="359"/>
    <x v="2"/>
    <n v="581.98"/>
    <n v="4.7619047620000003"/>
    <n v="29.099"/>
    <n v="6.6"/>
  </r>
  <r>
    <s v="457-12-0244"/>
    <x v="1"/>
    <x v="1"/>
    <s v="Member"/>
    <s v="Female"/>
    <x v="3"/>
    <n v="35.22"/>
    <n v="6"/>
    <n v="10.566000000000001"/>
    <n v="221.886"/>
    <x v="86"/>
    <x v="497"/>
    <x v="0"/>
    <n v="211.32"/>
    <n v="4.7619047620000003"/>
    <n v="10.566000000000001"/>
    <n v="6.5"/>
  </r>
  <r>
    <s v="226-34-0034"/>
    <x v="2"/>
    <x v="2"/>
    <s v="Normal"/>
    <s v="Female"/>
    <x v="1"/>
    <n v="13.78"/>
    <n v="4"/>
    <n v="2.7559999999999998"/>
    <n v="57.875999999999998"/>
    <x v="8"/>
    <x v="498"/>
    <x v="0"/>
    <n v="55.12"/>
    <n v="4.7619047620000003"/>
    <n v="2.7559999999999998"/>
    <n v="9"/>
  </r>
  <r>
    <s v="321-49-7382"/>
    <x v="2"/>
    <x v="2"/>
    <s v="Member"/>
    <s v="Male"/>
    <x v="3"/>
    <n v="88.31"/>
    <n v="1"/>
    <n v="4.4154999999999998"/>
    <n v="92.725499999999997"/>
    <x v="42"/>
    <x v="180"/>
    <x v="2"/>
    <n v="88.31"/>
    <n v="4.7619047620000003"/>
    <n v="4.4154999999999998"/>
    <n v="5.2"/>
  </r>
  <r>
    <s v="397-25-8725"/>
    <x v="0"/>
    <x v="0"/>
    <s v="Member"/>
    <s v="Female"/>
    <x v="0"/>
    <n v="39.619999999999997"/>
    <n v="9"/>
    <n v="17.829000000000001"/>
    <n v="374.40899999999999"/>
    <x v="50"/>
    <x v="297"/>
    <x v="2"/>
    <n v="356.58"/>
    <n v="4.7619047620000003"/>
    <n v="17.829000000000001"/>
    <n v="6.8"/>
  </r>
  <r>
    <s v="431-66-2305"/>
    <x v="2"/>
    <x v="2"/>
    <s v="Normal"/>
    <s v="Female"/>
    <x v="1"/>
    <n v="88.25"/>
    <n v="9"/>
    <n v="39.712499999999999"/>
    <n v="833.96249999999998"/>
    <x v="42"/>
    <x v="259"/>
    <x v="2"/>
    <n v="794.25"/>
    <n v="4.7619047620000003"/>
    <n v="39.712499999999999"/>
    <n v="7.6"/>
  </r>
  <r>
    <s v="825-94-5922"/>
    <x v="2"/>
    <x v="2"/>
    <s v="Normal"/>
    <s v="Male"/>
    <x v="3"/>
    <n v="25.31"/>
    <n v="2"/>
    <n v="2.5310000000000001"/>
    <n v="53.151000000000003"/>
    <x v="22"/>
    <x v="206"/>
    <x v="0"/>
    <n v="50.62"/>
    <n v="4.7619047620000003"/>
    <n v="2.5310000000000001"/>
    <n v="7.2"/>
  </r>
  <r>
    <s v="641-62-7288"/>
    <x v="2"/>
    <x v="2"/>
    <s v="Normal"/>
    <s v="Male"/>
    <x v="2"/>
    <n v="99.92"/>
    <n v="6"/>
    <n v="29.975999999999999"/>
    <n v="629.49599999999998"/>
    <x v="62"/>
    <x v="499"/>
    <x v="0"/>
    <n v="599.52"/>
    <n v="4.7619047620000003"/>
    <n v="29.975999999999999"/>
    <n v="7.1"/>
  </r>
  <r>
    <s v="756-93-1854"/>
    <x v="1"/>
    <x v="1"/>
    <s v="Member"/>
    <s v="Female"/>
    <x v="5"/>
    <n v="83.35"/>
    <n v="2"/>
    <n v="8.3350000000000009"/>
    <n v="175.035"/>
    <x v="30"/>
    <x v="500"/>
    <x v="2"/>
    <n v="166.7"/>
    <n v="4.7619047620000003"/>
    <n v="8.3350000000000009"/>
    <n v="9.5"/>
  </r>
  <r>
    <s v="243-55-8457"/>
    <x v="0"/>
    <x v="0"/>
    <s v="Normal"/>
    <s v="Female"/>
    <x v="4"/>
    <n v="74.44"/>
    <n v="10"/>
    <n v="37.22"/>
    <n v="781.62"/>
    <x v="33"/>
    <x v="335"/>
    <x v="0"/>
    <n v="744.4"/>
    <n v="4.7619047620000003"/>
    <n v="37.22"/>
    <n v="5.0999999999999996"/>
  </r>
  <r>
    <s v="458-10-8612"/>
    <x v="1"/>
    <x v="1"/>
    <s v="Normal"/>
    <s v="Male"/>
    <x v="0"/>
    <n v="64.08"/>
    <n v="7"/>
    <n v="22.428000000000001"/>
    <n v="470.988"/>
    <x v="40"/>
    <x v="62"/>
    <x v="0"/>
    <n v="448.56"/>
    <n v="4.7619047620000003"/>
    <n v="22.428000000000001"/>
    <n v="7.6"/>
  </r>
  <r>
    <s v="501-61-1753"/>
    <x v="2"/>
    <x v="2"/>
    <s v="Normal"/>
    <s v="Female"/>
    <x v="2"/>
    <n v="63.15"/>
    <n v="6"/>
    <n v="18.945"/>
    <n v="397.84500000000003"/>
    <x v="75"/>
    <x v="181"/>
    <x v="0"/>
    <n v="378.9"/>
    <n v="4.7619047620000003"/>
    <n v="18.945"/>
    <n v="9.8000000000000007"/>
  </r>
  <r>
    <s v="235-06-8510"/>
    <x v="1"/>
    <x v="1"/>
    <s v="Member"/>
    <s v="Male"/>
    <x v="2"/>
    <n v="85.72"/>
    <n v="3"/>
    <n v="12.858000000000001"/>
    <n v="270.01799999999997"/>
    <x v="46"/>
    <x v="123"/>
    <x v="0"/>
    <n v="257.16000000000003"/>
    <n v="4.7619047620000003"/>
    <n v="12.858000000000001"/>
    <n v="5.0999999999999996"/>
  </r>
  <r>
    <s v="433-08-7822"/>
    <x v="1"/>
    <x v="1"/>
    <s v="Normal"/>
    <s v="Female"/>
    <x v="0"/>
    <n v="78.89"/>
    <n v="7"/>
    <n v="27.611499999999999"/>
    <n v="579.8415"/>
    <x v="0"/>
    <x v="28"/>
    <x v="0"/>
    <n v="552.23"/>
    <n v="4.7619047620000003"/>
    <n v="27.611499999999999"/>
    <n v="7.5"/>
  </r>
  <r>
    <s v="361-85-2571"/>
    <x v="0"/>
    <x v="0"/>
    <s v="Normal"/>
    <s v="Female"/>
    <x v="3"/>
    <n v="89.48"/>
    <n v="5"/>
    <n v="22.37"/>
    <n v="469.77"/>
    <x v="73"/>
    <x v="392"/>
    <x v="1"/>
    <n v="447.4"/>
    <n v="4.7619047620000003"/>
    <n v="22.37"/>
    <n v="7.4"/>
  </r>
  <r>
    <s v="131-70-8179"/>
    <x v="0"/>
    <x v="0"/>
    <s v="Member"/>
    <s v="Female"/>
    <x v="0"/>
    <n v="92.09"/>
    <n v="3"/>
    <n v="13.813499999999999"/>
    <n v="290.08350000000002"/>
    <x v="21"/>
    <x v="501"/>
    <x v="1"/>
    <n v="276.27"/>
    <n v="4.7619047620000003"/>
    <n v="13.813499999999999"/>
    <n v="4.2"/>
  </r>
  <r>
    <s v="500-02-2261"/>
    <x v="1"/>
    <x v="1"/>
    <s v="Normal"/>
    <s v="Female"/>
    <x v="4"/>
    <n v="57.29"/>
    <n v="6"/>
    <n v="17.187000000000001"/>
    <n v="360.92700000000002"/>
    <x v="76"/>
    <x v="72"/>
    <x v="0"/>
    <n v="343.74"/>
    <n v="4.7619047620000003"/>
    <n v="17.187000000000001"/>
    <n v="5.9"/>
  </r>
  <r>
    <s v="720-72-2436"/>
    <x v="0"/>
    <x v="0"/>
    <s v="Normal"/>
    <s v="Male"/>
    <x v="4"/>
    <n v="66.52"/>
    <n v="4"/>
    <n v="13.304"/>
    <n v="279.38400000000001"/>
    <x v="22"/>
    <x v="92"/>
    <x v="0"/>
    <n v="266.08"/>
    <n v="4.7619047620000003"/>
    <n v="13.304"/>
    <n v="6.9"/>
  </r>
  <r>
    <s v="702-83-5291"/>
    <x v="1"/>
    <x v="1"/>
    <s v="Member"/>
    <s v="Male"/>
    <x v="5"/>
    <n v="99.82"/>
    <n v="9"/>
    <n v="44.918999999999997"/>
    <n v="943.29899999999998"/>
    <x v="39"/>
    <x v="100"/>
    <x v="1"/>
    <n v="898.38"/>
    <n v="4.7619047620000003"/>
    <n v="44.918999999999997"/>
    <n v="6.6"/>
  </r>
  <r>
    <s v="809-69-9497"/>
    <x v="0"/>
    <x v="0"/>
    <s v="Normal"/>
    <s v="Female"/>
    <x v="2"/>
    <n v="45.68"/>
    <n v="10"/>
    <n v="22.84"/>
    <n v="479.64"/>
    <x v="64"/>
    <x v="171"/>
    <x v="0"/>
    <n v="456.8"/>
    <n v="4.7619047620000003"/>
    <n v="22.84"/>
    <n v="5.7"/>
  </r>
  <r>
    <s v="449-16-6770"/>
    <x v="0"/>
    <x v="0"/>
    <s v="Normal"/>
    <s v="Male"/>
    <x v="0"/>
    <n v="50.79"/>
    <n v="5"/>
    <n v="12.6975"/>
    <n v="266.64749999999998"/>
    <x v="88"/>
    <x v="222"/>
    <x v="2"/>
    <n v="253.95"/>
    <n v="4.7619047620000003"/>
    <n v="12.6975"/>
    <n v="5.3"/>
  </r>
  <r>
    <s v="333-23-2632"/>
    <x v="0"/>
    <x v="0"/>
    <s v="Member"/>
    <s v="Male"/>
    <x v="0"/>
    <n v="10.08"/>
    <n v="7"/>
    <n v="3.528"/>
    <n v="74.087999999999994"/>
    <x v="61"/>
    <x v="253"/>
    <x v="1"/>
    <n v="70.56"/>
    <n v="4.7619047620000003"/>
    <n v="3.528"/>
    <n v="4.2"/>
  </r>
  <r>
    <s v="489-82-1237"/>
    <x v="0"/>
    <x v="0"/>
    <s v="Normal"/>
    <s v="Female"/>
    <x v="1"/>
    <n v="93.88"/>
    <n v="7"/>
    <n v="32.857999999999997"/>
    <n v="690.01800000000003"/>
    <x v="0"/>
    <x v="159"/>
    <x v="2"/>
    <n v="657.16"/>
    <n v="4.7619047620000003"/>
    <n v="32.857999999999997"/>
    <n v="7.3"/>
  </r>
  <r>
    <s v="859-97-6048"/>
    <x v="1"/>
    <x v="1"/>
    <s v="Member"/>
    <s v="Male"/>
    <x v="1"/>
    <n v="84.25"/>
    <n v="2"/>
    <n v="8.4250000000000007"/>
    <n v="176.92500000000001"/>
    <x v="58"/>
    <x v="385"/>
    <x v="2"/>
    <n v="168.5"/>
    <n v="4.7619047620000003"/>
    <n v="8.4250000000000007"/>
    <n v="5.3"/>
  </r>
  <r>
    <s v="676-10-2200"/>
    <x v="2"/>
    <x v="2"/>
    <s v="Member"/>
    <s v="Male"/>
    <x v="5"/>
    <n v="53.78"/>
    <n v="1"/>
    <n v="2.6890000000000001"/>
    <n v="56.469000000000001"/>
    <x v="36"/>
    <x v="430"/>
    <x v="0"/>
    <n v="53.78"/>
    <n v="4.7619047620000003"/>
    <n v="2.6890000000000001"/>
    <n v="4.7"/>
  </r>
  <r>
    <s v="373-88-1424"/>
    <x v="1"/>
    <x v="1"/>
    <s v="Member"/>
    <s v="Male"/>
    <x v="2"/>
    <n v="35.81"/>
    <n v="5"/>
    <n v="8.9525000000000006"/>
    <n v="188.0025"/>
    <x v="10"/>
    <x v="114"/>
    <x v="0"/>
    <n v="179.05"/>
    <n v="4.7619047620000003"/>
    <n v="8.9525000000000006"/>
    <n v="7.9"/>
  </r>
  <r>
    <s v="365-16-4334"/>
    <x v="2"/>
    <x v="2"/>
    <s v="Normal"/>
    <s v="Female"/>
    <x v="4"/>
    <n v="26.43"/>
    <n v="8"/>
    <n v="10.571999999999999"/>
    <n v="222.012"/>
    <x v="7"/>
    <x v="442"/>
    <x v="0"/>
    <n v="211.44"/>
    <n v="4.7619047620000003"/>
    <n v="10.571999999999999"/>
    <n v="8.9"/>
  </r>
  <r>
    <s v="503-21-4385"/>
    <x v="2"/>
    <x v="2"/>
    <s v="Member"/>
    <s v="Male"/>
    <x v="0"/>
    <n v="39.909999999999997"/>
    <n v="3"/>
    <n v="5.9865000000000004"/>
    <n v="125.7165"/>
    <x v="81"/>
    <x v="343"/>
    <x v="0"/>
    <n v="119.73"/>
    <n v="4.7619047620000003"/>
    <n v="5.9865000000000004"/>
    <n v="9.3000000000000007"/>
  </r>
  <r>
    <s v="305-89-2768"/>
    <x v="2"/>
    <x v="2"/>
    <s v="Member"/>
    <s v="Female"/>
    <x v="2"/>
    <n v="21.9"/>
    <n v="3"/>
    <n v="3.2850000000000001"/>
    <n v="68.984999999999999"/>
    <x v="51"/>
    <x v="362"/>
    <x v="0"/>
    <n v="65.7"/>
    <n v="4.7619047620000003"/>
    <n v="3.2850000000000001"/>
    <n v="4.7"/>
  </r>
  <r>
    <s v="574-80-1489"/>
    <x v="2"/>
    <x v="2"/>
    <s v="Member"/>
    <s v="Female"/>
    <x v="4"/>
    <n v="62.85"/>
    <n v="4"/>
    <n v="12.57"/>
    <n v="263.97000000000003"/>
    <x v="6"/>
    <x v="93"/>
    <x v="0"/>
    <n v="251.4"/>
    <n v="4.7619047620000003"/>
    <n v="12.57"/>
    <n v="8.6999999999999993"/>
  </r>
  <r>
    <s v="784-08-0310"/>
    <x v="1"/>
    <x v="1"/>
    <s v="Member"/>
    <s v="Female"/>
    <x v="4"/>
    <n v="21.04"/>
    <n v="4"/>
    <n v="4.2080000000000002"/>
    <n v="88.367999999999995"/>
    <x v="50"/>
    <x v="139"/>
    <x v="1"/>
    <n v="84.16"/>
    <n v="4.7619047620000003"/>
    <n v="4.2080000000000002"/>
    <n v="7.6"/>
  </r>
  <r>
    <s v="200-40-6154"/>
    <x v="2"/>
    <x v="2"/>
    <s v="Member"/>
    <s v="Male"/>
    <x v="2"/>
    <n v="65.91"/>
    <n v="6"/>
    <n v="19.773"/>
    <n v="415.233"/>
    <x v="57"/>
    <x v="393"/>
    <x v="1"/>
    <n v="395.46"/>
    <n v="4.7619047620000003"/>
    <n v="19.773"/>
    <n v="5.7"/>
  </r>
  <r>
    <s v="846-10-0341"/>
    <x v="0"/>
    <x v="0"/>
    <s v="Normal"/>
    <s v="Female"/>
    <x v="5"/>
    <n v="42.57"/>
    <n v="7"/>
    <n v="14.8995"/>
    <n v="312.8895"/>
    <x v="47"/>
    <x v="159"/>
    <x v="1"/>
    <n v="297.99"/>
    <n v="4.7619047620000003"/>
    <n v="14.8995"/>
    <n v="6.8"/>
  </r>
  <r>
    <s v="577-34-7579"/>
    <x v="1"/>
    <x v="1"/>
    <s v="Member"/>
    <s v="Male"/>
    <x v="4"/>
    <n v="50.49"/>
    <n v="9"/>
    <n v="22.720500000000001"/>
    <n v="477.13049999999998"/>
    <x v="8"/>
    <x v="361"/>
    <x v="1"/>
    <n v="454.41"/>
    <n v="4.7619047620000003"/>
    <n v="22.720500000000001"/>
    <n v="5.4"/>
  </r>
  <r>
    <s v="430-02-3888"/>
    <x v="2"/>
    <x v="2"/>
    <s v="Normal"/>
    <s v="Male"/>
    <x v="1"/>
    <n v="46.02"/>
    <n v="6"/>
    <n v="13.805999999999999"/>
    <n v="289.92599999999999"/>
    <x v="13"/>
    <x v="57"/>
    <x v="1"/>
    <n v="276.12"/>
    <n v="4.7619047620000003"/>
    <n v="13.805999999999999"/>
    <n v="7.1"/>
  </r>
  <r>
    <s v="867-47-1948"/>
    <x v="1"/>
    <x v="1"/>
    <s v="Normal"/>
    <s v="Female"/>
    <x v="2"/>
    <n v="15.8"/>
    <n v="10"/>
    <n v="7.9"/>
    <n v="165.9"/>
    <x v="51"/>
    <x v="348"/>
    <x v="1"/>
    <n v="158"/>
    <n v="4.7619047620000003"/>
    <n v="7.9"/>
    <n v="7.8"/>
  </r>
  <r>
    <s v="384-59-6655"/>
    <x v="0"/>
    <x v="0"/>
    <s v="Member"/>
    <s v="Female"/>
    <x v="4"/>
    <n v="98.66"/>
    <n v="9"/>
    <n v="44.396999999999998"/>
    <n v="932.33699999999999"/>
    <x v="88"/>
    <x v="133"/>
    <x v="1"/>
    <n v="887.94"/>
    <n v="4.7619047620000003"/>
    <n v="44.396999999999998"/>
    <n v="8.4"/>
  </r>
  <r>
    <s v="256-58-3609"/>
    <x v="1"/>
    <x v="1"/>
    <s v="Member"/>
    <s v="Male"/>
    <x v="5"/>
    <n v="91.98"/>
    <n v="1"/>
    <n v="4.5990000000000002"/>
    <n v="96.578999999999994"/>
    <x v="79"/>
    <x v="406"/>
    <x v="1"/>
    <n v="91.98"/>
    <n v="4.7619047620000003"/>
    <n v="4.5990000000000002"/>
    <n v="9.8000000000000007"/>
  </r>
  <r>
    <s v="324-92-3863"/>
    <x v="0"/>
    <x v="0"/>
    <s v="Member"/>
    <s v="Male"/>
    <x v="1"/>
    <n v="20.89"/>
    <n v="2"/>
    <n v="2.089"/>
    <n v="43.869"/>
    <x v="63"/>
    <x v="40"/>
    <x v="1"/>
    <n v="41.78"/>
    <n v="4.7619047620000003"/>
    <n v="2.089"/>
    <n v="9.8000000000000007"/>
  </r>
  <r>
    <s v="593-08-5916"/>
    <x v="0"/>
    <x v="0"/>
    <s v="Normal"/>
    <s v="Female"/>
    <x v="5"/>
    <n v="15.5"/>
    <n v="1"/>
    <n v="0.77500000000000002"/>
    <n v="16.274999999999999"/>
    <x v="35"/>
    <x v="502"/>
    <x v="2"/>
    <n v="15.5"/>
    <n v="4.7619047620000003"/>
    <n v="0.77500000000000002"/>
    <n v="7.4"/>
  </r>
  <r>
    <s v="364-34-2972"/>
    <x v="1"/>
    <x v="1"/>
    <s v="Member"/>
    <s v="Male"/>
    <x v="1"/>
    <n v="96.82"/>
    <n v="3"/>
    <n v="14.523"/>
    <n v="304.983"/>
    <x v="73"/>
    <x v="291"/>
    <x v="1"/>
    <n v="290.45999999999998"/>
    <n v="4.7619047620000003"/>
    <n v="14.523"/>
    <n v="6.7"/>
  </r>
  <r>
    <s v="794-42-3736"/>
    <x v="2"/>
    <x v="2"/>
    <s v="Normal"/>
    <s v="Male"/>
    <x v="4"/>
    <n v="33.33"/>
    <n v="2"/>
    <n v="3.3330000000000002"/>
    <n v="69.992999999999995"/>
    <x v="53"/>
    <x v="400"/>
    <x v="2"/>
    <n v="66.66"/>
    <n v="4.7619047620000003"/>
    <n v="3.3330000000000002"/>
    <n v="6.4"/>
  </r>
  <r>
    <s v="172-42-8274"/>
    <x v="2"/>
    <x v="2"/>
    <s v="Normal"/>
    <s v="Female"/>
    <x v="1"/>
    <n v="38.270000000000003"/>
    <n v="2"/>
    <n v="3.827"/>
    <n v="80.367000000000004"/>
    <x v="22"/>
    <x v="503"/>
    <x v="2"/>
    <n v="76.540000000000006"/>
    <n v="4.7619047620000003"/>
    <n v="3.827"/>
    <n v="5.8"/>
  </r>
  <r>
    <s v="558-60-5016"/>
    <x v="0"/>
    <x v="0"/>
    <s v="Normal"/>
    <s v="Female"/>
    <x v="2"/>
    <n v="33.299999999999997"/>
    <n v="9"/>
    <n v="14.984999999999999"/>
    <n v="314.685"/>
    <x v="31"/>
    <x v="398"/>
    <x v="0"/>
    <n v="299.7"/>
    <n v="4.7619047620000003"/>
    <n v="14.984999999999999"/>
    <n v="7.2"/>
  </r>
  <r>
    <s v="195-06-0432"/>
    <x v="0"/>
    <x v="0"/>
    <s v="Member"/>
    <s v="Male"/>
    <x v="2"/>
    <n v="81.010000000000005"/>
    <n v="3"/>
    <n v="12.1515"/>
    <n v="255.1815"/>
    <x v="50"/>
    <x v="197"/>
    <x v="2"/>
    <n v="243.03"/>
    <n v="4.7619047620000003"/>
    <n v="12.1515"/>
    <n v="9.3000000000000007"/>
  </r>
  <r>
    <s v="605-03-2706"/>
    <x v="0"/>
    <x v="0"/>
    <s v="Normal"/>
    <s v="Female"/>
    <x v="0"/>
    <n v="15.8"/>
    <n v="3"/>
    <n v="2.37"/>
    <n v="49.77"/>
    <x v="5"/>
    <x v="454"/>
    <x v="1"/>
    <n v="47.4"/>
    <n v="4.7619047620000003"/>
    <n v="2.37"/>
    <n v="9.5"/>
  </r>
  <r>
    <s v="214-30-2776"/>
    <x v="2"/>
    <x v="2"/>
    <s v="Member"/>
    <s v="Female"/>
    <x v="1"/>
    <n v="34.49"/>
    <n v="5"/>
    <n v="8.6225000000000005"/>
    <n v="181.07249999999999"/>
    <x v="16"/>
    <x v="143"/>
    <x v="2"/>
    <n v="172.45"/>
    <n v="4.7619047620000003"/>
    <n v="8.6225000000000005"/>
    <n v="9"/>
  </r>
  <r>
    <s v="746-04-1077"/>
    <x v="2"/>
    <x v="2"/>
    <s v="Member"/>
    <s v="Female"/>
    <x v="4"/>
    <n v="84.63"/>
    <n v="10"/>
    <n v="42.314999999999998"/>
    <n v="888.61500000000001"/>
    <x v="17"/>
    <x v="150"/>
    <x v="2"/>
    <n v="846.3"/>
    <n v="4.7619047620000003"/>
    <n v="42.314999999999998"/>
    <n v="9"/>
  </r>
  <r>
    <s v="448-34-8700"/>
    <x v="2"/>
    <x v="2"/>
    <s v="Member"/>
    <s v="Male"/>
    <x v="2"/>
    <n v="36.909999999999997"/>
    <n v="7"/>
    <n v="12.9185"/>
    <n v="271.2885"/>
    <x v="34"/>
    <x v="477"/>
    <x v="0"/>
    <n v="258.37"/>
    <n v="4.7619047620000003"/>
    <n v="12.9185"/>
    <n v="6.7"/>
  </r>
  <r>
    <s v="452-04-8808"/>
    <x v="2"/>
    <x v="2"/>
    <s v="Normal"/>
    <s v="Male"/>
    <x v="1"/>
    <n v="87.08"/>
    <n v="7"/>
    <n v="30.478000000000002"/>
    <n v="640.03800000000001"/>
    <x v="53"/>
    <x v="504"/>
    <x v="1"/>
    <n v="609.55999999999995"/>
    <n v="4.7619047620000003"/>
    <n v="30.478000000000002"/>
    <n v="5.5"/>
  </r>
  <r>
    <s v="531-56-4728"/>
    <x v="0"/>
    <x v="0"/>
    <s v="Normal"/>
    <s v="Male"/>
    <x v="2"/>
    <n v="80.08"/>
    <n v="3"/>
    <n v="12.012"/>
    <n v="252.25200000000001"/>
    <x v="48"/>
    <x v="406"/>
    <x v="1"/>
    <n v="240.24"/>
    <n v="4.7619047620000003"/>
    <n v="12.012"/>
    <n v="5.4"/>
  </r>
  <r>
    <s v="744-82-9138"/>
    <x v="1"/>
    <x v="1"/>
    <s v="Normal"/>
    <s v="Male"/>
    <x v="5"/>
    <n v="86.13"/>
    <n v="2"/>
    <n v="8.6129999999999995"/>
    <n v="180.87299999999999"/>
    <x v="13"/>
    <x v="422"/>
    <x v="1"/>
    <n v="172.26"/>
    <n v="4.7619047620000003"/>
    <n v="8.6129999999999995"/>
    <n v="8.1999999999999993"/>
  </r>
  <r>
    <s v="883-69-1285"/>
    <x v="2"/>
    <x v="2"/>
    <s v="Member"/>
    <s v="Male"/>
    <x v="5"/>
    <n v="49.92"/>
    <n v="2"/>
    <n v="4.992"/>
    <n v="104.83199999999999"/>
    <x v="43"/>
    <x v="479"/>
    <x v="2"/>
    <n v="99.84"/>
    <n v="4.7619047620000003"/>
    <n v="4.992"/>
    <n v="7"/>
  </r>
  <r>
    <s v="221-25-5073"/>
    <x v="0"/>
    <x v="0"/>
    <s v="Normal"/>
    <s v="Female"/>
    <x v="4"/>
    <n v="74.66"/>
    <n v="4"/>
    <n v="14.932"/>
    <n v="313.572"/>
    <x v="31"/>
    <x v="17"/>
    <x v="1"/>
    <n v="298.64"/>
    <n v="4.7619047620000003"/>
    <n v="14.932"/>
    <n v="8.5"/>
  </r>
  <r>
    <s v="518-71-6847"/>
    <x v="2"/>
    <x v="2"/>
    <s v="Member"/>
    <s v="Male"/>
    <x v="4"/>
    <n v="26.6"/>
    <n v="6"/>
    <n v="7.98"/>
    <n v="167.58"/>
    <x v="84"/>
    <x v="50"/>
    <x v="0"/>
    <n v="159.6"/>
    <n v="4.7619047620000003"/>
    <n v="7.98"/>
    <n v="4.9000000000000004"/>
  </r>
  <r>
    <s v="156-20-0370"/>
    <x v="2"/>
    <x v="2"/>
    <s v="Normal"/>
    <s v="Female"/>
    <x v="1"/>
    <n v="25.45"/>
    <n v="1"/>
    <n v="1.2725"/>
    <n v="26.7225"/>
    <x v="24"/>
    <x v="397"/>
    <x v="2"/>
    <n v="25.45"/>
    <n v="4.7619047620000003"/>
    <n v="1.2725"/>
    <n v="5.0999999999999996"/>
  </r>
  <r>
    <s v="151-33-7434"/>
    <x v="2"/>
    <x v="2"/>
    <s v="Normal"/>
    <s v="Female"/>
    <x v="4"/>
    <n v="67.77"/>
    <n v="1"/>
    <n v="3.3885000000000001"/>
    <n v="71.158500000000004"/>
    <x v="87"/>
    <x v="413"/>
    <x v="2"/>
    <n v="67.77"/>
    <n v="4.7619047620000003"/>
    <n v="3.3885000000000001"/>
    <n v="6.5"/>
  </r>
  <r>
    <s v="728-47-9078"/>
    <x v="1"/>
    <x v="1"/>
    <s v="Member"/>
    <s v="Male"/>
    <x v="4"/>
    <n v="59.59"/>
    <n v="4"/>
    <n v="11.917999999999999"/>
    <n v="250.27799999999999"/>
    <x v="64"/>
    <x v="69"/>
    <x v="1"/>
    <n v="238.36"/>
    <n v="4.7619047620000003"/>
    <n v="11.917999999999999"/>
    <n v="9.8000000000000007"/>
  </r>
  <r>
    <s v="809-46-1866"/>
    <x v="0"/>
    <x v="0"/>
    <s v="Normal"/>
    <s v="Male"/>
    <x v="0"/>
    <n v="58.15"/>
    <n v="4"/>
    <n v="11.63"/>
    <n v="244.23"/>
    <x v="54"/>
    <x v="292"/>
    <x v="1"/>
    <n v="232.6"/>
    <n v="4.7619047620000003"/>
    <n v="11.63"/>
    <n v="8.4"/>
  </r>
  <r>
    <s v="139-32-4183"/>
    <x v="0"/>
    <x v="0"/>
    <s v="Member"/>
    <s v="Female"/>
    <x v="3"/>
    <n v="97.48"/>
    <n v="9"/>
    <n v="43.866"/>
    <n v="921.18600000000004"/>
    <x v="86"/>
    <x v="401"/>
    <x v="0"/>
    <n v="877.32"/>
    <n v="4.7619047620000003"/>
    <n v="43.866"/>
    <n v="7.4"/>
  </r>
  <r>
    <s v="148-41-7930"/>
    <x v="1"/>
    <x v="1"/>
    <s v="Normal"/>
    <s v="Male"/>
    <x v="0"/>
    <n v="99.96"/>
    <n v="7"/>
    <n v="34.985999999999997"/>
    <n v="734.70600000000002"/>
    <x v="54"/>
    <x v="373"/>
    <x v="1"/>
    <n v="699.72"/>
    <n v="4.7619047620000003"/>
    <n v="34.985999999999997"/>
    <n v="6.1"/>
  </r>
  <r>
    <s v="189-40-5216"/>
    <x v="1"/>
    <x v="1"/>
    <s v="Normal"/>
    <s v="Male"/>
    <x v="1"/>
    <n v="96.37"/>
    <n v="7"/>
    <n v="33.729500000000002"/>
    <n v="708.31949999999995"/>
    <x v="51"/>
    <x v="335"/>
    <x v="1"/>
    <n v="674.59"/>
    <n v="4.7619047620000003"/>
    <n v="33.729500000000002"/>
    <n v="6"/>
  </r>
  <r>
    <s v="374-38-5555"/>
    <x v="2"/>
    <x v="2"/>
    <s v="Normal"/>
    <s v="Female"/>
    <x v="5"/>
    <n v="63.71"/>
    <n v="5"/>
    <n v="15.9275"/>
    <n v="334.47750000000002"/>
    <x v="13"/>
    <x v="171"/>
    <x v="0"/>
    <n v="318.55"/>
    <n v="4.7619047620000003"/>
    <n v="15.9275"/>
    <n v="8.5"/>
  </r>
  <r>
    <s v="764-44-8999"/>
    <x v="2"/>
    <x v="2"/>
    <s v="Normal"/>
    <s v="Female"/>
    <x v="0"/>
    <n v="14.76"/>
    <n v="2"/>
    <n v="1.476"/>
    <n v="30.995999999999999"/>
    <x v="67"/>
    <x v="51"/>
    <x v="0"/>
    <n v="29.52"/>
    <n v="4.7619047620000003"/>
    <n v="1.476"/>
    <n v="4.3"/>
  </r>
  <r>
    <s v="552-44-5977"/>
    <x v="2"/>
    <x v="2"/>
    <s v="Member"/>
    <s v="Male"/>
    <x v="0"/>
    <n v="62"/>
    <n v="8"/>
    <n v="24.8"/>
    <n v="520.79999999999995"/>
    <x v="75"/>
    <x v="168"/>
    <x v="2"/>
    <n v="496"/>
    <n v="4.7619047620000003"/>
    <n v="24.8"/>
    <n v="6.2"/>
  </r>
  <r>
    <s v="267-62-7380"/>
    <x v="1"/>
    <x v="1"/>
    <s v="Member"/>
    <s v="Male"/>
    <x v="1"/>
    <n v="82.34"/>
    <n v="10"/>
    <n v="41.17"/>
    <n v="864.57"/>
    <x v="14"/>
    <x v="505"/>
    <x v="0"/>
    <n v="823.4"/>
    <n v="4.7619047620000003"/>
    <n v="41.17"/>
    <n v="4.3"/>
  </r>
  <r>
    <s v="430-53-4718"/>
    <x v="2"/>
    <x v="2"/>
    <s v="Member"/>
    <s v="Male"/>
    <x v="0"/>
    <n v="75.37"/>
    <n v="8"/>
    <n v="30.148"/>
    <n v="633.10799999999995"/>
    <x v="26"/>
    <x v="52"/>
    <x v="2"/>
    <n v="602.96"/>
    <n v="4.7619047620000003"/>
    <n v="30.148"/>
    <n v="8.4"/>
  </r>
  <r>
    <s v="886-18-2897"/>
    <x v="0"/>
    <x v="0"/>
    <s v="Normal"/>
    <s v="Female"/>
    <x v="4"/>
    <n v="56.56"/>
    <n v="5"/>
    <n v="14.14"/>
    <n v="296.94"/>
    <x v="23"/>
    <x v="216"/>
    <x v="2"/>
    <n v="282.8"/>
    <n v="4.7619047620000003"/>
    <n v="14.14"/>
    <n v="4.5"/>
  </r>
  <r>
    <s v="602-16-6955"/>
    <x v="2"/>
    <x v="2"/>
    <s v="Normal"/>
    <s v="Female"/>
    <x v="3"/>
    <n v="76.599999999999994"/>
    <n v="10"/>
    <n v="38.299999999999997"/>
    <n v="804.3"/>
    <x v="46"/>
    <x v="397"/>
    <x v="0"/>
    <n v="766"/>
    <n v="4.7619047620000003"/>
    <n v="38.299999999999997"/>
    <n v="6"/>
  </r>
  <r>
    <s v="745-74-0715"/>
    <x v="0"/>
    <x v="0"/>
    <s v="Normal"/>
    <s v="Male"/>
    <x v="1"/>
    <n v="58.03"/>
    <n v="2"/>
    <n v="5.8029999999999999"/>
    <n v="121.863"/>
    <x v="24"/>
    <x v="351"/>
    <x v="0"/>
    <n v="116.06"/>
    <n v="4.7619047620000003"/>
    <n v="5.8029999999999999"/>
    <n v="8.8000000000000007"/>
  </r>
  <r>
    <s v="690-01-6631"/>
    <x v="2"/>
    <x v="2"/>
    <s v="Normal"/>
    <s v="Male"/>
    <x v="5"/>
    <n v="17.489999999999998"/>
    <n v="10"/>
    <n v="8.7449999999999992"/>
    <n v="183.64500000000001"/>
    <x v="70"/>
    <x v="476"/>
    <x v="0"/>
    <n v="174.9"/>
    <n v="4.7619047620000003"/>
    <n v="8.7449999999999992"/>
    <n v="6.6"/>
  </r>
  <r>
    <s v="652-49-6720"/>
    <x v="1"/>
    <x v="1"/>
    <s v="Member"/>
    <s v="Female"/>
    <x v="1"/>
    <n v="60.95"/>
    <n v="1"/>
    <n v="3.0474999999999999"/>
    <n v="63.997500000000002"/>
    <x v="67"/>
    <x v="335"/>
    <x v="0"/>
    <n v="60.95"/>
    <n v="4.7619047620000003"/>
    <n v="3.0474999999999999"/>
    <n v="5.9"/>
  </r>
  <r>
    <s v="233-67-5758"/>
    <x v="1"/>
    <x v="1"/>
    <s v="Normal"/>
    <s v="Male"/>
    <x v="0"/>
    <n v="40.35"/>
    <n v="1"/>
    <n v="2.0175000000000001"/>
    <n v="42.3675"/>
    <x v="71"/>
    <x v="190"/>
    <x v="0"/>
    <n v="40.35"/>
    <n v="4.7619047620000003"/>
    <n v="2.0175000000000001"/>
    <n v="6.2"/>
  </r>
  <r>
    <s v="303-96-2227"/>
    <x v="2"/>
    <x v="2"/>
    <s v="Normal"/>
    <s v="Female"/>
    <x v="2"/>
    <n v="97.38"/>
    <n v="10"/>
    <n v="48.69"/>
    <n v="1022.49"/>
    <x v="22"/>
    <x v="361"/>
    <x v="0"/>
    <n v="973.8"/>
    <n v="4.7619047620000003"/>
    <n v="48.69"/>
    <n v="4.4000000000000004"/>
  </r>
  <r>
    <s v="727-02-1313"/>
    <x v="0"/>
    <x v="0"/>
    <s v="Member"/>
    <s v="Male"/>
    <x v="4"/>
    <n v="31.84"/>
    <n v="1"/>
    <n v="1.5920000000000001"/>
    <n v="33.432000000000002"/>
    <x v="57"/>
    <x v="93"/>
    <x v="1"/>
    <n v="31.84"/>
    <n v="4.7619047620000003"/>
    <n v="1.5920000000000001"/>
    <n v="7.7"/>
  </r>
  <r>
    <s v="347-56-2442"/>
    <x v="0"/>
    <x v="0"/>
    <s v="Normal"/>
    <s v="Male"/>
    <x v="2"/>
    <n v="65.819999999999993"/>
    <n v="1"/>
    <n v="3.2909999999999999"/>
    <n v="69.111000000000004"/>
    <x v="70"/>
    <x v="439"/>
    <x v="1"/>
    <n v="65.819999999999993"/>
    <n v="4.7619047620000003"/>
    <n v="3.2909999999999999"/>
    <n v="4.0999999999999996"/>
  </r>
  <r>
    <s v="849-09-3807"/>
    <x v="0"/>
    <x v="0"/>
    <s v="Member"/>
    <s v="Female"/>
    <x v="5"/>
    <n v="88.34"/>
    <n v="7"/>
    <n v="30.919"/>
    <n v="649.29899999999998"/>
    <x v="67"/>
    <x v="360"/>
    <x v="1"/>
    <n v="618.38"/>
    <n v="4.7619047620000003"/>
    <n v="30.919"/>
    <n v="6.6"/>
  </r>
  <r>
    <m/>
    <x v="3"/>
    <x v="3"/>
    <m/>
    <m/>
    <x v="6"/>
    <m/>
    <m/>
    <m/>
    <m/>
    <x v="89"/>
    <x v="506"/>
    <x v="3"/>
    <m/>
    <m/>
    <m/>
    <m/>
  </r>
  <r>
    <m/>
    <x v="3"/>
    <x v="3"/>
    <m/>
    <m/>
    <x v="6"/>
    <m/>
    <m/>
    <m/>
    <m/>
    <x v="89"/>
    <x v="506"/>
    <x v="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s v="Yangon"/>
    <x v="0"/>
    <x v="0"/>
    <x v="0"/>
    <x v="0"/>
    <x v="0"/>
    <n v="26.141500000000001"/>
    <n v="548.97149999999999"/>
    <d v="2019-01-05T00:00:00"/>
    <d v="1899-12-30T13:08:00"/>
    <s v="Ewallet"/>
    <n v="522.83000000000004"/>
    <n v="4.7619047620000003"/>
    <x v="0"/>
    <n v="9.1"/>
  </r>
  <r>
    <s v="226-31-3081"/>
    <s v="C"/>
    <s v="Naypyidaw"/>
    <x v="1"/>
    <x v="0"/>
    <x v="1"/>
    <x v="1"/>
    <x v="1"/>
    <n v="3.82"/>
    <n v="80.22"/>
    <d v="2019-03-08T00:00:00"/>
    <d v="1899-12-30T10:29:00"/>
    <s v="Cash"/>
    <n v="76.400000000000006"/>
    <n v="4.7619047620000003"/>
    <x v="1"/>
    <n v="9.6"/>
  </r>
  <r>
    <s v="631-41-3108"/>
    <s v="A"/>
    <s v="Yangon"/>
    <x v="1"/>
    <x v="1"/>
    <x v="2"/>
    <x v="2"/>
    <x v="0"/>
    <n v="16.215499999999999"/>
    <n v="340.52550000000002"/>
    <d v="2019-03-03T00:00:00"/>
    <d v="1899-12-30T13:23:00"/>
    <s v="Credit card"/>
    <n v="324.31"/>
    <n v="4.7619047620000003"/>
    <x v="2"/>
    <n v="7.4"/>
  </r>
  <r>
    <s v="123-19-1176"/>
    <s v="A"/>
    <s v="Yangon"/>
    <x v="0"/>
    <x v="1"/>
    <x v="0"/>
    <x v="3"/>
    <x v="2"/>
    <n v="23.288"/>
    <n v="489.048"/>
    <d v="2019-01-27T00:00:00"/>
    <d v="1899-12-30T20:33:00"/>
    <s v="Ewallet"/>
    <n v="465.76"/>
    <n v="4.7619047620000003"/>
    <x v="3"/>
    <n v="8.4"/>
  </r>
  <r>
    <s v="373-73-7910"/>
    <s v="A"/>
    <s v="Yangon"/>
    <x v="1"/>
    <x v="1"/>
    <x v="3"/>
    <x v="4"/>
    <x v="0"/>
    <n v="30.208500000000001"/>
    <n v="634.37850000000003"/>
    <d v="2019-02-08T00:00:00"/>
    <d v="1899-12-30T10:37:00"/>
    <s v="Ewallet"/>
    <n v="604.16999999999996"/>
    <n v="4.7619047620000003"/>
    <x v="4"/>
    <n v="5.3"/>
  </r>
  <r>
    <s v="699-14-3026"/>
    <s v="C"/>
    <s v="Naypyidaw"/>
    <x v="1"/>
    <x v="1"/>
    <x v="1"/>
    <x v="5"/>
    <x v="0"/>
    <n v="29.886500000000002"/>
    <n v="627.61649999999997"/>
    <d v="2019-03-25T00:00:00"/>
    <d v="1899-12-30T18:30:00"/>
    <s v="Ewallet"/>
    <n v="597.73"/>
    <n v="4.7619047620000003"/>
    <x v="5"/>
    <n v="4.0999999999999996"/>
  </r>
  <r>
    <s v="355-53-5943"/>
    <s v="A"/>
    <s v="Yangon"/>
    <x v="0"/>
    <x v="0"/>
    <x v="1"/>
    <x v="6"/>
    <x v="3"/>
    <n v="20.652000000000001"/>
    <n v="433.69200000000001"/>
    <d v="2019-02-25T00:00:00"/>
    <d v="1899-12-30T14:36:00"/>
    <s v="Ewallet"/>
    <n v="413.04"/>
    <n v="4.7619047620000003"/>
    <x v="6"/>
    <n v="5.8"/>
  </r>
  <r>
    <s v="315-22-5665"/>
    <s v="C"/>
    <s v="Naypyidaw"/>
    <x v="1"/>
    <x v="0"/>
    <x v="2"/>
    <x v="7"/>
    <x v="4"/>
    <n v="36.78"/>
    <n v="772.38"/>
    <d v="2019-02-24T00:00:00"/>
    <d v="1899-12-30T11:38:00"/>
    <s v="Ewallet"/>
    <n v="735.6"/>
    <n v="4.7619047620000003"/>
    <x v="7"/>
    <n v="8"/>
  </r>
  <r>
    <s v="665-32-9167"/>
    <s v="A"/>
    <s v="Yangon"/>
    <x v="0"/>
    <x v="0"/>
    <x v="0"/>
    <x v="8"/>
    <x v="5"/>
    <n v="3.6259999999999999"/>
    <n v="76.146000000000001"/>
    <d v="2019-01-10T00:00:00"/>
    <d v="1899-12-30T17:15:00"/>
    <s v="Credit card"/>
    <n v="72.52"/>
    <n v="4.7619047620000003"/>
    <x v="8"/>
    <n v="7.2"/>
  </r>
  <r>
    <s v="692-92-5582"/>
    <s v="B"/>
    <s v="Mandalay"/>
    <x v="0"/>
    <x v="0"/>
    <x v="4"/>
    <x v="9"/>
    <x v="6"/>
    <n v="8.2260000000000009"/>
    <n v="172.74600000000001"/>
    <d v="2019-02-20T00:00:00"/>
    <d v="1899-12-30T13:27:00"/>
    <s v="Credit card"/>
    <n v="164.52"/>
    <n v="4.7619047620000003"/>
    <x v="9"/>
    <n v="5.9"/>
  </r>
  <r>
    <s v="351-62-0822"/>
    <s v="B"/>
    <s v="Mandalay"/>
    <x v="0"/>
    <x v="0"/>
    <x v="5"/>
    <x v="10"/>
    <x v="7"/>
    <n v="2.8959999999999999"/>
    <n v="60.816000000000003"/>
    <d v="2019-02-06T00:00:00"/>
    <d v="1899-12-30T18:07:00"/>
    <s v="Ewallet"/>
    <n v="57.92"/>
    <n v="4.7619047620000003"/>
    <x v="10"/>
    <n v="4.5"/>
  </r>
  <r>
    <s v="529-56-3974"/>
    <s v="B"/>
    <s v="Mandalay"/>
    <x v="0"/>
    <x v="1"/>
    <x v="1"/>
    <x v="11"/>
    <x v="7"/>
    <n v="5.1020000000000003"/>
    <n v="107.142"/>
    <d v="2019-03-09T00:00:00"/>
    <d v="1899-12-30T17:03:00"/>
    <s v="Cash"/>
    <n v="102.04"/>
    <n v="4.7619047620000003"/>
    <x v="11"/>
    <n v="6.8"/>
  </r>
  <r>
    <s v="365-64-0515"/>
    <s v="A"/>
    <s v="Yangon"/>
    <x v="1"/>
    <x v="0"/>
    <x v="1"/>
    <x v="12"/>
    <x v="1"/>
    <n v="11.737500000000001"/>
    <n v="246.48750000000001"/>
    <d v="2019-02-12T00:00:00"/>
    <d v="1899-12-30T10:25:00"/>
    <s v="Ewallet"/>
    <n v="234.75"/>
    <n v="4.7619047620000003"/>
    <x v="12"/>
    <n v="7.1"/>
  </r>
  <r>
    <s v="252-56-2699"/>
    <s v="A"/>
    <s v="Yangon"/>
    <x v="1"/>
    <x v="1"/>
    <x v="4"/>
    <x v="13"/>
    <x v="4"/>
    <n v="21.594999999999999"/>
    <n v="453.495"/>
    <d v="2019-02-07T00:00:00"/>
    <d v="1899-12-30T16:48:00"/>
    <s v="Ewallet"/>
    <n v="431.9"/>
    <n v="4.7619047620000003"/>
    <x v="13"/>
    <n v="8.1999999999999993"/>
  </r>
  <r>
    <s v="829-34-3910"/>
    <s v="A"/>
    <s v="Yangon"/>
    <x v="1"/>
    <x v="0"/>
    <x v="0"/>
    <x v="14"/>
    <x v="4"/>
    <n v="35.69"/>
    <n v="749.49"/>
    <d v="2019-03-29T00:00:00"/>
    <d v="1899-12-30T19:21:00"/>
    <s v="Cash"/>
    <n v="713.8"/>
    <n v="4.7619047620000003"/>
    <x v="14"/>
    <n v="5.7"/>
  </r>
  <r>
    <s v="299-46-1805"/>
    <s v="B"/>
    <s v="Mandalay"/>
    <x v="0"/>
    <x v="0"/>
    <x v="3"/>
    <x v="15"/>
    <x v="3"/>
    <n v="28.116"/>
    <n v="590.43600000000004"/>
    <d v="2019-01-15T00:00:00"/>
    <d v="1899-12-30T16:19:00"/>
    <s v="Cash"/>
    <n v="562.32000000000005"/>
    <n v="4.7619047620000003"/>
    <x v="15"/>
    <n v="4.5"/>
  </r>
  <r>
    <s v="656-95-9349"/>
    <s v="A"/>
    <s v="Yangon"/>
    <x v="0"/>
    <x v="0"/>
    <x v="0"/>
    <x v="16"/>
    <x v="0"/>
    <n v="24.125499999999999"/>
    <n v="506.63549999999998"/>
    <d v="2019-03-11T00:00:00"/>
    <d v="1899-12-30T11:03:00"/>
    <s v="Credit card"/>
    <n v="482.51"/>
    <n v="4.7619047620000003"/>
    <x v="16"/>
    <n v="4.5999999999999996"/>
  </r>
  <r>
    <s v="765-26-6951"/>
    <s v="A"/>
    <s v="Yangon"/>
    <x v="1"/>
    <x v="1"/>
    <x v="3"/>
    <x v="17"/>
    <x v="3"/>
    <n v="21.783000000000001"/>
    <n v="457.44299999999998"/>
    <d v="2019-01-01T00:00:00"/>
    <d v="1899-12-30T10:39:00"/>
    <s v="Credit card"/>
    <n v="435.66"/>
    <n v="4.7619047620000003"/>
    <x v="17"/>
    <n v="6.9"/>
  </r>
  <r>
    <s v="329-62-1586"/>
    <s v="A"/>
    <s v="Yangon"/>
    <x v="1"/>
    <x v="1"/>
    <x v="4"/>
    <x v="18"/>
    <x v="6"/>
    <n v="8.2004999999999999"/>
    <n v="172.2105"/>
    <d v="2019-01-21T00:00:00"/>
    <d v="1899-12-30T18:00:00"/>
    <s v="Credit card"/>
    <n v="164.01"/>
    <n v="4.7619047620000003"/>
    <x v="18"/>
    <n v="8.6"/>
  </r>
  <r>
    <s v="319-50-3348"/>
    <s v="B"/>
    <s v="Mandalay"/>
    <x v="1"/>
    <x v="0"/>
    <x v="2"/>
    <x v="19"/>
    <x v="5"/>
    <n v="4.03"/>
    <n v="84.63"/>
    <d v="2019-03-11T00:00:00"/>
    <d v="1899-12-30T15:30:00"/>
    <s v="Ewallet"/>
    <n v="80.599999999999994"/>
    <n v="4.7619047620000003"/>
    <x v="19"/>
    <n v="4.4000000000000004"/>
  </r>
  <r>
    <s v="300-71-4605"/>
    <s v="C"/>
    <s v="Naypyidaw"/>
    <x v="0"/>
    <x v="1"/>
    <x v="1"/>
    <x v="20"/>
    <x v="1"/>
    <n v="21.51"/>
    <n v="451.71"/>
    <d v="2019-02-25T00:00:00"/>
    <d v="1899-12-30T11:24:00"/>
    <s v="Ewallet"/>
    <n v="430.2"/>
    <n v="4.7619047620000003"/>
    <x v="20"/>
    <n v="4.8"/>
  </r>
  <r>
    <s v="371-85-5789"/>
    <s v="B"/>
    <s v="Mandalay"/>
    <x v="1"/>
    <x v="1"/>
    <x v="0"/>
    <x v="21"/>
    <x v="6"/>
    <n v="13.196999999999999"/>
    <n v="277.137"/>
    <d v="2019-03-05T00:00:00"/>
    <d v="1899-12-30T10:40:00"/>
    <s v="Ewallet"/>
    <n v="263.94"/>
    <n v="4.7619047620000003"/>
    <x v="21"/>
    <n v="5.0999999999999996"/>
  </r>
  <r>
    <s v="273-16-6619"/>
    <s v="B"/>
    <s v="Mandalay"/>
    <x v="1"/>
    <x v="1"/>
    <x v="2"/>
    <x v="22"/>
    <x v="5"/>
    <n v="3.32"/>
    <n v="69.72"/>
    <d v="2019-03-15T00:00:00"/>
    <d v="1899-12-30T12:20:00"/>
    <s v="Credit card"/>
    <n v="66.400000000000006"/>
    <n v="4.7619047620000003"/>
    <x v="22"/>
    <n v="4.4000000000000004"/>
  </r>
  <r>
    <s v="636-48-8204"/>
    <s v="A"/>
    <s v="Yangon"/>
    <x v="1"/>
    <x v="1"/>
    <x v="1"/>
    <x v="23"/>
    <x v="1"/>
    <n v="8.64"/>
    <n v="181.44"/>
    <d v="2019-02-17T00:00:00"/>
    <d v="1899-12-30T11:15:00"/>
    <s v="Ewallet"/>
    <n v="172.8"/>
    <n v="4.7619047620000003"/>
    <x v="23"/>
    <n v="9.9"/>
  </r>
  <r>
    <s v="549-59-1358"/>
    <s v="A"/>
    <s v="Yangon"/>
    <x v="0"/>
    <x v="1"/>
    <x v="3"/>
    <x v="24"/>
    <x v="6"/>
    <n v="13.294499999999999"/>
    <n v="279.18450000000001"/>
    <d v="2019-03-02T00:00:00"/>
    <d v="1899-12-30T17:36:00"/>
    <s v="Ewallet"/>
    <n v="265.89"/>
    <n v="4.7619047620000003"/>
    <x v="24"/>
    <n v="6"/>
  </r>
  <r>
    <s v="227-03-5010"/>
    <s v="A"/>
    <s v="Yangon"/>
    <x v="0"/>
    <x v="0"/>
    <x v="2"/>
    <x v="25"/>
    <x v="2"/>
    <n v="21.036000000000001"/>
    <n v="441.75599999999997"/>
    <d v="2019-03-22T00:00:00"/>
    <d v="1899-12-30T19:20:00"/>
    <s v="Credit card"/>
    <n v="420.72"/>
    <n v="4.7619047620000003"/>
    <x v="25"/>
    <n v="8.5"/>
  </r>
  <r>
    <s v="649-29-6775"/>
    <s v="B"/>
    <s v="Mandalay"/>
    <x v="1"/>
    <x v="1"/>
    <x v="5"/>
    <x v="26"/>
    <x v="8"/>
    <n v="1.6759999999999999"/>
    <n v="35.195999999999998"/>
    <d v="2019-02-08T00:00:00"/>
    <d v="1899-12-30T15:31:00"/>
    <s v="Cash"/>
    <n v="33.520000000000003"/>
    <n v="4.7619047620000003"/>
    <x v="26"/>
    <n v="6.7"/>
  </r>
  <r>
    <s v="189-17-4241"/>
    <s v="A"/>
    <s v="Yangon"/>
    <x v="1"/>
    <x v="0"/>
    <x v="5"/>
    <x v="27"/>
    <x v="5"/>
    <n v="8.7669999999999995"/>
    <n v="184.107"/>
    <d v="2019-03-10T00:00:00"/>
    <d v="1899-12-30T12:17:00"/>
    <s v="Credit card"/>
    <n v="175.34"/>
    <n v="4.7619047620000003"/>
    <x v="27"/>
    <n v="7.7"/>
  </r>
  <r>
    <s v="145-94-9061"/>
    <s v="B"/>
    <s v="Mandalay"/>
    <x v="1"/>
    <x v="0"/>
    <x v="4"/>
    <x v="28"/>
    <x v="1"/>
    <n v="22.09"/>
    <n v="463.89"/>
    <d v="2019-01-25T00:00:00"/>
    <d v="1899-12-30T19:48:00"/>
    <s v="Cash"/>
    <n v="441.8"/>
    <n v="4.7619047620000003"/>
    <x v="28"/>
    <n v="9.6"/>
  </r>
  <r>
    <s v="848-62-7243"/>
    <s v="A"/>
    <s v="Yangon"/>
    <x v="1"/>
    <x v="1"/>
    <x v="0"/>
    <x v="29"/>
    <x v="9"/>
    <n v="11.2005"/>
    <n v="235.2105"/>
    <d v="2019-03-15T00:00:00"/>
    <d v="1899-12-30T15:36:00"/>
    <s v="Cash"/>
    <n v="224.01"/>
    <n v="4.7619047620000003"/>
    <x v="29"/>
    <n v="7.4"/>
  </r>
  <r>
    <s v="871-79-8483"/>
    <s v="B"/>
    <s v="Mandalay"/>
    <x v="1"/>
    <x v="1"/>
    <x v="5"/>
    <x v="30"/>
    <x v="1"/>
    <n v="23.532499999999999"/>
    <n v="494.1825"/>
    <d v="2019-02-25T00:00:00"/>
    <d v="1899-12-30T19:39:00"/>
    <s v="Credit card"/>
    <n v="470.65"/>
    <n v="4.7619047620000003"/>
    <x v="30"/>
    <n v="4.8"/>
  </r>
  <r>
    <s v="149-71-6266"/>
    <s v="B"/>
    <s v="Mandalay"/>
    <x v="0"/>
    <x v="1"/>
    <x v="3"/>
    <x v="31"/>
    <x v="9"/>
    <n v="35.131500000000003"/>
    <n v="737.76149999999996"/>
    <d v="2019-01-28T00:00:00"/>
    <d v="1899-12-30T12:43:00"/>
    <s v="Cash"/>
    <n v="702.63"/>
    <n v="4.7619047620000003"/>
    <x v="31"/>
    <n v="4.5"/>
  </r>
  <r>
    <s v="640-49-2076"/>
    <s v="B"/>
    <s v="Mandalay"/>
    <x v="1"/>
    <x v="1"/>
    <x v="3"/>
    <x v="32"/>
    <x v="2"/>
    <n v="33.512"/>
    <n v="703.75199999999995"/>
    <d v="2019-01-10T00:00:00"/>
    <d v="1899-12-30T14:49:00"/>
    <s v="Cash"/>
    <n v="670.24"/>
    <n v="4.7619047620000003"/>
    <x v="32"/>
    <n v="5.0999999999999996"/>
  </r>
  <r>
    <s v="595-11-5460"/>
    <s v="A"/>
    <s v="Yangon"/>
    <x v="1"/>
    <x v="1"/>
    <x v="0"/>
    <x v="33"/>
    <x v="5"/>
    <n v="9.6579999999999995"/>
    <n v="202.81800000000001"/>
    <d v="2019-03-15T00:00:00"/>
    <d v="1899-12-30T10:12:00"/>
    <s v="Credit card"/>
    <n v="193.16"/>
    <n v="4.7619047620000003"/>
    <x v="33"/>
    <n v="5.0999999999999996"/>
  </r>
  <r>
    <s v="183-56-6882"/>
    <s v="C"/>
    <s v="Naypyidaw"/>
    <x v="0"/>
    <x v="0"/>
    <x v="4"/>
    <x v="34"/>
    <x v="7"/>
    <n v="19.884"/>
    <n v="417.56400000000002"/>
    <d v="2019-02-06T00:00:00"/>
    <d v="1899-12-30T10:42:00"/>
    <s v="Ewallet"/>
    <n v="397.68"/>
    <n v="4.7619047620000003"/>
    <x v="34"/>
    <n v="7.5"/>
  </r>
  <r>
    <s v="232-16-2483"/>
    <s v="C"/>
    <s v="Naypyidaw"/>
    <x v="0"/>
    <x v="0"/>
    <x v="3"/>
    <x v="35"/>
    <x v="8"/>
    <n v="3.4060000000000001"/>
    <n v="71.525999999999996"/>
    <d v="2019-01-07T00:00:00"/>
    <d v="1899-12-30T12:28:00"/>
    <s v="Ewallet"/>
    <n v="68.12"/>
    <n v="4.7619047620000003"/>
    <x v="35"/>
    <n v="6.8"/>
  </r>
  <r>
    <s v="129-29-8530"/>
    <s v="A"/>
    <s v="Yangon"/>
    <x v="0"/>
    <x v="1"/>
    <x v="3"/>
    <x v="36"/>
    <x v="1"/>
    <n v="15.654999999999999"/>
    <n v="328.755"/>
    <d v="2019-03-10T00:00:00"/>
    <d v="1899-12-30T19:15:00"/>
    <s v="Ewallet"/>
    <n v="313.10000000000002"/>
    <n v="4.7619047620000003"/>
    <x v="36"/>
    <n v="7"/>
  </r>
  <r>
    <s v="272-65-1806"/>
    <s v="A"/>
    <s v="Yangon"/>
    <x v="1"/>
    <x v="0"/>
    <x v="1"/>
    <x v="37"/>
    <x v="9"/>
    <n v="27.396000000000001"/>
    <n v="575.31600000000003"/>
    <d v="2019-01-15T00:00:00"/>
    <d v="1899-12-30T17:17:00"/>
    <s v="Ewallet"/>
    <n v="547.91999999999996"/>
    <n v="4.7619047620000003"/>
    <x v="37"/>
    <n v="4.7"/>
  </r>
  <r>
    <s v="333-73-7901"/>
    <s v="C"/>
    <s v="Naypyidaw"/>
    <x v="1"/>
    <x v="0"/>
    <x v="0"/>
    <x v="38"/>
    <x v="2"/>
    <n v="21.968"/>
    <n v="461.32799999999997"/>
    <d v="2019-03-23T00:00:00"/>
    <d v="1899-12-30T13:24:00"/>
    <s v="Ewallet"/>
    <n v="439.36"/>
    <n v="4.7619047620000003"/>
    <x v="38"/>
    <n v="7.6"/>
  </r>
  <r>
    <s v="777-82-7220"/>
    <s v="B"/>
    <s v="Mandalay"/>
    <x v="0"/>
    <x v="1"/>
    <x v="2"/>
    <x v="39"/>
    <x v="2"/>
    <n v="12.048"/>
    <n v="253.00800000000001"/>
    <d v="2019-03-03T00:00:00"/>
    <d v="1899-12-30T13:01:00"/>
    <s v="Cash"/>
    <n v="240.96"/>
    <n v="4.7619047620000003"/>
    <x v="39"/>
    <n v="7.7"/>
  </r>
  <r>
    <s v="280-35-5823"/>
    <s v="B"/>
    <s v="Mandalay"/>
    <x v="0"/>
    <x v="0"/>
    <x v="2"/>
    <x v="40"/>
    <x v="8"/>
    <n v="4.3360000000000003"/>
    <n v="91.055999999999997"/>
    <d v="2019-01-17T00:00:00"/>
    <d v="1899-12-30T18:45:00"/>
    <s v="Ewallet"/>
    <n v="86.72"/>
    <n v="4.7619047620000003"/>
    <x v="40"/>
    <n v="7.9"/>
  </r>
  <r>
    <s v="554-53-8700"/>
    <s v="C"/>
    <s v="Naypyidaw"/>
    <x v="0"/>
    <x v="1"/>
    <x v="2"/>
    <x v="41"/>
    <x v="5"/>
    <n v="5.6109999999999998"/>
    <n v="117.831"/>
    <d v="2019-02-02T00:00:00"/>
    <d v="1899-12-30T10:11:00"/>
    <s v="Cash"/>
    <n v="112.22"/>
    <n v="4.7619047620000003"/>
    <x v="41"/>
    <n v="6.3"/>
  </r>
  <r>
    <s v="354-25-5821"/>
    <s v="B"/>
    <s v="Mandalay"/>
    <x v="0"/>
    <x v="0"/>
    <x v="3"/>
    <x v="42"/>
    <x v="3"/>
    <n v="20.736000000000001"/>
    <n v="435.45600000000002"/>
    <d v="2019-02-08T00:00:00"/>
    <d v="1899-12-30T13:03:00"/>
    <s v="Cash"/>
    <n v="414.72"/>
    <n v="4.7619047620000003"/>
    <x v="42"/>
    <n v="5.6"/>
  </r>
  <r>
    <s v="228-96-1411"/>
    <s v="C"/>
    <s v="Naypyidaw"/>
    <x v="0"/>
    <x v="0"/>
    <x v="4"/>
    <x v="43"/>
    <x v="2"/>
    <n v="39.479999999999997"/>
    <n v="829.08"/>
    <d v="2019-03-04T00:00:00"/>
    <d v="1899-12-30T20:39:00"/>
    <s v="Cash"/>
    <n v="789.6"/>
    <n v="4.7619047620000003"/>
    <x v="43"/>
    <n v="7.6"/>
  </r>
  <r>
    <s v="617-15-4209"/>
    <s v="C"/>
    <s v="Naypyidaw"/>
    <x v="0"/>
    <x v="1"/>
    <x v="0"/>
    <x v="44"/>
    <x v="5"/>
    <n v="1.5369999999999999"/>
    <n v="32.277000000000001"/>
    <d v="2019-03-16T00:00:00"/>
    <d v="1899-12-30T19:47:00"/>
    <s v="Cash"/>
    <n v="30.74"/>
    <n v="4.7619047620000003"/>
    <x v="44"/>
    <n v="7.2"/>
  </r>
  <r>
    <s v="132-32-9879"/>
    <s v="B"/>
    <s v="Mandalay"/>
    <x v="0"/>
    <x v="0"/>
    <x v="1"/>
    <x v="45"/>
    <x v="7"/>
    <n v="18.792000000000002"/>
    <n v="394.63200000000001"/>
    <d v="2019-03-09T00:00:00"/>
    <d v="1899-12-30T18:00:00"/>
    <s v="Cash"/>
    <n v="375.84"/>
    <n v="4.7619047620000003"/>
    <x v="45"/>
    <n v="9.5"/>
  </r>
  <r>
    <s v="370-41-7321"/>
    <s v="B"/>
    <s v="Mandalay"/>
    <x v="0"/>
    <x v="1"/>
    <x v="0"/>
    <x v="46"/>
    <x v="9"/>
    <n v="25.5105"/>
    <n v="535.72050000000002"/>
    <d v="2019-02-27T00:00:00"/>
    <d v="1899-12-30T17:24:00"/>
    <s v="Credit card"/>
    <n v="510.21"/>
    <n v="4.7619047620000003"/>
    <x v="46"/>
    <n v="8.4"/>
  </r>
  <r>
    <s v="727-46-3608"/>
    <s v="B"/>
    <s v="Mandalay"/>
    <x v="0"/>
    <x v="0"/>
    <x v="4"/>
    <x v="47"/>
    <x v="9"/>
    <n v="9.0045000000000002"/>
    <n v="189.09450000000001"/>
    <d v="2019-02-06T00:00:00"/>
    <d v="1899-12-30T15:47:00"/>
    <s v="Ewallet"/>
    <n v="180.09"/>
    <n v="4.7619047620000003"/>
    <x v="47"/>
    <n v="4.0999999999999996"/>
  </r>
  <r>
    <s v="669-54-1719"/>
    <s v="B"/>
    <s v="Mandalay"/>
    <x v="0"/>
    <x v="1"/>
    <x v="1"/>
    <x v="48"/>
    <x v="3"/>
    <n v="5.6790000000000003"/>
    <n v="119.259"/>
    <d v="2019-02-10T00:00:00"/>
    <d v="1899-12-30T12:45:00"/>
    <s v="Credit card"/>
    <n v="113.58"/>
    <n v="4.7619047620000003"/>
    <x v="48"/>
    <n v="8.1"/>
  </r>
  <r>
    <s v="574-22-5561"/>
    <s v="C"/>
    <s v="Naypyidaw"/>
    <x v="0"/>
    <x v="0"/>
    <x v="5"/>
    <x v="49"/>
    <x v="4"/>
    <n v="41.314999999999998"/>
    <n v="867.61500000000001"/>
    <d v="2019-03-19T00:00:00"/>
    <d v="1899-12-30T17:08:00"/>
    <s v="Ewallet"/>
    <n v="826.3"/>
    <n v="4.7619047620000003"/>
    <x v="49"/>
    <n v="7.9"/>
  </r>
  <r>
    <s v="326-78-5178"/>
    <s v="C"/>
    <s v="Naypyidaw"/>
    <x v="0"/>
    <x v="1"/>
    <x v="4"/>
    <x v="50"/>
    <x v="0"/>
    <n v="31.99"/>
    <n v="671.79"/>
    <d v="2019-02-03T00:00:00"/>
    <d v="1899-12-30T10:19:00"/>
    <s v="Cash"/>
    <n v="639.79999999999995"/>
    <n v="4.7619047620000003"/>
    <x v="50"/>
    <n v="9.5"/>
  </r>
  <r>
    <s v="162-48-8011"/>
    <s v="A"/>
    <s v="Yangon"/>
    <x v="0"/>
    <x v="0"/>
    <x v="4"/>
    <x v="51"/>
    <x v="1"/>
    <n v="11.147500000000001"/>
    <n v="234.0975"/>
    <d v="2019-02-10T00:00:00"/>
    <d v="1899-12-30T15:10:00"/>
    <s v="Cash"/>
    <n v="222.95"/>
    <n v="4.7619047620000003"/>
    <x v="51"/>
    <n v="8.5"/>
  </r>
  <r>
    <s v="616-24-2851"/>
    <s v="B"/>
    <s v="Mandalay"/>
    <x v="0"/>
    <x v="0"/>
    <x v="5"/>
    <x v="52"/>
    <x v="7"/>
    <n v="3.5739999999999998"/>
    <n v="75.054000000000002"/>
    <d v="2019-03-22T00:00:00"/>
    <d v="1899-12-30T14:42:00"/>
    <s v="Ewallet"/>
    <n v="71.48"/>
    <n v="4.7619047620000003"/>
    <x v="52"/>
    <n v="6.5"/>
  </r>
  <r>
    <s v="778-71-5554"/>
    <s v="C"/>
    <s v="Naypyidaw"/>
    <x v="0"/>
    <x v="1"/>
    <x v="5"/>
    <x v="53"/>
    <x v="8"/>
    <n v="0.77149999999999996"/>
    <n v="16.201499999999999"/>
    <d v="2019-01-25T00:00:00"/>
    <d v="1899-12-30T15:46:00"/>
    <s v="Credit card"/>
    <n v="15.43"/>
    <n v="4.7619047620000003"/>
    <x v="53"/>
    <n v="6.1"/>
  </r>
  <r>
    <s v="242-55-6721"/>
    <s v="B"/>
    <s v="Mandalay"/>
    <x v="1"/>
    <x v="1"/>
    <x v="2"/>
    <x v="54"/>
    <x v="5"/>
    <n v="1.6160000000000001"/>
    <n v="33.936"/>
    <d v="2019-03-07T00:00:00"/>
    <d v="1899-12-30T11:49:00"/>
    <s v="Ewallet"/>
    <n v="32.32"/>
    <n v="4.7619047620000003"/>
    <x v="54"/>
    <n v="6.5"/>
  </r>
  <r>
    <s v="399-46-5918"/>
    <s v="C"/>
    <s v="Naypyidaw"/>
    <x v="1"/>
    <x v="0"/>
    <x v="1"/>
    <x v="55"/>
    <x v="2"/>
    <n v="34.392000000000003"/>
    <n v="722.23199999999997"/>
    <d v="2019-02-28T00:00:00"/>
    <d v="1899-12-30T19:01:00"/>
    <s v="Cash"/>
    <n v="687.84"/>
    <n v="4.7619047620000003"/>
    <x v="55"/>
    <n v="8.1999999999999993"/>
  </r>
  <r>
    <s v="106-35-6779"/>
    <s v="A"/>
    <s v="Yangon"/>
    <x v="0"/>
    <x v="1"/>
    <x v="2"/>
    <x v="56"/>
    <x v="5"/>
    <n v="4.4340000000000002"/>
    <n v="93.114000000000004"/>
    <d v="2019-03-27T00:00:00"/>
    <d v="1899-12-30T11:26:00"/>
    <s v="Cash"/>
    <n v="88.68"/>
    <n v="4.7619047620000003"/>
    <x v="56"/>
    <n v="5.8"/>
  </r>
  <r>
    <s v="635-40-6220"/>
    <s v="A"/>
    <s v="Yangon"/>
    <x v="1"/>
    <x v="1"/>
    <x v="0"/>
    <x v="57"/>
    <x v="2"/>
    <n v="35.840000000000003"/>
    <n v="752.64"/>
    <d v="2019-02-07T00:00:00"/>
    <d v="1899-12-30T11:28:00"/>
    <s v="Ewallet"/>
    <n v="716.8"/>
    <n v="4.7619047620000003"/>
    <x v="57"/>
    <n v="6.6"/>
  </r>
  <r>
    <s v="817-48-8732"/>
    <s v="A"/>
    <s v="Yangon"/>
    <x v="0"/>
    <x v="0"/>
    <x v="2"/>
    <x v="58"/>
    <x v="4"/>
    <n v="36.174999999999997"/>
    <n v="759.67499999999995"/>
    <d v="2019-01-20T00:00:00"/>
    <d v="1899-12-30T15:55:00"/>
    <s v="Cash"/>
    <n v="723.5"/>
    <n v="4.7619047620000003"/>
    <x v="58"/>
    <n v="5.4"/>
  </r>
  <r>
    <s v="120-06-4233"/>
    <s v="C"/>
    <s v="Naypyidaw"/>
    <x v="1"/>
    <x v="1"/>
    <x v="1"/>
    <x v="59"/>
    <x v="3"/>
    <n v="9.1829999999999998"/>
    <n v="192.84299999999999"/>
    <d v="2019-03-12T00:00:00"/>
    <d v="1899-12-30T20:36:00"/>
    <s v="Cash"/>
    <n v="183.66"/>
    <n v="4.7619047620000003"/>
    <x v="59"/>
    <n v="9.3000000000000007"/>
  </r>
  <r>
    <s v="285-68-5083"/>
    <s v="C"/>
    <s v="Naypyidaw"/>
    <x v="0"/>
    <x v="0"/>
    <x v="3"/>
    <x v="60"/>
    <x v="6"/>
    <n v="3.7109999999999999"/>
    <n v="77.930999999999997"/>
    <d v="2019-02-15T00:00:00"/>
    <d v="1899-12-30T17:47:00"/>
    <s v="Credit card"/>
    <n v="74.22"/>
    <n v="4.7619047620000003"/>
    <x v="60"/>
    <n v="10"/>
  </r>
  <r>
    <s v="803-83-5989"/>
    <s v="C"/>
    <s v="Naypyidaw"/>
    <x v="1"/>
    <x v="1"/>
    <x v="2"/>
    <x v="61"/>
    <x v="3"/>
    <n v="16.719000000000001"/>
    <n v="351.09899999999999"/>
    <d v="2019-02-24T00:00:00"/>
    <d v="1899-12-30T10:55:00"/>
    <s v="Ewallet"/>
    <n v="334.38"/>
    <n v="4.7619047620000003"/>
    <x v="61"/>
    <n v="7"/>
  </r>
  <r>
    <s v="347-34-2234"/>
    <s v="B"/>
    <s v="Mandalay"/>
    <x v="0"/>
    <x v="0"/>
    <x v="3"/>
    <x v="62"/>
    <x v="9"/>
    <n v="24.781500000000001"/>
    <n v="520.41150000000005"/>
    <d v="2019-02-03T00:00:00"/>
    <d v="1899-12-30T13:40:00"/>
    <s v="Ewallet"/>
    <n v="495.63"/>
    <n v="4.7619047620000003"/>
    <x v="62"/>
    <n v="10"/>
  </r>
  <r>
    <s v="199-75-8169"/>
    <s v="A"/>
    <s v="Yangon"/>
    <x v="0"/>
    <x v="1"/>
    <x v="3"/>
    <x v="63"/>
    <x v="4"/>
    <n v="7.9050000000000002"/>
    <n v="166.005"/>
    <d v="2019-03-06T00:00:00"/>
    <d v="1899-12-30T12:27:00"/>
    <s v="Credit card"/>
    <n v="158.1"/>
    <n v="4.7619047620000003"/>
    <x v="63"/>
    <n v="8.6"/>
  </r>
  <r>
    <s v="853-23-2453"/>
    <s v="B"/>
    <s v="Mandalay"/>
    <x v="0"/>
    <x v="1"/>
    <x v="0"/>
    <x v="64"/>
    <x v="7"/>
    <n v="15.148"/>
    <n v="318.108"/>
    <d v="2019-02-14T00:00:00"/>
    <d v="1899-12-30T14:35:00"/>
    <s v="Cash"/>
    <n v="302.95999999999998"/>
    <n v="4.7619047620000003"/>
    <x v="64"/>
    <n v="7.6"/>
  </r>
  <r>
    <s v="877-22-3308"/>
    <s v="A"/>
    <s v="Yangon"/>
    <x v="0"/>
    <x v="1"/>
    <x v="0"/>
    <x v="65"/>
    <x v="4"/>
    <n v="7.9349999999999996"/>
    <n v="166.63499999999999"/>
    <d v="2019-03-13T00:00:00"/>
    <d v="1899-12-30T16:40:00"/>
    <s v="Cash"/>
    <n v="158.69999999999999"/>
    <n v="4.7619047620000003"/>
    <x v="65"/>
    <n v="5.8"/>
  </r>
  <r>
    <s v="838-78-4295"/>
    <s v="C"/>
    <s v="Naypyidaw"/>
    <x v="1"/>
    <x v="0"/>
    <x v="0"/>
    <x v="66"/>
    <x v="5"/>
    <n v="3.347"/>
    <n v="70.287000000000006"/>
    <d v="2019-02-10T00:00:00"/>
    <d v="1899-12-30T15:43:00"/>
    <s v="Ewallet"/>
    <n v="66.94"/>
    <n v="4.7619047620000003"/>
    <x v="66"/>
    <n v="6.7"/>
  </r>
  <r>
    <s v="109-28-2512"/>
    <s v="B"/>
    <s v="Mandalay"/>
    <x v="0"/>
    <x v="0"/>
    <x v="5"/>
    <x v="67"/>
    <x v="3"/>
    <n v="29.283000000000001"/>
    <n v="614.94299999999998"/>
    <d v="2019-01-07T00:00:00"/>
    <d v="1899-12-30T15:01:00"/>
    <s v="Ewallet"/>
    <n v="585.66"/>
    <n v="4.7619047620000003"/>
    <x v="67"/>
    <n v="9.9"/>
  </r>
  <r>
    <s v="232-11-3025"/>
    <s v="A"/>
    <s v="Yangon"/>
    <x v="1"/>
    <x v="1"/>
    <x v="3"/>
    <x v="68"/>
    <x v="4"/>
    <n v="39.384999999999998"/>
    <n v="827.08500000000004"/>
    <d v="2019-01-24T00:00:00"/>
    <d v="1899-12-30T10:04:00"/>
    <s v="Cash"/>
    <n v="787.7"/>
    <n v="4.7619047620000003"/>
    <x v="68"/>
    <n v="6.4"/>
  </r>
  <r>
    <s v="382-03-4532"/>
    <s v="A"/>
    <s v="Yangon"/>
    <x v="0"/>
    <x v="0"/>
    <x v="0"/>
    <x v="69"/>
    <x v="8"/>
    <n v="0.91649999999999998"/>
    <n v="19.246500000000001"/>
    <d v="2019-02-02T00:00:00"/>
    <d v="1899-12-30T18:50:00"/>
    <s v="Cash"/>
    <n v="18.329999999999998"/>
    <n v="4.7619047620000003"/>
    <x v="69"/>
    <n v="4.3"/>
  </r>
  <r>
    <s v="393-65-2792"/>
    <s v="C"/>
    <s v="Naypyidaw"/>
    <x v="1"/>
    <x v="1"/>
    <x v="4"/>
    <x v="70"/>
    <x v="4"/>
    <n v="44.74"/>
    <n v="939.54"/>
    <d v="2019-01-06T00:00:00"/>
    <d v="1899-12-30T12:46:00"/>
    <s v="Credit card"/>
    <n v="894.8"/>
    <n v="4.7619047620000003"/>
    <x v="70"/>
    <n v="9.6"/>
  </r>
  <r>
    <s v="796-12-2025"/>
    <s v="C"/>
    <s v="Naypyidaw"/>
    <x v="1"/>
    <x v="1"/>
    <x v="5"/>
    <x v="71"/>
    <x v="4"/>
    <n v="31.06"/>
    <n v="652.26"/>
    <d v="2019-02-11T00:00:00"/>
    <d v="1899-12-30T16:19:00"/>
    <s v="Cash"/>
    <n v="621.20000000000005"/>
    <n v="4.7619047620000003"/>
    <x v="71"/>
    <n v="5.9"/>
  </r>
  <r>
    <s v="510-95-6347"/>
    <s v="B"/>
    <s v="Mandalay"/>
    <x v="0"/>
    <x v="0"/>
    <x v="4"/>
    <x v="72"/>
    <x v="6"/>
    <n v="7.2779999999999996"/>
    <n v="152.83799999999999"/>
    <d v="2019-03-05T00:00:00"/>
    <d v="1899-12-30T18:17:00"/>
    <s v="Ewallet"/>
    <n v="145.56"/>
    <n v="4.7619047620000003"/>
    <x v="72"/>
    <n v="4"/>
  </r>
  <r>
    <s v="841-35-6630"/>
    <s v="C"/>
    <s v="Naypyidaw"/>
    <x v="1"/>
    <x v="0"/>
    <x v="1"/>
    <x v="73"/>
    <x v="3"/>
    <n v="22.773"/>
    <n v="478.233"/>
    <d v="2019-03-09T00:00:00"/>
    <d v="1899-12-30T18:21:00"/>
    <s v="Cash"/>
    <n v="455.46"/>
    <n v="4.7619047620000003"/>
    <x v="73"/>
    <n v="8.6999999999999993"/>
  </r>
  <r>
    <s v="287-21-9091"/>
    <s v="A"/>
    <s v="Yangon"/>
    <x v="1"/>
    <x v="1"/>
    <x v="2"/>
    <x v="74"/>
    <x v="9"/>
    <n v="33.601500000000001"/>
    <n v="705.63149999999996"/>
    <d v="2019-01-22T00:00:00"/>
    <d v="1899-12-30T10:55:00"/>
    <s v="Ewallet"/>
    <n v="672.03"/>
    <n v="4.7619047620000003"/>
    <x v="74"/>
    <n v="9.4"/>
  </r>
  <r>
    <s v="732-94-0499"/>
    <s v="C"/>
    <s v="Naypyidaw"/>
    <x v="1"/>
    <x v="0"/>
    <x v="1"/>
    <x v="75"/>
    <x v="4"/>
    <n v="20.824999999999999"/>
    <n v="437.32499999999999"/>
    <d v="2019-01-13T00:00:00"/>
    <d v="1899-12-30T17:04:00"/>
    <s v="Credit card"/>
    <n v="416.5"/>
    <n v="4.7619047620000003"/>
    <x v="75"/>
    <n v="5.4"/>
  </r>
  <r>
    <s v="263-10-3913"/>
    <s v="C"/>
    <s v="Naypyidaw"/>
    <x v="0"/>
    <x v="1"/>
    <x v="5"/>
    <x v="76"/>
    <x v="9"/>
    <n v="22.068000000000001"/>
    <n v="463.428"/>
    <d v="2019-01-09T00:00:00"/>
    <d v="1899-12-30T14:20:00"/>
    <s v="Credit card"/>
    <n v="441.36"/>
    <n v="4.7619047620000003"/>
    <x v="76"/>
    <n v="8.6"/>
  </r>
  <r>
    <s v="381-20-0914"/>
    <s v="A"/>
    <s v="Yangon"/>
    <x v="0"/>
    <x v="0"/>
    <x v="5"/>
    <x v="47"/>
    <x v="9"/>
    <n v="9.0045000000000002"/>
    <n v="189.09450000000001"/>
    <d v="2019-01-12T00:00:00"/>
    <d v="1899-12-30T15:48:00"/>
    <s v="Credit card"/>
    <n v="180.09"/>
    <n v="4.7619047620000003"/>
    <x v="47"/>
    <n v="5.7"/>
  </r>
  <r>
    <s v="829-49-1914"/>
    <s v="C"/>
    <s v="Naypyidaw"/>
    <x v="0"/>
    <x v="0"/>
    <x v="4"/>
    <x v="77"/>
    <x v="4"/>
    <n v="39.155000000000001"/>
    <n v="822.255"/>
    <d v="2019-03-05T00:00:00"/>
    <d v="1899-12-30T16:24:00"/>
    <s v="Ewallet"/>
    <n v="783.1"/>
    <n v="4.7619047620000003"/>
    <x v="77"/>
    <n v="6.6"/>
  </r>
  <r>
    <s v="756-01-7507"/>
    <s v="C"/>
    <s v="Naypyidaw"/>
    <x v="1"/>
    <x v="0"/>
    <x v="0"/>
    <x v="78"/>
    <x v="1"/>
    <n v="5.0949999999999998"/>
    <n v="106.995"/>
    <d v="2019-01-22T00:00:00"/>
    <d v="1899-12-30T18:56:00"/>
    <s v="Cash"/>
    <n v="101.9"/>
    <n v="4.7619047620000003"/>
    <x v="78"/>
    <n v="6"/>
  </r>
  <r>
    <s v="870-72-4431"/>
    <s v="C"/>
    <s v="Naypyidaw"/>
    <x v="1"/>
    <x v="0"/>
    <x v="0"/>
    <x v="79"/>
    <x v="3"/>
    <n v="29.757000000000001"/>
    <n v="624.89700000000005"/>
    <d v="2019-01-21T00:00:00"/>
    <d v="1899-12-30T14:42:00"/>
    <s v="Credit card"/>
    <n v="595.14"/>
    <n v="4.7619047620000003"/>
    <x v="79"/>
    <n v="5.5"/>
  </r>
  <r>
    <s v="847-38-7188"/>
    <s v="B"/>
    <s v="Mandalay"/>
    <x v="1"/>
    <x v="0"/>
    <x v="4"/>
    <x v="80"/>
    <x v="6"/>
    <n v="14.502000000000001"/>
    <n v="304.54199999999997"/>
    <d v="2019-01-26T00:00:00"/>
    <d v="1899-12-30T19:56:00"/>
    <s v="Ewallet"/>
    <n v="290.04000000000002"/>
    <n v="4.7619047620000003"/>
    <x v="80"/>
    <n v="6.4"/>
  </r>
  <r>
    <s v="480-63-2856"/>
    <s v="C"/>
    <s v="Naypyidaw"/>
    <x v="1"/>
    <x v="1"/>
    <x v="4"/>
    <x v="81"/>
    <x v="2"/>
    <n v="7.7"/>
    <n v="161.69999999999999"/>
    <d v="2019-01-23T00:00:00"/>
    <d v="1899-12-30T18:37:00"/>
    <s v="Ewallet"/>
    <n v="154"/>
    <n v="4.7619047620000003"/>
    <x v="81"/>
    <n v="6.6"/>
  </r>
  <r>
    <s v="787-56-0757"/>
    <s v="C"/>
    <s v="Naypyidaw"/>
    <x v="0"/>
    <x v="0"/>
    <x v="4"/>
    <x v="82"/>
    <x v="7"/>
    <n v="16.071999999999999"/>
    <n v="337.512"/>
    <d v="2019-02-23T00:00:00"/>
    <d v="1899-12-30T18:45:00"/>
    <s v="Credit card"/>
    <n v="321.44"/>
    <n v="4.7619047620000003"/>
    <x v="82"/>
    <n v="8.3000000000000007"/>
  </r>
  <r>
    <s v="360-39-5055"/>
    <s v="C"/>
    <s v="Naypyidaw"/>
    <x v="0"/>
    <x v="1"/>
    <x v="3"/>
    <x v="83"/>
    <x v="1"/>
    <n v="12.227499999999999"/>
    <n v="256.77749999999997"/>
    <d v="2019-03-09T00:00:00"/>
    <d v="1899-12-30T10:17:00"/>
    <s v="Cash"/>
    <n v="244.55"/>
    <n v="4.7619047620000003"/>
    <x v="83"/>
    <n v="6.6"/>
  </r>
  <r>
    <s v="730-50-9884"/>
    <s v="C"/>
    <s v="Naypyidaw"/>
    <x v="1"/>
    <x v="0"/>
    <x v="3"/>
    <x v="84"/>
    <x v="0"/>
    <n v="29.071000000000002"/>
    <n v="610.49099999999999"/>
    <d v="2019-03-05T00:00:00"/>
    <d v="1899-12-30T14:31:00"/>
    <s v="Ewallet"/>
    <n v="581.41999999999996"/>
    <n v="4.7619047620000003"/>
    <x v="84"/>
    <n v="4"/>
  </r>
  <r>
    <s v="362-58-8315"/>
    <s v="C"/>
    <s v="Naypyidaw"/>
    <x v="1"/>
    <x v="1"/>
    <x v="5"/>
    <x v="85"/>
    <x v="1"/>
    <n v="19.13"/>
    <n v="401.73"/>
    <d v="2019-03-25T00:00:00"/>
    <d v="1899-12-30T10:23:00"/>
    <s v="Cash"/>
    <n v="382.6"/>
    <n v="4.7619047620000003"/>
    <x v="85"/>
    <n v="9.9"/>
  </r>
  <r>
    <s v="633-44-8566"/>
    <s v="A"/>
    <s v="Yangon"/>
    <x v="0"/>
    <x v="1"/>
    <x v="4"/>
    <x v="86"/>
    <x v="0"/>
    <n v="17.283000000000001"/>
    <n v="362.94299999999998"/>
    <d v="2019-03-27T00:00:00"/>
    <d v="1899-12-30T20:35:00"/>
    <s v="Credit card"/>
    <n v="345.66"/>
    <n v="4.7619047620000003"/>
    <x v="86"/>
    <n v="7.3"/>
  </r>
  <r>
    <s v="504-35-8843"/>
    <s v="A"/>
    <s v="Yangon"/>
    <x v="1"/>
    <x v="1"/>
    <x v="3"/>
    <x v="87"/>
    <x v="8"/>
    <n v="2.1234999999999999"/>
    <n v="44.593499999999999"/>
    <d v="2019-01-02T00:00:00"/>
    <d v="1899-12-30T16:57:00"/>
    <s v="Cash"/>
    <n v="42.47"/>
    <n v="4.7619047620000003"/>
    <x v="87"/>
    <n v="5.7"/>
  </r>
  <r>
    <s v="318-68-5053"/>
    <s v="B"/>
    <s v="Mandalay"/>
    <x v="1"/>
    <x v="0"/>
    <x v="0"/>
    <x v="88"/>
    <x v="3"/>
    <n v="23.097000000000001"/>
    <n v="485.03699999999998"/>
    <d v="2019-02-27T00:00:00"/>
    <d v="1899-12-30T17:55:00"/>
    <s v="Cash"/>
    <n v="461.94"/>
    <n v="4.7619047620000003"/>
    <x v="88"/>
    <n v="6.1"/>
  </r>
  <r>
    <s v="565-80-5980"/>
    <s v="C"/>
    <s v="Naypyidaw"/>
    <x v="0"/>
    <x v="0"/>
    <x v="2"/>
    <x v="89"/>
    <x v="7"/>
    <n v="9.4760000000000009"/>
    <n v="198.99600000000001"/>
    <d v="2019-01-23T00:00:00"/>
    <d v="1899-12-30T10:25:00"/>
    <s v="Cash"/>
    <n v="189.52"/>
    <n v="4.7619047620000003"/>
    <x v="89"/>
    <n v="7.1"/>
  </r>
  <r>
    <s v="225-32-0908"/>
    <s v="C"/>
    <s v="Naypyidaw"/>
    <x v="1"/>
    <x v="0"/>
    <x v="3"/>
    <x v="90"/>
    <x v="4"/>
    <n v="22.43"/>
    <n v="471.03"/>
    <d v="2019-01-26T00:00:00"/>
    <d v="1899-12-30T19:54:00"/>
    <s v="Ewallet"/>
    <n v="448.6"/>
    <n v="4.7619047620000003"/>
    <x v="90"/>
    <n v="8.1999999999999993"/>
  </r>
  <r>
    <s v="873-51-0671"/>
    <s v="A"/>
    <s v="Yangon"/>
    <x v="0"/>
    <x v="0"/>
    <x v="3"/>
    <x v="91"/>
    <x v="0"/>
    <n v="7.6929999999999996"/>
    <n v="161.553"/>
    <d v="2019-01-10T00:00:00"/>
    <d v="1899-12-30T16:42:00"/>
    <s v="Ewallet"/>
    <n v="153.86000000000001"/>
    <n v="4.7619047620000003"/>
    <x v="91"/>
    <n v="5.0999999999999996"/>
  </r>
  <r>
    <s v="152-08-9985"/>
    <s v="B"/>
    <s v="Mandalay"/>
    <x v="0"/>
    <x v="1"/>
    <x v="0"/>
    <x v="92"/>
    <x v="9"/>
    <n v="28.962"/>
    <n v="608.202"/>
    <d v="2019-03-12T00:00:00"/>
    <d v="1899-12-30T12:09:00"/>
    <s v="Credit card"/>
    <n v="579.24"/>
    <n v="4.7619047620000003"/>
    <x v="92"/>
    <n v="8.6"/>
  </r>
  <r>
    <s v="512-91-0811"/>
    <s v="C"/>
    <s v="Naypyidaw"/>
    <x v="1"/>
    <x v="1"/>
    <x v="0"/>
    <x v="93"/>
    <x v="8"/>
    <n v="4.4874999999999998"/>
    <n v="94.237499999999997"/>
    <d v="2019-02-06T00:00:00"/>
    <d v="1899-12-30T20:05:00"/>
    <s v="Credit card"/>
    <n v="89.75"/>
    <n v="4.7619047620000003"/>
    <x v="93"/>
    <n v="6.6"/>
  </r>
  <r>
    <s v="594-34-4444"/>
    <s v="A"/>
    <s v="Yangon"/>
    <x v="1"/>
    <x v="1"/>
    <x v="1"/>
    <x v="94"/>
    <x v="8"/>
    <n v="4.8579999999999997"/>
    <n v="102.018"/>
    <d v="2019-03-08T00:00:00"/>
    <d v="1899-12-30T20:38:00"/>
    <s v="Ewallet"/>
    <n v="97.16"/>
    <n v="4.7619047620000003"/>
    <x v="94"/>
    <n v="7.2"/>
  </r>
  <r>
    <s v="766-85-7061"/>
    <s v="B"/>
    <s v="Mandalay"/>
    <x v="1"/>
    <x v="1"/>
    <x v="0"/>
    <x v="95"/>
    <x v="4"/>
    <n v="43.935000000000002"/>
    <n v="922.63499999999999"/>
    <d v="2019-03-29T00:00:00"/>
    <d v="1899-12-30T10:25:00"/>
    <s v="Ewallet"/>
    <n v="878.7"/>
    <n v="4.7619047620000003"/>
    <x v="95"/>
    <n v="5.0999999999999996"/>
  </r>
  <r>
    <s v="871-39-9221"/>
    <s v="C"/>
    <s v="Naypyidaw"/>
    <x v="1"/>
    <x v="0"/>
    <x v="1"/>
    <x v="96"/>
    <x v="3"/>
    <n v="3.7349999999999999"/>
    <n v="78.435000000000002"/>
    <d v="2019-02-09T00:00:00"/>
    <d v="1899-12-30T13:11:00"/>
    <s v="Cash"/>
    <n v="74.7"/>
    <n v="4.7619047620000003"/>
    <x v="96"/>
    <n v="4.0999999999999996"/>
  </r>
  <r>
    <s v="865-92-6136"/>
    <s v="A"/>
    <s v="Yangon"/>
    <x v="1"/>
    <x v="1"/>
    <x v="4"/>
    <x v="97"/>
    <x v="6"/>
    <n v="7.9124999999999996"/>
    <n v="166.16249999999999"/>
    <d v="2019-03-23T00:00:00"/>
    <d v="1899-12-30T10:16:00"/>
    <s v="Ewallet"/>
    <n v="158.25"/>
    <n v="4.7619047620000003"/>
    <x v="97"/>
    <n v="9.3000000000000007"/>
  </r>
  <r>
    <s v="733-01-9107"/>
    <s v="B"/>
    <s v="Mandalay"/>
    <x v="1"/>
    <x v="1"/>
    <x v="2"/>
    <x v="98"/>
    <x v="3"/>
    <n v="24.81"/>
    <n v="521.01"/>
    <d v="2019-03-05T00:00:00"/>
    <d v="1899-12-30T18:14:00"/>
    <s v="Cash"/>
    <n v="496.2"/>
    <n v="4.7619047620000003"/>
    <x v="98"/>
    <n v="7.4"/>
  </r>
  <r>
    <s v="163-56-7055"/>
    <s v="C"/>
    <s v="Naypyidaw"/>
    <x v="0"/>
    <x v="1"/>
    <x v="5"/>
    <x v="99"/>
    <x v="8"/>
    <n v="2.4355000000000002"/>
    <n v="51.145499999999998"/>
    <d v="2019-03-26T00:00:00"/>
    <d v="1899-12-30T19:20:00"/>
    <s v="Cash"/>
    <n v="48.71"/>
    <n v="4.7619047620000003"/>
    <x v="99"/>
    <n v="4.0999999999999996"/>
  </r>
  <r>
    <s v="189-98-2939"/>
    <s v="C"/>
    <s v="Naypyidaw"/>
    <x v="1"/>
    <x v="1"/>
    <x v="5"/>
    <x v="100"/>
    <x v="9"/>
    <n v="35.347499999999997"/>
    <n v="742.29750000000001"/>
    <d v="2019-03-01T00:00:00"/>
    <d v="1899-12-30T13:22:00"/>
    <s v="Cash"/>
    <n v="706.95"/>
    <n v="4.7619047620000003"/>
    <x v="100"/>
    <n v="7.2"/>
  </r>
  <r>
    <s v="551-21-3069"/>
    <s v="C"/>
    <s v="Naypyidaw"/>
    <x v="1"/>
    <x v="0"/>
    <x v="1"/>
    <x v="101"/>
    <x v="9"/>
    <n v="10.381500000000001"/>
    <n v="218.01150000000001"/>
    <d v="2019-02-01T00:00:00"/>
    <d v="1899-12-30T11:27:00"/>
    <s v="Cash"/>
    <n v="207.63"/>
    <n v="4.7619047620000003"/>
    <x v="101"/>
    <n v="4.9000000000000004"/>
  </r>
  <r>
    <s v="212-62-1842"/>
    <s v="A"/>
    <s v="Yangon"/>
    <x v="1"/>
    <x v="1"/>
    <x v="4"/>
    <x v="102"/>
    <x v="3"/>
    <n v="17.478000000000002"/>
    <n v="367.03800000000001"/>
    <d v="2019-03-28T00:00:00"/>
    <d v="1899-12-30T16:44:00"/>
    <s v="Cash"/>
    <n v="349.56"/>
    <n v="4.7619047620000003"/>
    <x v="102"/>
    <n v="9.9"/>
  </r>
  <r>
    <s v="716-39-1409"/>
    <s v="B"/>
    <s v="Mandalay"/>
    <x v="1"/>
    <x v="1"/>
    <x v="0"/>
    <x v="103"/>
    <x v="0"/>
    <n v="10.6225"/>
    <n v="223.07249999999999"/>
    <d v="2019-03-19T00:00:00"/>
    <d v="1899-12-30T18:19:00"/>
    <s v="Cash"/>
    <n v="212.45"/>
    <n v="4.7619047620000003"/>
    <x v="103"/>
    <n v="8"/>
  </r>
  <r>
    <s v="704-48-3927"/>
    <s v="A"/>
    <s v="Yangon"/>
    <x v="0"/>
    <x v="1"/>
    <x v="1"/>
    <x v="104"/>
    <x v="4"/>
    <n v="44.335000000000001"/>
    <n v="931.03499999999997"/>
    <d v="2019-01-12T00:00:00"/>
    <d v="1899-12-30T14:50:00"/>
    <s v="Ewallet"/>
    <n v="886.7"/>
    <n v="4.7619047620000003"/>
    <x v="104"/>
    <n v="7.3"/>
  </r>
  <r>
    <s v="628-34-3388"/>
    <s v="C"/>
    <s v="Naypyidaw"/>
    <x v="1"/>
    <x v="1"/>
    <x v="5"/>
    <x v="105"/>
    <x v="3"/>
    <n v="8.2140000000000004"/>
    <n v="172.494"/>
    <d v="2019-01-05T00:00:00"/>
    <d v="1899-12-30T20:54:00"/>
    <s v="Credit card"/>
    <n v="164.28"/>
    <n v="4.7619047620000003"/>
    <x v="105"/>
    <n v="7.9"/>
  </r>
  <r>
    <s v="630-74-5166"/>
    <s v="A"/>
    <s v="Yangon"/>
    <x v="1"/>
    <x v="1"/>
    <x v="3"/>
    <x v="106"/>
    <x v="3"/>
    <n v="18.638999999999999"/>
    <n v="391.41899999999998"/>
    <d v="2019-03-22T00:00:00"/>
    <d v="1899-12-30T20:19:00"/>
    <s v="Cash"/>
    <n v="372.78"/>
    <n v="4.7619047620000003"/>
    <x v="106"/>
    <n v="7.4"/>
  </r>
  <r>
    <s v="588-01-7461"/>
    <s v="C"/>
    <s v="Naypyidaw"/>
    <x v="1"/>
    <x v="0"/>
    <x v="4"/>
    <x v="107"/>
    <x v="9"/>
    <n v="15.291"/>
    <n v="321.11099999999999"/>
    <d v="2019-03-24T00:00:00"/>
    <d v="1899-12-30T10:43:00"/>
    <s v="Cash"/>
    <n v="305.82"/>
    <n v="4.7619047620000003"/>
    <x v="107"/>
    <n v="4.2"/>
  </r>
  <r>
    <s v="861-77-0145"/>
    <s v="C"/>
    <s v="Naypyidaw"/>
    <x v="0"/>
    <x v="1"/>
    <x v="1"/>
    <x v="108"/>
    <x v="4"/>
    <n v="40.984999999999999"/>
    <n v="860.68499999999995"/>
    <d v="2019-03-03T00:00:00"/>
    <d v="1899-12-30T14:30:00"/>
    <s v="Cash"/>
    <n v="819.7"/>
    <n v="4.7619047620000003"/>
    <x v="108"/>
    <n v="9.1999999999999993"/>
  </r>
  <r>
    <s v="479-26-8945"/>
    <s v="B"/>
    <s v="Mandalay"/>
    <x v="0"/>
    <x v="0"/>
    <x v="3"/>
    <x v="109"/>
    <x v="5"/>
    <n v="1.649"/>
    <n v="34.628999999999998"/>
    <d v="2019-02-05T00:00:00"/>
    <d v="1899-12-30T11:32:00"/>
    <s v="Ewallet"/>
    <n v="32.979999999999997"/>
    <n v="4.7619047620000003"/>
    <x v="109"/>
    <n v="4.5999999999999996"/>
  </r>
  <r>
    <s v="210-67-5886"/>
    <s v="C"/>
    <s v="Naypyidaw"/>
    <x v="0"/>
    <x v="0"/>
    <x v="0"/>
    <x v="110"/>
    <x v="6"/>
    <n v="14.7315"/>
    <n v="309.36149999999998"/>
    <d v="2019-02-05T00:00:00"/>
    <d v="1899-12-30T10:41:00"/>
    <s v="Credit card"/>
    <n v="294.63"/>
    <n v="4.7619047620000003"/>
    <x v="110"/>
    <n v="7.8"/>
  </r>
  <r>
    <s v="227-78-1148"/>
    <s v="B"/>
    <s v="Mandalay"/>
    <x v="1"/>
    <x v="0"/>
    <x v="5"/>
    <x v="111"/>
    <x v="0"/>
    <n v="25.494"/>
    <n v="535.37400000000002"/>
    <d v="2019-02-15T00:00:00"/>
    <d v="1899-12-30T12:44:00"/>
    <s v="Cash"/>
    <n v="509.88"/>
    <n v="4.7619047620000003"/>
    <x v="111"/>
    <n v="8.4"/>
  </r>
  <r>
    <s v="645-44-1170"/>
    <s v="A"/>
    <s v="Yangon"/>
    <x v="0"/>
    <x v="1"/>
    <x v="2"/>
    <x v="112"/>
    <x v="9"/>
    <n v="26.131499999999999"/>
    <n v="548.76149999999996"/>
    <d v="2019-01-19T00:00:00"/>
    <d v="1899-12-30T20:07:00"/>
    <s v="Ewallet"/>
    <n v="522.63"/>
    <n v="4.7619047620000003"/>
    <x v="112"/>
    <n v="4.3"/>
  </r>
  <r>
    <s v="237-01-6122"/>
    <s v="C"/>
    <s v="Naypyidaw"/>
    <x v="0"/>
    <x v="0"/>
    <x v="2"/>
    <x v="113"/>
    <x v="9"/>
    <n v="36.355499999999999"/>
    <n v="763.46550000000002"/>
    <d v="2019-02-01T00:00:00"/>
    <d v="1899-12-30T20:31:00"/>
    <s v="Credit card"/>
    <n v="727.11"/>
    <n v="4.7619047620000003"/>
    <x v="113"/>
    <n v="9.5"/>
  </r>
  <r>
    <s v="225-98-1496"/>
    <s v="C"/>
    <s v="Naypyidaw"/>
    <x v="1"/>
    <x v="0"/>
    <x v="5"/>
    <x v="114"/>
    <x v="6"/>
    <n v="4.0529999999999999"/>
    <n v="85.113"/>
    <d v="2019-03-02T00:00:00"/>
    <d v="1899-12-30T13:01:00"/>
    <s v="Credit card"/>
    <n v="81.06"/>
    <n v="4.7619047620000003"/>
    <x v="114"/>
    <n v="7.1"/>
  </r>
  <r>
    <s v="291-32-1427"/>
    <s v="B"/>
    <s v="Mandalay"/>
    <x v="0"/>
    <x v="1"/>
    <x v="5"/>
    <x v="115"/>
    <x v="1"/>
    <n v="5.4850000000000003"/>
    <n v="115.185"/>
    <d v="2019-03-05T00:00:00"/>
    <d v="1899-12-30T12:29:00"/>
    <s v="Ewallet"/>
    <n v="109.7"/>
    <n v="4.7619047620000003"/>
    <x v="115"/>
    <n v="5.3"/>
  </r>
  <r>
    <s v="659-65-8956"/>
    <s v="B"/>
    <s v="Mandalay"/>
    <x v="0"/>
    <x v="1"/>
    <x v="5"/>
    <x v="116"/>
    <x v="8"/>
    <n v="2.5680000000000001"/>
    <n v="53.927999999999997"/>
    <d v="2019-01-16T00:00:00"/>
    <d v="1899-12-30T15:26:00"/>
    <s v="Ewallet"/>
    <n v="51.36"/>
    <n v="4.7619047620000003"/>
    <x v="116"/>
    <n v="5.2"/>
  </r>
  <r>
    <s v="642-32-2990"/>
    <s v="A"/>
    <s v="Yangon"/>
    <x v="1"/>
    <x v="0"/>
    <x v="4"/>
    <x v="117"/>
    <x v="4"/>
    <n v="5.48"/>
    <n v="115.08"/>
    <d v="2019-02-02T00:00:00"/>
    <d v="1899-12-30T20:48:00"/>
    <s v="Ewallet"/>
    <n v="109.6"/>
    <n v="4.7619047620000003"/>
    <x v="117"/>
    <n v="6"/>
  </r>
  <r>
    <s v="378-24-2715"/>
    <s v="B"/>
    <s v="Mandalay"/>
    <x v="1"/>
    <x v="1"/>
    <x v="2"/>
    <x v="118"/>
    <x v="5"/>
    <n v="5.3440000000000003"/>
    <n v="112.224"/>
    <d v="2019-01-20T00:00:00"/>
    <d v="1899-12-30T20:38:00"/>
    <s v="Ewallet"/>
    <n v="106.88"/>
    <n v="4.7619047620000003"/>
    <x v="118"/>
    <n v="4.0999999999999996"/>
  </r>
  <r>
    <s v="638-60-7125"/>
    <s v="A"/>
    <s v="Yangon"/>
    <x v="1"/>
    <x v="0"/>
    <x v="1"/>
    <x v="119"/>
    <x v="2"/>
    <n v="39.823999999999998"/>
    <n v="836.30399999999997"/>
    <d v="2019-02-14T00:00:00"/>
    <d v="1899-12-30T17:03:00"/>
    <s v="Credit card"/>
    <n v="796.48"/>
    <n v="4.7619047620000003"/>
    <x v="119"/>
    <n v="5.2"/>
  </r>
  <r>
    <s v="659-36-1684"/>
    <s v="C"/>
    <s v="Naypyidaw"/>
    <x v="0"/>
    <x v="1"/>
    <x v="3"/>
    <x v="120"/>
    <x v="0"/>
    <n v="19.992000000000001"/>
    <n v="419.83199999999999"/>
    <d v="2019-01-12T00:00:00"/>
    <d v="1899-12-30T12:02:00"/>
    <s v="Credit card"/>
    <n v="399.84"/>
    <n v="4.7619047620000003"/>
    <x v="120"/>
    <n v="6.5"/>
  </r>
  <r>
    <s v="219-22-9386"/>
    <s v="B"/>
    <s v="Mandalay"/>
    <x v="0"/>
    <x v="1"/>
    <x v="3"/>
    <x v="121"/>
    <x v="9"/>
    <n v="44.981999999999999"/>
    <n v="944.62199999999996"/>
    <d v="2019-03-09T00:00:00"/>
    <d v="1899-12-30T17:26:00"/>
    <s v="Credit card"/>
    <n v="899.64"/>
    <n v="4.7619047620000003"/>
    <x v="121"/>
    <n v="4.2"/>
  </r>
  <r>
    <s v="336-78-2147"/>
    <s v="C"/>
    <s v="Naypyidaw"/>
    <x v="0"/>
    <x v="1"/>
    <x v="2"/>
    <x v="122"/>
    <x v="2"/>
    <n v="25.564"/>
    <n v="536.84400000000005"/>
    <d v="2019-03-13T00:00:00"/>
    <d v="1899-12-30T19:52:00"/>
    <s v="Credit card"/>
    <n v="511.28"/>
    <n v="4.7619047620000003"/>
    <x v="122"/>
    <n v="4.5999999999999996"/>
  </r>
  <r>
    <s v="268-27-6179"/>
    <s v="B"/>
    <s v="Mandalay"/>
    <x v="0"/>
    <x v="0"/>
    <x v="5"/>
    <x v="123"/>
    <x v="2"/>
    <n v="22.588000000000001"/>
    <n v="474.34800000000001"/>
    <d v="2019-03-09T00:00:00"/>
    <d v="1899-12-30T14:57:00"/>
    <s v="Ewallet"/>
    <n v="451.76"/>
    <n v="4.7619047620000003"/>
    <x v="123"/>
    <n v="7.3"/>
  </r>
  <r>
    <s v="668-90-8900"/>
    <s v="A"/>
    <s v="Yangon"/>
    <x v="1"/>
    <x v="0"/>
    <x v="2"/>
    <x v="124"/>
    <x v="0"/>
    <n v="32.791499999999999"/>
    <n v="688.62149999999997"/>
    <d v="2019-03-10T00:00:00"/>
    <d v="1899-12-30T18:44:00"/>
    <s v="Credit card"/>
    <n v="655.83"/>
    <n v="4.7619047620000003"/>
    <x v="124"/>
    <n v="4.5"/>
  </r>
  <r>
    <s v="870-54-3162"/>
    <s v="A"/>
    <s v="Yangon"/>
    <x v="1"/>
    <x v="0"/>
    <x v="3"/>
    <x v="125"/>
    <x v="1"/>
    <n v="8.0625"/>
    <n v="169.3125"/>
    <d v="2019-01-27T00:00:00"/>
    <d v="1899-12-30T13:26:00"/>
    <s v="Cash"/>
    <n v="161.25"/>
    <n v="4.7619047620000003"/>
    <x v="125"/>
    <n v="9"/>
  </r>
  <r>
    <s v="189-08-9157"/>
    <s v="C"/>
    <s v="Naypyidaw"/>
    <x v="1"/>
    <x v="0"/>
    <x v="5"/>
    <x v="126"/>
    <x v="9"/>
    <n v="14.278499999999999"/>
    <n v="299.8485"/>
    <d v="2019-01-08T00:00:00"/>
    <d v="1899-12-30T16:17:00"/>
    <s v="Credit card"/>
    <n v="285.57"/>
    <n v="4.7619047620000003"/>
    <x v="126"/>
    <n v="5.9"/>
  </r>
  <r>
    <s v="663-86-9076"/>
    <s v="C"/>
    <s v="Naypyidaw"/>
    <x v="0"/>
    <x v="0"/>
    <x v="4"/>
    <x v="127"/>
    <x v="2"/>
    <n v="27.416"/>
    <n v="575.73599999999999"/>
    <d v="2019-01-08T00:00:00"/>
    <d v="1899-12-30T15:57:00"/>
    <s v="Ewallet"/>
    <n v="548.32000000000005"/>
    <n v="4.7619047620000003"/>
    <x v="127"/>
    <n v="8.5"/>
  </r>
  <r>
    <s v="549-84-7482"/>
    <s v="B"/>
    <s v="Mandalay"/>
    <x v="1"/>
    <x v="0"/>
    <x v="3"/>
    <x v="128"/>
    <x v="9"/>
    <n v="40.625999999999998"/>
    <n v="853.14599999999996"/>
    <d v="2019-02-08T00:00:00"/>
    <d v="1899-12-30T11:15:00"/>
    <s v="Ewallet"/>
    <n v="812.52"/>
    <n v="4.7619047620000003"/>
    <x v="128"/>
    <n v="7.2"/>
  </r>
  <r>
    <s v="191-10-6171"/>
    <s v="B"/>
    <s v="Mandalay"/>
    <x v="1"/>
    <x v="0"/>
    <x v="5"/>
    <x v="129"/>
    <x v="0"/>
    <n v="13.867000000000001"/>
    <n v="291.20699999999999"/>
    <d v="2019-01-25T00:00:00"/>
    <d v="1899-12-30T13:18:00"/>
    <s v="Cash"/>
    <n v="277.33999999999997"/>
    <n v="4.7619047620000003"/>
    <x v="129"/>
    <n v="7.5"/>
  </r>
  <r>
    <s v="802-70-5316"/>
    <s v="A"/>
    <s v="Yangon"/>
    <x v="0"/>
    <x v="0"/>
    <x v="3"/>
    <x v="130"/>
    <x v="3"/>
    <n v="27.638999999999999"/>
    <n v="580.41899999999998"/>
    <d v="2019-03-06T00:00:00"/>
    <d v="1899-12-30T20:34:00"/>
    <s v="Cash"/>
    <n v="552.78"/>
    <n v="4.7619047620000003"/>
    <x v="130"/>
    <n v="8.3000000000000007"/>
  </r>
  <r>
    <s v="695-51-0018"/>
    <s v="B"/>
    <s v="Mandalay"/>
    <x v="1"/>
    <x v="0"/>
    <x v="3"/>
    <x v="131"/>
    <x v="7"/>
    <n v="6.968"/>
    <n v="146.328"/>
    <d v="2019-02-10T00:00:00"/>
    <d v="1899-12-30T18:36:00"/>
    <s v="Cash"/>
    <n v="139.36000000000001"/>
    <n v="4.7619047620000003"/>
    <x v="131"/>
    <n v="7.4"/>
  </r>
  <r>
    <s v="590-83-4591"/>
    <s v="B"/>
    <s v="Mandalay"/>
    <x v="0"/>
    <x v="1"/>
    <x v="1"/>
    <x v="132"/>
    <x v="3"/>
    <n v="26.234999999999999"/>
    <n v="550.93499999999995"/>
    <d v="2019-02-17T00:00:00"/>
    <d v="1899-12-30T14:40:00"/>
    <s v="Credit card"/>
    <n v="524.70000000000005"/>
    <n v="4.7619047620000003"/>
    <x v="132"/>
    <n v="8.8000000000000007"/>
  </r>
  <r>
    <s v="483-71-1164"/>
    <s v="C"/>
    <s v="Naypyidaw"/>
    <x v="1"/>
    <x v="0"/>
    <x v="0"/>
    <x v="133"/>
    <x v="3"/>
    <n v="24.39"/>
    <n v="512.19000000000005"/>
    <d v="2019-03-08T00:00:00"/>
    <d v="1899-12-30T16:43:00"/>
    <s v="Ewallet"/>
    <n v="487.8"/>
    <n v="4.7619047620000003"/>
    <x v="133"/>
    <n v="5.3"/>
  </r>
  <r>
    <s v="597-78-7908"/>
    <s v="C"/>
    <s v="Naypyidaw"/>
    <x v="1"/>
    <x v="1"/>
    <x v="5"/>
    <x v="134"/>
    <x v="6"/>
    <n v="13.532999999999999"/>
    <n v="284.19299999999998"/>
    <d v="2019-02-18T00:00:00"/>
    <d v="1899-12-30T19:39:00"/>
    <s v="Cash"/>
    <n v="270.66000000000003"/>
    <n v="4.7619047620000003"/>
    <x v="134"/>
    <n v="6.2"/>
  </r>
  <r>
    <s v="700-81-1757"/>
    <s v="A"/>
    <s v="Yangon"/>
    <x v="1"/>
    <x v="0"/>
    <x v="1"/>
    <x v="135"/>
    <x v="1"/>
    <n v="6.5774999999999997"/>
    <n v="138.1275"/>
    <d v="2019-01-18T00:00:00"/>
    <d v="1899-12-30T20:59:00"/>
    <s v="Credit card"/>
    <n v="131.55000000000001"/>
    <n v="4.7619047620000003"/>
    <x v="135"/>
    <n v="8.8000000000000007"/>
  </r>
  <r>
    <s v="354-39-5160"/>
    <s v="A"/>
    <s v="Yangon"/>
    <x v="0"/>
    <x v="0"/>
    <x v="2"/>
    <x v="136"/>
    <x v="3"/>
    <n v="10.326000000000001"/>
    <n v="216.846"/>
    <d v="2019-02-18T00:00:00"/>
    <d v="1899-12-30T15:39:00"/>
    <s v="Cash"/>
    <n v="206.52"/>
    <n v="4.7619047620000003"/>
    <x v="136"/>
    <n v="9.8000000000000007"/>
  </r>
  <r>
    <s v="241-72-9525"/>
    <s v="B"/>
    <s v="Mandalay"/>
    <x v="1"/>
    <x v="1"/>
    <x v="3"/>
    <x v="137"/>
    <x v="4"/>
    <n v="25.954999999999998"/>
    <n v="545.05499999999995"/>
    <d v="2019-02-16T00:00:00"/>
    <d v="1899-12-30T12:21:00"/>
    <s v="Cash"/>
    <n v="519.1"/>
    <n v="4.7619047620000003"/>
    <x v="137"/>
    <n v="8.1999999999999993"/>
  </r>
  <r>
    <s v="575-30-8091"/>
    <s v="A"/>
    <s v="Yangon"/>
    <x v="1"/>
    <x v="1"/>
    <x v="3"/>
    <x v="138"/>
    <x v="2"/>
    <n v="29"/>
    <n v="609"/>
    <d v="2019-03-16T00:00:00"/>
    <d v="1899-12-30T19:25:00"/>
    <s v="Ewallet"/>
    <n v="580"/>
    <n v="4.7619047620000003"/>
    <x v="138"/>
    <n v="9.1999999999999993"/>
  </r>
  <r>
    <s v="731-81-9469"/>
    <s v="C"/>
    <s v="Naypyidaw"/>
    <x v="0"/>
    <x v="0"/>
    <x v="3"/>
    <x v="139"/>
    <x v="4"/>
    <n v="44.9"/>
    <n v="942.9"/>
    <d v="2019-01-23T00:00:00"/>
    <d v="1899-12-30T13:00:00"/>
    <s v="Credit card"/>
    <n v="898"/>
    <n v="4.7619047620000003"/>
    <x v="139"/>
    <n v="5.4"/>
  </r>
  <r>
    <s v="280-17-4359"/>
    <s v="C"/>
    <s v="Naypyidaw"/>
    <x v="0"/>
    <x v="1"/>
    <x v="0"/>
    <x v="140"/>
    <x v="4"/>
    <n v="45.25"/>
    <n v="950.25"/>
    <d v="2019-01-25T00:00:00"/>
    <d v="1899-12-30T13:48:00"/>
    <s v="Cash"/>
    <n v="905"/>
    <n v="4.7619047620000003"/>
    <x v="140"/>
    <n v="8.1"/>
  </r>
  <r>
    <s v="338-65-2210"/>
    <s v="C"/>
    <s v="Naypyidaw"/>
    <x v="0"/>
    <x v="0"/>
    <x v="0"/>
    <x v="141"/>
    <x v="4"/>
    <n v="34.299999999999997"/>
    <n v="720.3"/>
    <d v="2019-02-05T00:00:00"/>
    <d v="1899-12-30T19:57:00"/>
    <s v="Cash"/>
    <n v="686"/>
    <n v="4.7619047620000003"/>
    <x v="141"/>
    <n v="9.1"/>
  </r>
  <r>
    <s v="488-25-4221"/>
    <s v="C"/>
    <s v="Naypyidaw"/>
    <x v="0"/>
    <x v="0"/>
    <x v="4"/>
    <x v="142"/>
    <x v="8"/>
    <n v="1.5205"/>
    <n v="31.930499999999999"/>
    <d v="2019-02-22T00:00:00"/>
    <d v="1899-12-30T10:36:00"/>
    <s v="Credit card"/>
    <n v="30.41"/>
    <n v="4.7619047620000003"/>
    <x v="142"/>
    <n v="8.4"/>
  </r>
  <r>
    <s v="239-10-7476"/>
    <s v="A"/>
    <s v="Yangon"/>
    <x v="1"/>
    <x v="0"/>
    <x v="2"/>
    <x v="143"/>
    <x v="3"/>
    <n v="23.385000000000002"/>
    <n v="491.08499999999998"/>
    <d v="2019-01-21T00:00:00"/>
    <d v="1899-12-30T16:37:00"/>
    <s v="Ewallet"/>
    <n v="467.7"/>
    <n v="4.7619047620000003"/>
    <x v="143"/>
    <n v="8"/>
  </r>
  <r>
    <s v="458-41-1477"/>
    <s v="C"/>
    <s v="Naypyidaw"/>
    <x v="1"/>
    <x v="0"/>
    <x v="0"/>
    <x v="144"/>
    <x v="3"/>
    <n v="13.878"/>
    <n v="291.43799999999999"/>
    <d v="2019-03-08T00:00:00"/>
    <d v="1899-12-30T17:11:00"/>
    <s v="Credit card"/>
    <n v="277.56"/>
    <n v="4.7619047620000003"/>
    <x v="144"/>
    <n v="9.5"/>
  </r>
  <r>
    <s v="685-64-1609"/>
    <s v="A"/>
    <s v="Yangon"/>
    <x v="0"/>
    <x v="0"/>
    <x v="5"/>
    <x v="145"/>
    <x v="4"/>
    <n v="15.07"/>
    <n v="316.47000000000003"/>
    <d v="2019-02-10T00:00:00"/>
    <d v="1899-12-30T12:28:00"/>
    <s v="Ewallet"/>
    <n v="301.39999999999998"/>
    <n v="4.7619047620000003"/>
    <x v="145"/>
    <n v="9.1999999999999993"/>
  </r>
  <r>
    <s v="568-90-5112"/>
    <s v="C"/>
    <s v="Naypyidaw"/>
    <x v="1"/>
    <x v="1"/>
    <x v="0"/>
    <x v="146"/>
    <x v="7"/>
    <n v="13.228"/>
    <n v="277.78800000000001"/>
    <d v="2019-03-19T00:00:00"/>
    <d v="1899-12-30T12:46:00"/>
    <s v="Credit card"/>
    <n v="264.56"/>
    <n v="4.7619047620000003"/>
    <x v="146"/>
    <n v="5.6"/>
  </r>
  <r>
    <s v="262-47-2794"/>
    <s v="B"/>
    <s v="Mandalay"/>
    <x v="0"/>
    <x v="1"/>
    <x v="2"/>
    <x v="147"/>
    <x v="2"/>
    <n v="28.744"/>
    <n v="603.62400000000002"/>
    <d v="2019-03-06T00:00:00"/>
    <d v="1899-12-30T15:07:00"/>
    <s v="Credit card"/>
    <n v="574.88"/>
    <n v="4.7619047620000003"/>
    <x v="147"/>
    <n v="6.2"/>
  </r>
  <r>
    <s v="238-49-0436"/>
    <s v="A"/>
    <s v="Yangon"/>
    <x v="1"/>
    <x v="1"/>
    <x v="0"/>
    <x v="148"/>
    <x v="2"/>
    <n v="12.984"/>
    <n v="272.66399999999999"/>
    <d v="2019-03-27T00:00:00"/>
    <d v="1899-12-30T13:48:00"/>
    <s v="Credit card"/>
    <n v="259.68"/>
    <n v="4.7619047620000003"/>
    <x v="148"/>
    <n v="4.9000000000000004"/>
  </r>
  <r>
    <s v="608-96-3517"/>
    <s v="B"/>
    <s v="Mandalay"/>
    <x v="0"/>
    <x v="0"/>
    <x v="5"/>
    <x v="149"/>
    <x v="7"/>
    <n v="18.308"/>
    <n v="384.46800000000002"/>
    <d v="2019-03-23T00:00:00"/>
    <d v="1899-12-30T19:20:00"/>
    <s v="Credit card"/>
    <n v="366.16"/>
    <n v="4.7619047620000003"/>
    <x v="149"/>
    <n v="4.8"/>
  </r>
  <r>
    <s v="584-86-7256"/>
    <s v="C"/>
    <s v="Naypyidaw"/>
    <x v="0"/>
    <x v="1"/>
    <x v="3"/>
    <x v="23"/>
    <x v="0"/>
    <n v="12.096"/>
    <n v="254.01599999999999"/>
    <d v="2019-03-11T00:00:00"/>
    <d v="1899-12-30T16:07:00"/>
    <s v="Credit card"/>
    <n v="241.92"/>
    <n v="4.7619047620000003"/>
    <x v="150"/>
    <n v="7.3"/>
  </r>
  <r>
    <s v="746-94-0204"/>
    <s v="A"/>
    <s v="Yangon"/>
    <x v="1"/>
    <x v="1"/>
    <x v="5"/>
    <x v="150"/>
    <x v="9"/>
    <n v="37.457999999999998"/>
    <n v="786.61800000000005"/>
    <d v="2019-01-29T00:00:00"/>
    <d v="1899-12-30T11:56:00"/>
    <s v="Credit card"/>
    <n v="749.16"/>
    <n v="4.7619047620000003"/>
    <x v="151"/>
    <n v="7.4"/>
  </r>
  <r>
    <s v="214-17-6927"/>
    <s v="C"/>
    <s v="Naypyidaw"/>
    <x v="1"/>
    <x v="0"/>
    <x v="4"/>
    <x v="151"/>
    <x v="3"/>
    <n v="4.944"/>
    <n v="103.824"/>
    <d v="2019-02-07T00:00:00"/>
    <d v="1899-12-30T18:23:00"/>
    <s v="Ewallet"/>
    <n v="98.88"/>
    <n v="4.7619047620000003"/>
    <x v="152"/>
    <n v="9.9"/>
  </r>
  <r>
    <s v="400-89-4171"/>
    <s v="C"/>
    <s v="Naypyidaw"/>
    <x v="1"/>
    <x v="0"/>
    <x v="3"/>
    <x v="152"/>
    <x v="2"/>
    <n v="32.387999999999998"/>
    <n v="680.14800000000002"/>
    <d v="2019-01-28T00:00:00"/>
    <d v="1899-12-30T13:05:00"/>
    <s v="Cash"/>
    <n v="647.76"/>
    <n v="4.7619047620000003"/>
    <x v="153"/>
    <n v="9.3000000000000007"/>
  </r>
  <r>
    <s v="782-95-9291"/>
    <s v="A"/>
    <s v="Yangon"/>
    <x v="0"/>
    <x v="1"/>
    <x v="4"/>
    <x v="153"/>
    <x v="1"/>
    <n v="23.072500000000002"/>
    <n v="484.52249999999998"/>
    <d v="2019-02-20T00:00:00"/>
    <d v="1899-12-30T15:55:00"/>
    <s v="Credit card"/>
    <n v="461.45"/>
    <n v="4.7619047620000003"/>
    <x v="154"/>
    <n v="9"/>
  </r>
  <r>
    <s v="279-74-2924"/>
    <s v="B"/>
    <s v="Mandalay"/>
    <x v="0"/>
    <x v="1"/>
    <x v="1"/>
    <x v="154"/>
    <x v="8"/>
    <n v="3.6084999999999998"/>
    <n v="75.778499999999994"/>
    <d v="2019-01-04T00:00:00"/>
    <d v="1899-12-30T19:40:00"/>
    <s v="Cash"/>
    <n v="72.17"/>
    <n v="4.7619047620000003"/>
    <x v="155"/>
    <n v="6.1"/>
  </r>
  <r>
    <s v="307-85-2293"/>
    <s v="B"/>
    <s v="Mandalay"/>
    <x v="1"/>
    <x v="1"/>
    <x v="2"/>
    <x v="155"/>
    <x v="1"/>
    <n v="12.57"/>
    <n v="263.97000000000003"/>
    <d v="2019-03-07T00:00:00"/>
    <d v="1899-12-30T13:58:00"/>
    <s v="Ewallet"/>
    <n v="251.4"/>
    <n v="4.7619047620000003"/>
    <x v="156"/>
    <n v="9.6999999999999993"/>
  </r>
  <r>
    <s v="743-04-1105"/>
    <s v="B"/>
    <s v="Mandalay"/>
    <x v="0"/>
    <x v="1"/>
    <x v="0"/>
    <x v="156"/>
    <x v="9"/>
    <n v="43.749000000000002"/>
    <n v="918.72900000000004"/>
    <d v="2019-03-30T00:00:00"/>
    <d v="1899-12-30T14:43:00"/>
    <s v="Ewallet"/>
    <n v="874.98"/>
    <n v="4.7619047620000003"/>
    <x v="157"/>
    <n v="6"/>
  </r>
  <r>
    <s v="423-57-2993"/>
    <s v="B"/>
    <s v="Mandalay"/>
    <x v="1"/>
    <x v="1"/>
    <x v="3"/>
    <x v="157"/>
    <x v="3"/>
    <n v="28.016999999999999"/>
    <n v="588.35699999999997"/>
    <d v="2019-03-27T00:00:00"/>
    <d v="1899-12-30T19:18:00"/>
    <s v="Ewallet"/>
    <n v="560.34"/>
    <n v="4.7619047620000003"/>
    <x v="158"/>
    <n v="10"/>
  </r>
  <r>
    <s v="894-41-5205"/>
    <s v="C"/>
    <s v="Naypyidaw"/>
    <x v="1"/>
    <x v="0"/>
    <x v="4"/>
    <x v="158"/>
    <x v="2"/>
    <n v="17.271999999999998"/>
    <n v="362.71199999999999"/>
    <d v="2019-01-19T00:00:00"/>
    <d v="1899-12-30T19:39:00"/>
    <s v="Credit card"/>
    <n v="345.44"/>
    <n v="4.7619047620000003"/>
    <x v="159"/>
    <n v="8.3000000000000007"/>
  </r>
  <r>
    <s v="275-28-0149"/>
    <s v="A"/>
    <s v="Yangon"/>
    <x v="1"/>
    <x v="1"/>
    <x v="3"/>
    <x v="159"/>
    <x v="8"/>
    <n v="3.1844999999999999"/>
    <n v="66.874499999999998"/>
    <d v="2019-02-25T00:00:00"/>
    <d v="1899-12-30T16:21:00"/>
    <s v="Cash"/>
    <n v="63.69"/>
    <n v="4.7619047620000003"/>
    <x v="160"/>
    <n v="6"/>
  </r>
  <r>
    <s v="101-17-6199"/>
    <s v="A"/>
    <s v="Yangon"/>
    <x v="1"/>
    <x v="1"/>
    <x v="4"/>
    <x v="160"/>
    <x v="0"/>
    <n v="16.026499999999999"/>
    <n v="336.55650000000003"/>
    <d v="2019-03-13T00:00:00"/>
    <d v="1899-12-30T19:44:00"/>
    <s v="Credit card"/>
    <n v="320.52999999999997"/>
    <n v="4.7619047620000003"/>
    <x v="161"/>
    <n v="7"/>
  </r>
  <r>
    <s v="423-80-0988"/>
    <s v="C"/>
    <s v="Naypyidaw"/>
    <x v="1"/>
    <x v="1"/>
    <x v="3"/>
    <x v="161"/>
    <x v="5"/>
    <n v="7.64"/>
    <n v="160.44"/>
    <d v="2019-01-30T00:00:00"/>
    <d v="1899-12-30T19:42:00"/>
    <s v="Ewallet"/>
    <n v="152.80000000000001"/>
    <n v="4.7619047620000003"/>
    <x v="162"/>
    <n v="6.5"/>
  </r>
  <r>
    <s v="548-46-9322"/>
    <s v="B"/>
    <s v="Mandalay"/>
    <x v="1"/>
    <x v="1"/>
    <x v="4"/>
    <x v="162"/>
    <x v="4"/>
    <n v="19.95"/>
    <n v="418.95"/>
    <d v="2019-02-20T00:00:00"/>
    <d v="1899-12-30T15:24:00"/>
    <s v="Credit card"/>
    <n v="399"/>
    <n v="4.7619047620000003"/>
    <x v="163"/>
    <n v="5.9"/>
  </r>
  <r>
    <s v="505-02-0892"/>
    <s v="B"/>
    <s v="Mandalay"/>
    <x v="0"/>
    <x v="1"/>
    <x v="0"/>
    <x v="163"/>
    <x v="2"/>
    <n v="17.027999999999999"/>
    <n v="357.58800000000002"/>
    <d v="2019-02-25T00:00:00"/>
    <d v="1899-12-30T14:12:00"/>
    <s v="Ewallet"/>
    <n v="340.56"/>
    <n v="4.7619047620000003"/>
    <x v="164"/>
    <n v="5.6"/>
  </r>
  <r>
    <s v="234-65-2137"/>
    <s v="C"/>
    <s v="Naypyidaw"/>
    <x v="1"/>
    <x v="1"/>
    <x v="2"/>
    <x v="164"/>
    <x v="4"/>
    <n v="47.79"/>
    <n v="1003.59"/>
    <d v="2019-01-16T00:00:00"/>
    <d v="1899-12-30T13:32:00"/>
    <s v="Cash"/>
    <n v="955.8"/>
    <n v="4.7619047620000003"/>
    <x v="165"/>
    <n v="4.8"/>
  </r>
  <r>
    <s v="687-47-8271"/>
    <s v="A"/>
    <s v="Yangon"/>
    <x v="1"/>
    <x v="1"/>
    <x v="5"/>
    <x v="165"/>
    <x v="4"/>
    <n v="49.49"/>
    <n v="1039.29"/>
    <d v="2019-02-08T00:00:00"/>
    <d v="1899-12-30T16:20:00"/>
    <s v="Credit card"/>
    <n v="989.8"/>
    <n v="4.7619047620000003"/>
    <x v="166"/>
    <n v="8.6999999999999993"/>
  </r>
  <r>
    <s v="796-32-9050"/>
    <s v="A"/>
    <s v="Yangon"/>
    <x v="1"/>
    <x v="1"/>
    <x v="4"/>
    <x v="166"/>
    <x v="3"/>
    <n v="15.384"/>
    <n v="323.06400000000002"/>
    <d v="2019-01-19T00:00:00"/>
    <d v="1899-12-30T16:31:00"/>
    <s v="Cash"/>
    <n v="307.68"/>
    <n v="4.7619047620000003"/>
    <x v="167"/>
    <n v="6.5"/>
  </r>
  <r>
    <s v="105-31-1824"/>
    <s v="A"/>
    <s v="Yangon"/>
    <x v="0"/>
    <x v="1"/>
    <x v="3"/>
    <x v="167"/>
    <x v="0"/>
    <n v="24.332000000000001"/>
    <n v="510.97199999999998"/>
    <d v="2019-02-01T00:00:00"/>
    <d v="1899-12-30T15:10:00"/>
    <s v="Credit card"/>
    <n v="486.64"/>
    <n v="4.7619047620000003"/>
    <x v="168"/>
    <n v="8.5"/>
  </r>
  <r>
    <s v="249-42-3782"/>
    <s v="A"/>
    <s v="Yangon"/>
    <x v="1"/>
    <x v="1"/>
    <x v="0"/>
    <x v="168"/>
    <x v="1"/>
    <n v="17.502500000000001"/>
    <n v="367.55250000000001"/>
    <d v="2019-01-03T00:00:00"/>
    <d v="1899-12-30T11:36:00"/>
    <s v="Ewallet"/>
    <n v="350.05"/>
    <n v="4.7619047620000003"/>
    <x v="169"/>
    <n v="5.5"/>
  </r>
  <r>
    <s v="316-55-4634"/>
    <s v="B"/>
    <s v="Mandalay"/>
    <x v="0"/>
    <x v="1"/>
    <x v="4"/>
    <x v="169"/>
    <x v="1"/>
    <n v="20.012499999999999"/>
    <n v="420.26249999999999"/>
    <d v="2019-01-26T00:00:00"/>
    <d v="1899-12-30T12:45:00"/>
    <s v="Credit card"/>
    <n v="400.25"/>
    <n v="4.7619047620000003"/>
    <x v="170"/>
    <n v="9.4"/>
  </r>
  <r>
    <s v="733-33-4967"/>
    <s v="C"/>
    <s v="Naypyidaw"/>
    <x v="1"/>
    <x v="1"/>
    <x v="1"/>
    <x v="170"/>
    <x v="2"/>
    <n v="8.34"/>
    <n v="175.14"/>
    <d v="2019-03-03T00:00:00"/>
    <d v="1899-12-30T19:17:00"/>
    <s v="Cash"/>
    <n v="166.8"/>
    <n v="4.7619047620000003"/>
    <x v="171"/>
    <n v="6.3"/>
  </r>
  <r>
    <s v="608-27-6295"/>
    <s v="B"/>
    <s v="Mandalay"/>
    <x v="0"/>
    <x v="1"/>
    <x v="1"/>
    <x v="171"/>
    <x v="3"/>
    <n v="15.867000000000001"/>
    <n v="333.20699999999999"/>
    <d v="2019-01-19T00:00:00"/>
    <d v="1899-12-30T17:34:00"/>
    <s v="Credit card"/>
    <n v="317.33999999999997"/>
    <n v="4.7619047620000003"/>
    <x v="172"/>
    <n v="9.8000000000000007"/>
  </r>
  <r>
    <s v="414-12-7047"/>
    <s v="B"/>
    <s v="Mandalay"/>
    <x v="1"/>
    <x v="1"/>
    <x v="4"/>
    <x v="172"/>
    <x v="2"/>
    <n v="7.9160000000000004"/>
    <n v="166.23599999999999"/>
    <d v="2019-01-18T00:00:00"/>
    <d v="1899-12-30T12:04:00"/>
    <s v="Ewallet"/>
    <n v="158.32"/>
    <n v="4.7619047620000003"/>
    <x v="173"/>
    <n v="8.6999999999999993"/>
  </r>
  <r>
    <s v="827-26-2100"/>
    <s v="A"/>
    <s v="Yangon"/>
    <x v="0"/>
    <x v="1"/>
    <x v="2"/>
    <x v="173"/>
    <x v="9"/>
    <n v="15.228"/>
    <n v="319.78800000000001"/>
    <d v="2019-03-21T00:00:00"/>
    <d v="1899-12-30T16:21:00"/>
    <s v="Ewallet"/>
    <n v="304.56"/>
    <n v="4.7619047620000003"/>
    <x v="174"/>
    <n v="8.8000000000000007"/>
  </r>
  <r>
    <s v="175-54-2529"/>
    <s v="A"/>
    <s v="Yangon"/>
    <x v="0"/>
    <x v="1"/>
    <x v="4"/>
    <x v="174"/>
    <x v="2"/>
    <n v="8.8680000000000003"/>
    <n v="186.22800000000001"/>
    <d v="2019-03-03T00:00:00"/>
    <d v="1899-12-30T17:01:00"/>
    <s v="Credit card"/>
    <n v="177.36"/>
    <n v="4.7619047620000003"/>
    <x v="175"/>
    <n v="9.6"/>
  </r>
  <r>
    <s v="139-52-2867"/>
    <s v="C"/>
    <s v="Naypyidaw"/>
    <x v="1"/>
    <x v="0"/>
    <x v="5"/>
    <x v="175"/>
    <x v="0"/>
    <n v="7.8784999999999998"/>
    <n v="165.4485"/>
    <d v="2019-02-13T00:00:00"/>
    <d v="1899-12-30T10:50:00"/>
    <s v="Credit card"/>
    <n v="157.57"/>
    <n v="4.7619047620000003"/>
    <x v="176"/>
    <n v="4.8"/>
  </r>
  <r>
    <s v="407-63-8975"/>
    <s v="A"/>
    <s v="Yangon"/>
    <x v="1"/>
    <x v="1"/>
    <x v="4"/>
    <x v="176"/>
    <x v="3"/>
    <n v="22.164000000000001"/>
    <n v="465.44400000000002"/>
    <d v="2019-03-23T00:00:00"/>
    <d v="1899-12-30T19:16:00"/>
    <s v="Ewallet"/>
    <n v="443.28"/>
    <n v="4.7619047620000003"/>
    <x v="177"/>
    <n v="4.4000000000000004"/>
  </r>
  <r>
    <s v="342-65-4817"/>
    <s v="C"/>
    <s v="Naypyidaw"/>
    <x v="0"/>
    <x v="1"/>
    <x v="0"/>
    <x v="177"/>
    <x v="6"/>
    <n v="13.02"/>
    <n v="273.42"/>
    <d v="2019-01-28T00:00:00"/>
    <d v="1899-12-30T16:47:00"/>
    <s v="Ewallet"/>
    <n v="260.39999999999998"/>
    <n v="4.7619047620000003"/>
    <x v="178"/>
    <n v="9.9"/>
  </r>
  <r>
    <s v="130-98-8941"/>
    <s v="C"/>
    <s v="Naypyidaw"/>
    <x v="1"/>
    <x v="1"/>
    <x v="5"/>
    <x v="178"/>
    <x v="0"/>
    <n v="22.491"/>
    <n v="472.31099999999998"/>
    <d v="2019-02-09T00:00:00"/>
    <d v="1899-12-30T10:00:00"/>
    <s v="Cash"/>
    <n v="449.82"/>
    <n v="4.7619047620000003"/>
    <x v="179"/>
    <n v="5.7"/>
  </r>
  <r>
    <s v="434-83-9547"/>
    <s v="C"/>
    <s v="Naypyidaw"/>
    <x v="0"/>
    <x v="1"/>
    <x v="4"/>
    <x v="179"/>
    <x v="2"/>
    <n v="15.388"/>
    <n v="323.14800000000002"/>
    <d v="2019-01-23T00:00:00"/>
    <d v="1899-12-30T11:51:00"/>
    <s v="Cash"/>
    <n v="307.76"/>
    <n v="4.7619047620000003"/>
    <x v="180"/>
    <n v="7.7"/>
  </r>
  <r>
    <s v="851-28-6367"/>
    <s v="A"/>
    <s v="Yangon"/>
    <x v="0"/>
    <x v="1"/>
    <x v="3"/>
    <x v="180"/>
    <x v="4"/>
    <n v="7.75"/>
    <n v="162.75"/>
    <d v="2019-03-23T00:00:00"/>
    <d v="1899-12-30T10:55:00"/>
    <s v="Ewallet"/>
    <n v="155"/>
    <n v="4.7619047620000003"/>
    <x v="181"/>
    <n v="8"/>
  </r>
  <r>
    <s v="824-88-3614"/>
    <s v="C"/>
    <s v="Naypyidaw"/>
    <x v="1"/>
    <x v="1"/>
    <x v="0"/>
    <x v="181"/>
    <x v="2"/>
    <n v="13.724"/>
    <n v="288.20400000000001"/>
    <d v="2019-01-25T00:00:00"/>
    <d v="1899-12-30T15:00:00"/>
    <s v="Ewallet"/>
    <n v="274.48"/>
    <n v="4.7619047620000003"/>
    <x v="182"/>
    <n v="5.7"/>
  </r>
  <r>
    <s v="586-25-0848"/>
    <s v="A"/>
    <s v="Yangon"/>
    <x v="1"/>
    <x v="0"/>
    <x v="3"/>
    <x v="182"/>
    <x v="0"/>
    <n v="4.319"/>
    <n v="90.698999999999998"/>
    <d v="2019-03-04T00:00:00"/>
    <d v="1899-12-30T11:19:00"/>
    <s v="Credit card"/>
    <n v="86.38"/>
    <n v="4.7619047620000003"/>
    <x v="183"/>
    <n v="6.7"/>
  </r>
  <r>
    <s v="895-66-0685"/>
    <s v="B"/>
    <s v="Mandalay"/>
    <x v="0"/>
    <x v="1"/>
    <x v="4"/>
    <x v="183"/>
    <x v="6"/>
    <n v="2.7120000000000002"/>
    <n v="56.951999999999998"/>
    <d v="2019-03-05T00:00:00"/>
    <d v="1899-12-30T19:46:00"/>
    <s v="Ewallet"/>
    <n v="54.24"/>
    <n v="4.7619047620000003"/>
    <x v="184"/>
    <n v="8"/>
  </r>
  <r>
    <s v="305-14-0245"/>
    <s v="B"/>
    <s v="Mandalay"/>
    <x v="0"/>
    <x v="0"/>
    <x v="2"/>
    <x v="184"/>
    <x v="2"/>
    <n v="37.795999999999999"/>
    <n v="793.71600000000001"/>
    <d v="2019-03-03T00:00:00"/>
    <d v="1899-12-30T19:00:00"/>
    <s v="Ewallet"/>
    <n v="755.92"/>
    <n v="4.7619047620000003"/>
    <x v="185"/>
    <n v="7.5"/>
  </r>
  <r>
    <s v="732-04-5373"/>
    <s v="B"/>
    <s v="Mandalay"/>
    <x v="0"/>
    <x v="1"/>
    <x v="2"/>
    <x v="185"/>
    <x v="7"/>
    <n v="9.2940000000000005"/>
    <n v="195.17400000000001"/>
    <d v="2019-02-08T00:00:00"/>
    <d v="1899-12-30T10:53:00"/>
    <s v="Cash"/>
    <n v="185.88"/>
    <n v="4.7619047620000003"/>
    <x v="186"/>
    <n v="7"/>
  </r>
  <r>
    <s v="400-60-7251"/>
    <s v="A"/>
    <s v="Yangon"/>
    <x v="1"/>
    <x v="1"/>
    <x v="2"/>
    <x v="186"/>
    <x v="8"/>
    <n v="3.7035"/>
    <n v="77.773499999999999"/>
    <d v="2019-02-10T00:00:00"/>
    <d v="1899-12-30T12:50:00"/>
    <s v="Ewallet"/>
    <n v="74.069999999999993"/>
    <n v="4.7619047620000003"/>
    <x v="187"/>
    <n v="9.9"/>
  </r>
  <r>
    <s v="593-65-1552"/>
    <s v="C"/>
    <s v="Naypyidaw"/>
    <x v="1"/>
    <x v="0"/>
    <x v="2"/>
    <x v="187"/>
    <x v="7"/>
    <n v="13.962"/>
    <n v="293.202"/>
    <d v="2019-01-28T00:00:00"/>
    <d v="1899-12-30T20:50:00"/>
    <s v="Credit card"/>
    <n v="279.24"/>
    <n v="4.7619047620000003"/>
    <x v="188"/>
    <n v="5.9"/>
  </r>
  <r>
    <s v="284-34-9626"/>
    <s v="B"/>
    <s v="Mandalay"/>
    <x v="1"/>
    <x v="0"/>
    <x v="2"/>
    <x v="188"/>
    <x v="6"/>
    <n v="11.555999999999999"/>
    <n v="242.67599999999999"/>
    <d v="2019-02-11T00:00:00"/>
    <d v="1899-12-30T10:39:00"/>
    <s v="Credit card"/>
    <n v="231.12"/>
    <n v="4.7619047620000003"/>
    <x v="189"/>
    <n v="7.2"/>
  </r>
  <r>
    <s v="437-58-8131"/>
    <s v="B"/>
    <s v="Mandalay"/>
    <x v="1"/>
    <x v="0"/>
    <x v="5"/>
    <x v="189"/>
    <x v="5"/>
    <n v="7.3520000000000003"/>
    <n v="154.392"/>
    <d v="2019-01-15T00:00:00"/>
    <d v="1899-12-30T13:41:00"/>
    <s v="Ewallet"/>
    <n v="147.04"/>
    <n v="4.7619047620000003"/>
    <x v="190"/>
    <n v="4.5999999999999996"/>
  </r>
  <r>
    <s v="286-43-6208"/>
    <s v="C"/>
    <s v="Naypyidaw"/>
    <x v="1"/>
    <x v="0"/>
    <x v="4"/>
    <x v="190"/>
    <x v="9"/>
    <n v="39.51"/>
    <n v="829.71"/>
    <d v="2019-03-16T00:00:00"/>
    <d v="1899-12-30T19:08:00"/>
    <s v="Cash"/>
    <n v="790.2"/>
    <n v="4.7619047620000003"/>
    <x v="191"/>
    <n v="9.1999999999999993"/>
  </r>
  <r>
    <s v="641-43-2399"/>
    <s v="B"/>
    <s v="Mandalay"/>
    <x v="1"/>
    <x v="1"/>
    <x v="2"/>
    <x v="191"/>
    <x v="7"/>
    <n v="5.1100000000000003"/>
    <n v="107.31"/>
    <d v="2019-01-26T00:00:00"/>
    <d v="1899-12-30T20:23:00"/>
    <s v="Ewallet"/>
    <n v="102.2"/>
    <n v="4.7619047620000003"/>
    <x v="192"/>
    <n v="5.7"/>
  </r>
  <r>
    <s v="831-07-6050"/>
    <s v="A"/>
    <s v="Yangon"/>
    <x v="1"/>
    <x v="1"/>
    <x v="1"/>
    <x v="192"/>
    <x v="1"/>
    <n v="8.1775000000000002"/>
    <n v="171.72749999999999"/>
    <d v="2019-03-19T00:00:00"/>
    <d v="1899-12-30T11:30:00"/>
    <s v="Credit card"/>
    <n v="163.55000000000001"/>
    <n v="4.7619047620000003"/>
    <x v="193"/>
    <n v="9.9"/>
  </r>
  <r>
    <s v="556-86-3144"/>
    <s v="C"/>
    <s v="Naypyidaw"/>
    <x v="0"/>
    <x v="0"/>
    <x v="5"/>
    <x v="193"/>
    <x v="8"/>
    <n v="3.7145000000000001"/>
    <n v="78.004499999999993"/>
    <d v="2019-01-13T00:00:00"/>
    <d v="1899-12-30T19:30:00"/>
    <s v="Cash"/>
    <n v="74.290000000000006"/>
    <n v="4.7619047620000003"/>
    <x v="194"/>
    <n v="5"/>
  </r>
  <r>
    <s v="848-24-9445"/>
    <s v="C"/>
    <s v="Naypyidaw"/>
    <x v="0"/>
    <x v="1"/>
    <x v="0"/>
    <x v="194"/>
    <x v="5"/>
    <n v="4.37"/>
    <n v="91.77"/>
    <d v="2019-03-26T00:00:00"/>
    <d v="1899-12-30T18:03:00"/>
    <s v="Cash"/>
    <n v="87.4"/>
    <n v="4.7619047620000003"/>
    <x v="195"/>
    <n v="4.9000000000000004"/>
  </r>
  <r>
    <s v="856-22-8149"/>
    <s v="A"/>
    <s v="Yangon"/>
    <x v="1"/>
    <x v="0"/>
    <x v="2"/>
    <x v="195"/>
    <x v="8"/>
    <n v="1.2645"/>
    <n v="26.554500000000001"/>
    <d v="2019-03-23T00:00:00"/>
    <d v="1899-12-30T10:13:00"/>
    <s v="Ewallet"/>
    <n v="25.29"/>
    <n v="4.7619047620000003"/>
    <x v="196"/>
    <n v="6.1"/>
  </r>
  <r>
    <s v="699-01-4164"/>
    <s v="C"/>
    <s v="Naypyidaw"/>
    <x v="1"/>
    <x v="1"/>
    <x v="0"/>
    <x v="196"/>
    <x v="7"/>
    <n v="8.3000000000000007"/>
    <n v="174.3"/>
    <d v="2019-03-12T00:00:00"/>
    <d v="1899-12-30T19:58:00"/>
    <s v="Credit card"/>
    <n v="166"/>
    <n v="4.7619047620000003"/>
    <x v="197"/>
    <n v="8.1999999999999993"/>
  </r>
  <r>
    <s v="420-11-4919"/>
    <s v="C"/>
    <s v="Naypyidaw"/>
    <x v="0"/>
    <x v="0"/>
    <x v="4"/>
    <x v="197"/>
    <x v="1"/>
    <n v="17.8475"/>
    <n v="374.79750000000001"/>
    <d v="2019-02-17T00:00:00"/>
    <d v="1899-12-30T19:57:00"/>
    <s v="Credit card"/>
    <n v="356.95"/>
    <n v="4.7619047620000003"/>
    <x v="198"/>
    <n v="5.5"/>
  </r>
  <r>
    <s v="606-80-4905"/>
    <s v="C"/>
    <s v="Naypyidaw"/>
    <x v="0"/>
    <x v="0"/>
    <x v="3"/>
    <x v="198"/>
    <x v="3"/>
    <n v="5.7450000000000001"/>
    <n v="120.645"/>
    <d v="2019-01-29T00:00:00"/>
    <d v="1899-12-30T10:01:00"/>
    <s v="Credit card"/>
    <n v="114.9"/>
    <n v="4.7619047620000003"/>
    <x v="199"/>
    <n v="6.8"/>
  </r>
  <r>
    <s v="542-41-0513"/>
    <s v="B"/>
    <s v="Mandalay"/>
    <x v="0"/>
    <x v="0"/>
    <x v="1"/>
    <x v="199"/>
    <x v="7"/>
    <n v="11.497999999999999"/>
    <n v="241.458"/>
    <d v="2019-03-15T00:00:00"/>
    <d v="1899-12-30T11:57:00"/>
    <s v="Cash"/>
    <n v="229.96"/>
    <n v="4.7619047620000003"/>
    <x v="200"/>
    <n v="6.6"/>
  </r>
  <r>
    <s v="426-39-2418"/>
    <s v="C"/>
    <s v="Naypyidaw"/>
    <x v="1"/>
    <x v="1"/>
    <x v="1"/>
    <x v="200"/>
    <x v="0"/>
    <n v="21.493500000000001"/>
    <n v="451.36349999999999"/>
    <d v="2019-01-14T00:00:00"/>
    <d v="1899-12-30T10:02:00"/>
    <s v="Cash"/>
    <n v="429.87"/>
    <n v="4.7619047620000003"/>
    <x v="201"/>
    <n v="9.8000000000000007"/>
  </r>
  <r>
    <s v="875-46-5808"/>
    <s v="B"/>
    <s v="Mandalay"/>
    <x v="0"/>
    <x v="1"/>
    <x v="0"/>
    <x v="201"/>
    <x v="4"/>
    <n v="12.95"/>
    <n v="271.95"/>
    <d v="2019-02-06T00:00:00"/>
    <d v="1899-12-30T14:51:00"/>
    <s v="Ewallet"/>
    <n v="259"/>
    <n v="4.7619047620000003"/>
    <x v="202"/>
    <n v="8.6999999999999993"/>
  </r>
  <r>
    <s v="394-43-4238"/>
    <s v="B"/>
    <s v="Mandalay"/>
    <x v="0"/>
    <x v="1"/>
    <x v="2"/>
    <x v="202"/>
    <x v="1"/>
    <n v="4.4424999999999999"/>
    <n v="93.292500000000004"/>
    <d v="2019-02-15T00:00:00"/>
    <d v="1899-12-30T12:42:00"/>
    <s v="Credit card"/>
    <n v="88.85"/>
    <n v="4.7619047620000003"/>
    <x v="203"/>
    <n v="5.4"/>
  </r>
  <r>
    <s v="749-24-1565"/>
    <s v="A"/>
    <s v="Yangon"/>
    <x v="1"/>
    <x v="0"/>
    <x v="0"/>
    <x v="203"/>
    <x v="9"/>
    <n v="10.3635"/>
    <n v="217.6335"/>
    <d v="2019-01-03T00:00:00"/>
    <d v="1899-12-30T12:02:00"/>
    <s v="Ewallet"/>
    <n v="207.27"/>
    <n v="4.7619047620000003"/>
    <x v="204"/>
    <n v="7.9"/>
  </r>
  <r>
    <s v="672-51-8681"/>
    <s v="C"/>
    <s v="Naypyidaw"/>
    <x v="0"/>
    <x v="0"/>
    <x v="1"/>
    <x v="204"/>
    <x v="9"/>
    <n v="29.9925"/>
    <n v="629.84249999999997"/>
    <d v="2019-01-04T00:00:00"/>
    <d v="1899-12-30T18:19:00"/>
    <s v="Credit card"/>
    <n v="599.85"/>
    <n v="4.7619047620000003"/>
    <x v="205"/>
    <n v="9.6999999999999993"/>
  </r>
  <r>
    <s v="263-87-5680"/>
    <s v="C"/>
    <s v="Naypyidaw"/>
    <x v="0"/>
    <x v="0"/>
    <x v="2"/>
    <x v="205"/>
    <x v="4"/>
    <n v="14.265000000000001"/>
    <n v="299.565"/>
    <d v="2019-03-18T00:00:00"/>
    <d v="1899-12-30T17:38:00"/>
    <s v="Ewallet"/>
    <n v="285.3"/>
    <n v="4.7619047620000003"/>
    <x v="206"/>
    <n v="7.8"/>
  </r>
  <r>
    <s v="573-58-9734"/>
    <s v="B"/>
    <s v="Mandalay"/>
    <x v="1"/>
    <x v="0"/>
    <x v="5"/>
    <x v="206"/>
    <x v="6"/>
    <n v="4.5555000000000003"/>
    <n v="95.665499999999994"/>
    <d v="2019-03-28T00:00:00"/>
    <d v="1899-12-30T13:41:00"/>
    <s v="Ewallet"/>
    <n v="91.11"/>
    <n v="4.7619047620000003"/>
    <x v="207"/>
    <n v="5.0999999999999996"/>
  </r>
  <r>
    <s v="817-69-8206"/>
    <s v="B"/>
    <s v="Mandalay"/>
    <x v="1"/>
    <x v="0"/>
    <x v="1"/>
    <x v="207"/>
    <x v="9"/>
    <n v="44.878500000000003"/>
    <n v="942.44849999999997"/>
    <d v="2019-03-02T00:00:00"/>
    <d v="1899-12-30T19:42:00"/>
    <s v="Credit card"/>
    <n v="897.57"/>
    <n v="4.7619047620000003"/>
    <x v="208"/>
    <n v="6.5"/>
  </r>
  <r>
    <s v="888-02-0338"/>
    <s v="A"/>
    <s v="Yangon"/>
    <x v="1"/>
    <x v="1"/>
    <x v="1"/>
    <x v="208"/>
    <x v="9"/>
    <n v="11.8035"/>
    <n v="247.87350000000001"/>
    <d v="2019-01-25T00:00:00"/>
    <d v="1899-12-30T20:24:00"/>
    <s v="Ewallet"/>
    <n v="236.07"/>
    <n v="4.7619047620000003"/>
    <x v="209"/>
    <n v="5.9"/>
  </r>
  <r>
    <s v="677-11-0152"/>
    <s v="C"/>
    <s v="Naypyidaw"/>
    <x v="1"/>
    <x v="0"/>
    <x v="4"/>
    <x v="209"/>
    <x v="9"/>
    <n v="41.966999999999999"/>
    <n v="881.30700000000002"/>
    <d v="2019-01-16T00:00:00"/>
    <d v="1899-12-30T18:08:00"/>
    <s v="Cash"/>
    <n v="839.34"/>
    <n v="4.7619047620000003"/>
    <x v="210"/>
    <n v="8.8000000000000007"/>
  </r>
  <r>
    <s v="142-63-6033"/>
    <s v="B"/>
    <s v="Mandalay"/>
    <x v="1"/>
    <x v="1"/>
    <x v="2"/>
    <x v="210"/>
    <x v="1"/>
    <n v="23.09"/>
    <n v="484.89"/>
    <d v="2019-03-20T00:00:00"/>
    <d v="1899-12-30T19:17:00"/>
    <s v="Ewallet"/>
    <n v="461.8"/>
    <n v="4.7619047620000003"/>
    <x v="211"/>
    <n v="4.9000000000000004"/>
  </r>
  <r>
    <s v="656-16-1063"/>
    <s v="B"/>
    <s v="Mandalay"/>
    <x v="1"/>
    <x v="1"/>
    <x v="3"/>
    <x v="211"/>
    <x v="6"/>
    <n v="6.9630000000000001"/>
    <n v="146.22300000000001"/>
    <d v="2019-01-04T00:00:00"/>
    <d v="1899-12-30T13:24:00"/>
    <s v="Credit card"/>
    <n v="139.26"/>
    <n v="4.7619047620000003"/>
    <x v="212"/>
    <n v="4.4000000000000004"/>
  </r>
  <r>
    <s v="891-58-8335"/>
    <s v="B"/>
    <s v="Mandalay"/>
    <x v="0"/>
    <x v="0"/>
    <x v="3"/>
    <x v="212"/>
    <x v="0"/>
    <n v="10.3635"/>
    <n v="217.6335"/>
    <d v="2019-03-11T00:00:00"/>
    <d v="1899-12-30T15:53:00"/>
    <s v="Cash"/>
    <n v="207.27"/>
    <n v="4.7619047620000003"/>
    <x v="204"/>
    <n v="6.5"/>
  </r>
  <r>
    <s v="802-43-8934"/>
    <s v="A"/>
    <s v="Yangon"/>
    <x v="1"/>
    <x v="1"/>
    <x v="2"/>
    <x v="213"/>
    <x v="8"/>
    <n v="0.91400000000000003"/>
    <n v="19.193999999999999"/>
    <d v="2019-03-22T00:00:00"/>
    <d v="1899-12-30T15:05:00"/>
    <s v="Credit card"/>
    <n v="18.28"/>
    <n v="4.7619047620000003"/>
    <x v="213"/>
    <n v="8.3000000000000007"/>
  </r>
  <r>
    <s v="560-30-5617"/>
    <s v="B"/>
    <s v="Mandalay"/>
    <x v="1"/>
    <x v="0"/>
    <x v="3"/>
    <x v="214"/>
    <x v="1"/>
    <n v="6.1924999999999999"/>
    <n v="130.04249999999999"/>
    <d v="2019-03-24T00:00:00"/>
    <d v="1899-12-30T18:27:00"/>
    <s v="Cash"/>
    <n v="123.85"/>
    <n v="4.7619047620000003"/>
    <x v="214"/>
    <n v="8.5"/>
  </r>
  <r>
    <s v="319-74-2561"/>
    <s v="A"/>
    <s v="Yangon"/>
    <x v="0"/>
    <x v="0"/>
    <x v="1"/>
    <x v="215"/>
    <x v="6"/>
    <n v="14.196"/>
    <n v="298.11599999999999"/>
    <d v="2019-02-21T00:00:00"/>
    <d v="1899-12-30T16:55:00"/>
    <s v="Cash"/>
    <n v="283.92"/>
    <n v="4.7619047620000003"/>
    <x v="215"/>
    <n v="5.5"/>
  </r>
  <r>
    <s v="549-03-9315"/>
    <s v="B"/>
    <s v="Mandalay"/>
    <x v="1"/>
    <x v="1"/>
    <x v="5"/>
    <x v="216"/>
    <x v="2"/>
    <n v="37.948"/>
    <n v="796.90800000000002"/>
    <d v="2019-02-12T00:00:00"/>
    <d v="1899-12-30T12:58:00"/>
    <s v="Ewallet"/>
    <n v="758.96"/>
    <n v="4.7619047620000003"/>
    <x v="216"/>
    <n v="8.6999999999999993"/>
  </r>
  <r>
    <s v="790-29-1172"/>
    <s v="B"/>
    <s v="Mandalay"/>
    <x v="1"/>
    <x v="0"/>
    <x v="4"/>
    <x v="217"/>
    <x v="6"/>
    <n v="8.6010000000000009"/>
    <n v="180.62100000000001"/>
    <d v="2019-03-10T00:00:00"/>
    <d v="1899-12-30T18:59:00"/>
    <s v="Credit card"/>
    <n v="172.02"/>
    <n v="4.7619047620000003"/>
    <x v="217"/>
    <n v="7.9"/>
  </r>
  <r>
    <s v="239-36-3640"/>
    <s v="B"/>
    <s v="Mandalay"/>
    <x v="1"/>
    <x v="1"/>
    <x v="1"/>
    <x v="218"/>
    <x v="3"/>
    <n v="13.605"/>
    <n v="285.70499999999998"/>
    <d v="2019-01-31T00:00:00"/>
    <d v="1899-12-30T13:44:00"/>
    <s v="Ewallet"/>
    <n v="272.10000000000002"/>
    <n v="4.7619047620000003"/>
    <x v="218"/>
    <n v="6.1"/>
  </r>
  <r>
    <s v="468-01-2051"/>
    <s v="B"/>
    <s v="Mandalay"/>
    <x v="1"/>
    <x v="1"/>
    <x v="4"/>
    <x v="219"/>
    <x v="0"/>
    <n v="21.728000000000002"/>
    <n v="456.28800000000001"/>
    <d v="2019-03-06T00:00:00"/>
    <d v="1899-12-30T13:46:00"/>
    <s v="Ewallet"/>
    <n v="434.56"/>
    <n v="4.7619047620000003"/>
    <x v="219"/>
    <n v="5.4"/>
  </r>
  <r>
    <s v="389-25-3394"/>
    <s v="C"/>
    <s v="Naypyidaw"/>
    <x v="1"/>
    <x v="1"/>
    <x v="1"/>
    <x v="220"/>
    <x v="1"/>
    <n v="2.9525000000000001"/>
    <n v="62.002499999999998"/>
    <d v="2019-02-17T00:00:00"/>
    <d v="1899-12-30T18:06:00"/>
    <s v="Cash"/>
    <n v="59.05"/>
    <n v="4.7619047620000003"/>
    <x v="220"/>
    <n v="9.4"/>
  </r>
  <r>
    <s v="279-62-1445"/>
    <s v="C"/>
    <s v="Naypyidaw"/>
    <x v="0"/>
    <x v="0"/>
    <x v="5"/>
    <x v="221"/>
    <x v="8"/>
    <n v="0.627"/>
    <n v="13.167"/>
    <d v="2019-02-21T00:00:00"/>
    <d v="1899-12-30T12:38:00"/>
    <s v="Cash"/>
    <n v="12.54"/>
    <n v="4.7619047620000003"/>
    <x v="221"/>
    <n v="8.1999999999999993"/>
  </r>
  <r>
    <s v="213-72-6612"/>
    <s v="A"/>
    <s v="Yangon"/>
    <x v="1"/>
    <x v="1"/>
    <x v="4"/>
    <x v="222"/>
    <x v="5"/>
    <n v="4.3250000000000002"/>
    <n v="90.825000000000003"/>
    <d v="2019-03-20T00:00:00"/>
    <d v="1899-12-30T15:56:00"/>
    <s v="Cash"/>
    <n v="86.5"/>
    <n v="4.7619047620000003"/>
    <x v="222"/>
    <n v="6.2"/>
  </r>
  <r>
    <s v="746-68-6593"/>
    <s v="C"/>
    <s v="Naypyidaw"/>
    <x v="0"/>
    <x v="0"/>
    <x v="3"/>
    <x v="223"/>
    <x v="5"/>
    <n v="8.7159999999999993"/>
    <n v="183.036"/>
    <d v="2019-01-11T00:00:00"/>
    <d v="1899-12-30T14:29:00"/>
    <s v="Credit card"/>
    <n v="174.32"/>
    <n v="4.7619047620000003"/>
    <x v="223"/>
    <n v="9.6999999999999993"/>
  </r>
  <r>
    <s v="836-82-5858"/>
    <s v="B"/>
    <s v="Mandalay"/>
    <x v="0"/>
    <x v="1"/>
    <x v="0"/>
    <x v="224"/>
    <x v="9"/>
    <n v="31.2165"/>
    <n v="655.54650000000004"/>
    <d v="2019-01-26T00:00:00"/>
    <d v="1899-12-30T19:14:00"/>
    <s v="Ewallet"/>
    <n v="624.33000000000004"/>
    <n v="4.7619047620000003"/>
    <x v="224"/>
    <n v="4"/>
  </r>
  <r>
    <s v="583-72-1480"/>
    <s v="C"/>
    <s v="Naypyidaw"/>
    <x v="0"/>
    <x v="1"/>
    <x v="1"/>
    <x v="225"/>
    <x v="7"/>
    <n v="7.4119999999999999"/>
    <n v="155.65199999999999"/>
    <d v="2019-01-31T00:00:00"/>
    <d v="1899-12-30T16:24:00"/>
    <s v="Ewallet"/>
    <n v="148.24"/>
    <n v="4.7619047620000003"/>
    <x v="225"/>
    <n v="9.6999999999999993"/>
  </r>
  <r>
    <s v="466-61-5506"/>
    <s v="B"/>
    <s v="Mandalay"/>
    <x v="0"/>
    <x v="0"/>
    <x v="1"/>
    <x v="226"/>
    <x v="3"/>
    <n v="27.21"/>
    <n v="571.41"/>
    <d v="2019-02-26T00:00:00"/>
    <d v="1899-12-30T10:52:00"/>
    <s v="Cash"/>
    <n v="544.20000000000005"/>
    <n v="4.7619047620000003"/>
    <x v="226"/>
    <n v="5.3"/>
  </r>
  <r>
    <s v="721-86-6247"/>
    <s v="A"/>
    <s v="Yangon"/>
    <x v="1"/>
    <x v="0"/>
    <x v="2"/>
    <x v="227"/>
    <x v="2"/>
    <n v="25.367999999999999"/>
    <n v="532.72799999999995"/>
    <d v="2019-03-11T00:00:00"/>
    <d v="1899-12-30T12:55:00"/>
    <s v="Ewallet"/>
    <n v="507.36"/>
    <n v="4.7619047620000003"/>
    <x v="227"/>
    <n v="7.4"/>
  </r>
  <r>
    <s v="289-65-5721"/>
    <s v="B"/>
    <s v="Mandalay"/>
    <x v="1"/>
    <x v="0"/>
    <x v="5"/>
    <x v="228"/>
    <x v="5"/>
    <n v="8.1370000000000005"/>
    <n v="170.87700000000001"/>
    <d v="2019-01-26T00:00:00"/>
    <d v="1899-12-30T19:28:00"/>
    <s v="Cash"/>
    <n v="162.74"/>
    <n v="4.7619047620000003"/>
    <x v="228"/>
    <n v="6.5"/>
  </r>
  <r>
    <s v="545-46-3100"/>
    <s v="B"/>
    <s v="Mandalay"/>
    <x v="0"/>
    <x v="0"/>
    <x v="1"/>
    <x v="229"/>
    <x v="6"/>
    <n v="1.5885"/>
    <n v="33.358499999999999"/>
    <d v="2019-03-12T00:00:00"/>
    <d v="1899-12-30T13:52:00"/>
    <s v="Credit card"/>
    <n v="31.77"/>
    <n v="4.7619047620000003"/>
    <x v="229"/>
    <n v="8.6999999999999993"/>
  </r>
  <r>
    <s v="418-02-5978"/>
    <s v="B"/>
    <s v="Mandalay"/>
    <x v="1"/>
    <x v="0"/>
    <x v="0"/>
    <x v="230"/>
    <x v="9"/>
    <n v="37.840499999999999"/>
    <n v="794.65049999999997"/>
    <d v="2019-02-11T00:00:00"/>
    <d v="1899-12-30T10:54:00"/>
    <s v="Cash"/>
    <n v="756.81"/>
    <n v="4.7619047620000003"/>
    <x v="230"/>
    <n v="8"/>
  </r>
  <r>
    <s v="269-04-5750"/>
    <s v="B"/>
    <s v="Mandalay"/>
    <x v="0"/>
    <x v="1"/>
    <x v="5"/>
    <x v="231"/>
    <x v="7"/>
    <n v="14.763999999999999"/>
    <n v="310.04399999999998"/>
    <d v="2019-02-21T00:00:00"/>
    <d v="1899-12-30T18:31:00"/>
    <s v="Cash"/>
    <n v="295.27999999999997"/>
    <n v="4.7619047620000003"/>
    <x v="231"/>
    <n v="6.7"/>
  </r>
  <r>
    <s v="157-13-5295"/>
    <s v="A"/>
    <s v="Yangon"/>
    <x v="0"/>
    <x v="1"/>
    <x v="0"/>
    <x v="232"/>
    <x v="4"/>
    <n v="25.97"/>
    <n v="545.37"/>
    <d v="2019-03-09T00:00:00"/>
    <d v="1899-12-30T18:24:00"/>
    <s v="Ewallet"/>
    <n v="519.4"/>
    <n v="4.7619047620000003"/>
    <x v="232"/>
    <n v="6.5"/>
  </r>
  <r>
    <s v="645-78-8093"/>
    <s v="A"/>
    <s v="Yangon"/>
    <x v="1"/>
    <x v="0"/>
    <x v="3"/>
    <x v="233"/>
    <x v="5"/>
    <n v="9.3140000000000001"/>
    <n v="195.59399999999999"/>
    <d v="2019-01-20T00:00:00"/>
    <d v="1899-12-30T18:09:00"/>
    <s v="Ewallet"/>
    <n v="186.28"/>
    <n v="4.7619047620000003"/>
    <x v="233"/>
    <n v="4.0999999999999996"/>
  </r>
  <r>
    <s v="211-30-9270"/>
    <s v="C"/>
    <s v="Naypyidaw"/>
    <x v="1"/>
    <x v="1"/>
    <x v="0"/>
    <x v="234"/>
    <x v="1"/>
    <n v="4.3525"/>
    <n v="91.402500000000003"/>
    <d v="2019-01-28T00:00:00"/>
    <d v="1899-12-30T15:16:00"/>
    <s v="Credit card"/>
    <n v="87.05"/>
    <n v="4.7619047620000003"/>
    <x v="234"/>
    <n v="4.9000000000000004"/>
  </r>
  <r>
    <s v="755-12-3214"/>
    <s v="C"/>
    <s v="Naypyidaw"/>
    <x v="0"/>
    <x v="0"/>
    <x v="5"/>
    <x v="235"/>
    <x v="1"/>
    <n v="11.055"/>
    <n v="232.155"/>
    <d v="2019-03-05T00:00:00"/>
    <d v="1899-12-30T17:07:00"/>
    <s v="Credit card"/>
    <n v="221.1"/>
    <n v="4.7619047620000003"/>
    <x v="235"/>
    <n v="8.6"/>
  </r>
  <r>
    <s v="346-84-3103"/>
    <s v="B"/>
    <s v="Mandalay"/>
    <x v="0"/>
    <x v="0"/>
    <x v="1"/>
    <x v="236"/>
    <x v="1"/>
    <n v="3.3050000000000002"/>
    <n v="69.405000000000001"/>
    <d v="2019-03-02T00:00:00"/>
    <d v="1899-12-30T19:26:00"/>
    <s v="Cash"/>
    <n v="66.099999999999994"/>
    <n v="4.7619047620000003"/>
    <x v="236"/>
    <n v="4.3"/>
  </r>
  <r>
    <s v="478-06-7835"/>
    <s v="A"/>
    <s v="Yangon"/>
    <x v="1"/>
    <x v="1"/>
    <x v="5"/>
    <x v="237"/>
    <x v="8"/>
    <n v="4.4844999999999997"/>
    <n v="94.174499999999995"/>
    <d v="2019-01-11T00:00:00"/>
    <d v="1899-12-30T11:20:00"/>
    <s v="Ewallet"/>
    <n v="89.69"/>
    <n v="4.7619047620000003"/>
    <x v="237"/>
    <n v="4.9000000000000004"/>
  </r>
  <r>
    <s v="540-11-4336"/>
    <s v="A"/>
    <s v="Yangon"/>
    <x v="1"/>
    <x v="1"/>
    <x v="4"/>
    <x v="238"/>
    <x v="9"/>
    <n v="11.223000000000001"/>
    <n v="235.68299999999999"/>
    <d v="2019-01-11T00:00:00"/>
    <d v="1899-12-30T16:49:00"/>
    <s v="Credit card"/>
    <n v="224.46"/>
    <n v="4.7619047620000003"/>
    <x v="238"/>
    <n v="5.6"/>
  </r>
  <r>
    <s v="448-81-5016"/>
    <s v="A"/>
    <s v="Yangon"/>
    <x v="1"/>
    <x v="1"/>
    <x v="0"/>
    <x v="239"/>
    <x v="5"/>
    <n v="5.9770000000000003"/>
    <n v="125.517"/>
    <d v="2019-03-11T00:00:00"/>
    <d v="1899-12-30T12:01:00"/>
    <s v="Credit card"/>
    <n v="119.54"/>
    <n v="4.7619047620000003"/>
    <x v="239"/>
    <n v="5.8"/>
  </r>
  <r>
    <s v="142-72-4741"/>
    <s v="C"/>
    <s v="Naypyidaw"/>
    <x v="0"/>
    <x v="1"/>
    <x v="5"/>
    <x v="240"/>
    <x v="5"/>
    <n v="9.32"/>
    <n v="195.72"/>
    <d v="2019-02-28T00:00:00"/>
    <d v="1899-12-30T18:37:00"/>
    <s v="Credit card"/>
    <n v="186.4"/>
    <n v="4.7619047620000003"/>
    <x v="240"/>
    <n v="6"/>
  </r>
  <r>
    <s v="217-58-1179"/>
    <s v="A"/>
    <s v="Yangon"/>
    <x v="0"/>
    <x v="1"/>
    <x v="2"/>
    <x v="241"/>
    <x v="7"/>
    <n v="12.53"/>
    <n v="263.13"/>
    <d v="2019-01-05T00:00:00"/>
    <d v="1899-12-30T11:25:00"/>
    <s v="Cash"/>
    <n v="250.6"/>
    <n v="4.7619047620000003"/>
    <x v="241"/>
    <n v="4.2"/>
  </r>
  <r>
    <s v="376-02-8238"/>
    <s v="B"/>
    <s v="Mandalay"/>
    <x v="1"/>
    <x v="1"/>
    <x v="2"/>
    <x v="242"/>
    <x v="2"/>
    <n v="37.548000000000002"/>
    <n v="788.50800000000004"/>
    <d v="2019-02-02T00:00:00"/>
    <d v="1899-12-30T18:42:00"/>
    <s v="Credit card"/>
    <n v="750.96"/>
    <n v="4.7619047620000003"/>
    <x v="242"/>
    <n v="8.3000000000000007"/>
  </r>
  <r>
    <s v="530-90-9855"/>
    <s v="A"/>
    <s v="Yangon"/>
    <x v="0"/>
    <x v="1"/>
    <x v="2"/>
    <x v="243"/>
    <x v="2"/>
    <n v="19.036000000000001"/>
    <n v="399.75599999999997"/>
    <d v="2019-01-01T00:00:00"/>
    <d v="1899-12-30T14:47:00"/>
    <s v="Cash"/>
    <n v="380.72"/>
    <n v="4.7619047620000003"/>
    <x v="243"/>
    <n v="5.7"/>
  </r>
  <r>
    <s v="866-05-7563"/>
    <s v="B"/>
    <s v="Mandalay"/>
    <x v="0"/>
    <x v="0"/>
    <x v="1"/>
    <x v="244"/>
    <x v="6"/>
    <n v="12.21"/>
    <n v="256.41000000000003"/>
    <d v="2019-02-09T00:00:00"/>
    <d v="1899-12-30T19:43:00"/>
    <s v="Cash"/>
    <n v="244.2"/>
    <n v="4.7619047620000003"/>
    <x v="244"/>
    <n v="4.8"/>
  </r>
  <r>
    <s v="604-70-6476"/>
    <s v="A"/>
    <s v="Yangon"/>
    <x v="0"/>
    <x v="1"/>
    <x v="5"/>
    <x v="245"/>
    <x v="1"/>
    <n v="4.4850000000000003"/>
    <n v="94.185000000000002"/>
    <d v="2019-01-23T00:00:00"/>
    <d v="1899-12-30T14:04:00"/>
    <s v="Ewallet"/>
    <n v="89.7"/>
    <n v="4.7619047620000003"/>
    <x v="245"/>
    <n v="6.8"/>
  </r>
  <r>
    <s v="799-71-1548"/>
    <s v="A"/>
    <s v="Yangon"/>
    <x v="0"/>
    <x v="1"/>
    <x v="1"/>
    <x v="246"/>
    <x v="7"/>
    <n v="15.544"/>
    <n v="326.42399999999998"/>
    <d v="2019-01-07T00:00:00"/>
    <d v="1899-12-30T16:11:00"/>
    <s v="Credit card"/>
    <n v="310.88"/>
    <n v="4.7619047620000003"/>
    <x v="246"/>
    <n v="8.8000000000000007"/>
  </r>
  <r>
    <s v="785-13-7708"/>
    <s v="B"/>
    <s v="Mandalay"/>
    <x v="1"/>
    <x v="1"/>
    <x v="4"/>
    <x v="247"/>
    <x v="0"/>
    <n v="25.571000000000002"/>
    <n v="536.99099999999999"/>
    <d v="2019-01-14T00:00:00"/>
    <d v="1899-12-30T19:06:00"/>
    <s v="Credit card"/>
    <n v="511.42"/>
    <n v="4.7619047620000003"/>
    <x v="247"/>
    <n v="4.2"/>
  </r>
  <r>
    <s v="845-51-0542"/>
    <s v="B"/>
    <s v="Mandalay"/>
    <x v="0"/>
    <x v="1"/>
    <x v="4"/>
    <x v="248"/>
    <x v="9"/>
    <n v="20.947500000000002"/>
    <n v="439.89749999999998"/>
    <d v="2019-02-02T00:00:00"/>
    <d v="1899-12-30T15:34:00"/>
    <s v="Ewallet"/>
    <n v="418.95"/>
    <n v="4.7619047620000003"/>
    <x v="248"/>
    <n v="6.4"/>
  </r>
  <r>
    <s v="662-47-5456"/>
    <s v="C"/>
    <s v="Naypyidaw"/>
    <x v="0"/>
    <x v="1"/>
    <x v="5"/>
    <x v="249"/>
    <x v="4"/>
    <n v="17.594999999999999"/>
    <n v="369.495"/>
    <d v="2019-03-17T00:00:00"/>
    <d v="1899-12-30T19:06:00"/>
    <s v="Credit card"/>
    <n v="351.9"/>
    <n v="4.7619047620000003"/>
    <x v="249"/>
    <n v="8.4"/>
  </r>
  <r>
    <s v="883-17-4236"/>
    <s v="C"/>
    <s v="Naypyidaw"/>
    <x v="1"/>
    <x v="0"/>
    <x v="3"/>
    <x v="250"/>
    <x v="5"/>
    <n v="1.4390000000000001"/>
    <n v="30.219000000000001"/>
    <d v="2019-03-02T00:00:00"/>
    <d v="1899-12-30T19:44:00"/>
    <s v="Credit card"/>
    <n v="28.78"/>
    <n v="4.7619047620000003"/>
    <x v="250"/>
    <n v="7.2"/>
  </r>
  <r>
    <s v="290-68-2984"/>
    <s v="A"/>
    <s v="Yangon"/>
    <x v="1"/>
    <x v="1"/>
    <x v="2"/>
    <x v="251"/>
    <x v="7"/>
    <n v="4.75"/>
    <n v="99.75"/>
    <d v="2019-03-16T00:00:00"/>
    <d v="1899-12-30T11:22:00"/>
    <s v="Cash"/>
    <n v="95"/>
    <n v="4.7619047620000003"/>
    <x v="251"/>
    <n v="5.2"/>
  </r>
  <r>
    <s v="704-11-6354"/>
    <s v="A"/>
    <s v="Yangon"/>
    <x v="0"/>
    <x v="1"/>
    <x v="2"/>
    <x v="252"/>
    <x v="2"/>
    <n v="23.56"/>
    <n v="494.76"/>
    <d v="2019-01-06T00:00:00"/>
    <d v="1899-12-30T11:23:00"/>
    <s v="Cash"/>
    <n v="471.2"/>
    <n v="4.7619047620000003"/>
    <x v="252"/>
    <n v="8.9"/>
  </r>
  <r>
    <s v="110-48-7033"/>
    <s v="B"/>
    <s v="Mandalay"/>
    <x v="0"/>
    <x v="1"/>
    <x v="5"/>
    <x v="253"/>
    <x v="7"/>
    <n v="6.524"/>
    <n v="137.00399999999999"/>
    <d v="2019-01-29T00:00:00"/>
    <d v="1899-12-30T14:12:00"/>
    <s v="Cash"/>
    <n v="130.47999999999999"/>
    <n v="4.7619047620000003"/>
    <x v="253"/>
    <n v="9"/>
  </r>
  <r>
    <s v="366-93-0948"/>
    <s v="A"/>
    <s v="Yangon"/>
    <x v="0"/>
    <x v="1"/>
    <x v="1"/>
    <x v="254"/>
    <x v="8"/>
    <n v="3.3174999999999999"/>
    <n v="69.667500000000004"/>
    <d v="2019-01-31T00:00:00"/>
    <d v="1899-12-30T10:46:00"/>
    <s v="Credit card"/>
    <n v="66.349999999999994"/>
    <n v="4.7619047620000003"/>
    <x v="254"/>
    <n v="9.6999999999999993"/>
  </r>
  <r>
    <s v="729-09-9681"/>
    <s v="A"/>
    <s v="Yangon"/>
    <x v="0"/>
    <x v="1"/>
    <x v="2"/>
    <x v="255"/>
    <x v="3"/>
    <n v="7.7729999999999997"/>
    <n v="163.233"/>
    <d v="2019-02-05T00:00:00"/>
    <d v="1899-12-30T10:16:00"/>
    <s v="Ewallet"/>
    <n v="155.46"/>
    <n v="4.7619047620000003"/>
    <x v="255"/>
    <n v="8.6999999999999993"/>
  </r>
  <r>
    <s v="151-16-1484"/>
    <s v="A"/>
    <s v="Yangon"/>
    <x v="0"/>
    <x v="1"/>
    <x v="1"/>
    <x v="125"/>
    <x v="7"/>
    <n v="6.45"/>
    <n v="135.44999999999999"/>
    <d v="2019-02-13T00:00:00"/>
    <d v="1899-12-30T12:38:00"/>
    <s v="Ewallet"/>
    <n v="129"/>
    <n v="4.7619047620000003"/>
    <x v="256"/>
    <n v="6.5"/>
  </r>
  <r>
    <s v="380-94-4661"/>
    <s v="C"/>
    <s v="Naypyidaw"/>
    <x v="0"/>
    <x v="1"/>
    <x v="1"/>
    <x v="256"/>
    <x v="7"/>
    <n v="13.188000000000001"/>
    <n v="276.94799999999998"/>
    <d v="2019-02-07T00:00:00"/>
    <d v="1899-12-30T13:05:00"/>
    <s v="Credit card"/>
    <n v="263.76"/>
    <n v="4.7619047620000003"/>
    <x v="257"/>
    <n v="6.9"/>
  </r>
  <r>
    <s v="850-41-9669"/>
    <s v="A"/>
    <s v="Yangon"/>
    <x v="1"/>
    <x v="0"/>
    <x v="1"/>
    <x v="257"/>
    <x v="9"/>
    <n v="33.777000000000001"/>
    <n v="709.31700000000001"/>
    <d v="2019-03-19T00:00:00"/>
    <d v="1899-12-30T13:25:00"/>
    <s v="Ewallet"/>
    <n v="675.54"/>
    <n v="4.7619047620000003"/>
    <x v="258"/>
    <n v="6.2"/>
  </r>
  <r>
    <s v="821-07-3596"/>
    <s v="C"/>
    <s v="Naypyidaw"/>
    <x v="1"/>
    <x v="0"/>
    <x v="5"/>
    <x v="258"/>
    <x v="7"/>
    <n v="3.29"/>
    <n v="69.09"/>
    <d v="2019-03-07T00:00:00"/>
    <d v="1899-12-30T14:53:00"/>
    <s v="Ewallet"/>
    <n v="65.8"/>
    <n v="4.7619047620000003"/>
    <x v="259"/>
    <n v="5.6"/>
  </r>
  <r>
    <s v="655-85-5130"/>
    <s v="B"/>
    <s v="Mandalay"/>
    <x v="0"/>
    <x v="0"/>
    <x v="5"/>
    <x v="259"/>
    <x v="7"/>
    <n v="7.66"/>
    <n v="160.86000000000001"/>
    <d v="2019-03-13T00:00:00"/>
    <d v="1899-12-30T19:22:00"/>
    <s v="Cash"/>
    <n v="153.19999999999999"/>
    <n v="4.7619047620000003"/>
    <x v="260"/>
    <n v="5.7"/>
  </r>
  <r>
    <s v="447-15-7839"/>
    <s v="A"/>
    <s v="Yangon"/>
    <x v="0"/>
    <x v="0"/>
    <x v="3"/>
    <x v="260"/>
    <x v="4"/>
    <n v="11.12"/>
    <n v="233.52"/>
    <d v="2019-02-09T00:00:00"/>
    <d v="1899-12-30T11:00:00"/>
    <s v="Cash"/>
    <n v="222.4"/>
    <n v="4.7619047620000003"/>
    <x v="261"/>
    <n v="4.2"/>
  </r>
  <r>
    <s v="154-74-7179"/>
    <s v="B"/>
    <s v="Mandalay"/>
    <x v="1"/>
    <x v="1"/>
    <x v="3"/>
    <x v="261"/>
    <x v="8"/>
    <n v="2.7225000000000001"/>
    <n v="57.172499999999999"/>
    <d v="2019-02-26T00:00:00"/>
    <d v="1899-12-30T19:24:00"/>
    <s v="Ewallet"/>
    <n v="54.45"/>
    <n v="4.7619047620000003"/>
    <x v="262"/>
    <n v="7.9"/>
  </r>
  <r>
    <s v="253-12-6086"/>
    <s v="A"/>
    <s v="Yangon"/>
    <x v="0"/>
    <x v="0"/>
    <x v="3"/>
    <x v="262"/>
    <x v="0"/>
    <n v="34.44"/>
    <n v="723.24"/>
    <d v="2019-03-12T00:00:00"/>
    <d v="1899-12-30T12:43:00"/>
    <s v="Credit card"/>
    <n v="688.8"/>
    <n v="4.7619047620000003"/>
    <x v="263"/>
    <n v="8.6999999999999993"/>
  </r>
  <r>
    <s v="808-65-0703"/>
    <s v="C"/>
    <s v="Naypyidaw"/>
    <x v="1"/>
    <x v="1"/>
    <x v="2"/>
    <x v="263"/>
    <x v="7"/>
    <n v="7.0940000000000003"/>
    <n v="148.97399999999999"/>
    <d v="2019-03-14T00:00:00"/>
    <d v="1899-12-30T17:22:00"/>
    <s v="Credit card"/>
    <n v="141.88"/>
    <n v="4.7619047620000003"/>
    <x v="264"/>
    <n v="6.9"/>
  </r>
  <r>
    <s v="571-94-0759"/>
    <s v="B"/>
    <s v="Mandalay"/>
    <x v="0"/>
    <x v="0"/>
    <x v="4"/>
    <x v="264"/>
    <x v="4"/>
    <n v="37.299999999999997"/>
    <n v="783.3"/>
    <d v="2019-01-08T00:00:00"/>
    <d v="1899-12-30T20:55:00"/>
    <s v="Cash"/>
    <n v="746"/>
    <n v="4.7619047620000003"/>
    <x v="265"/>
    <n v="9.5"/>
  </r>
  <r>
    <s v="144-51-6085"/>
    <s v="A"/>
    <s v="Yangon"/>
    <x v="0"/>
    <x v="1"/>
    <x v="2"/>
    <x v="265"/>
    <x v="7"/>
    <n v="14.148"/>
    <n v="297.108"/>
    <d v="2019-01-05T00:00:00"/>
    <d v="1899-12-30T16:05:00"/>
    <s v="Credit card"/>
    <n v="282.95999999999998"/>
    <n v="4.7619047620000003"/>
    <x v="266"/>
    <n v="4.4000000000000004"/>
  </r>
  <r>
    <s v="731-14-2199"/>
    <s v="A"/>
    <s v="Yangon"/>
    <x v="0"/>
    <x v="0"/>
    <x v="2"/>
    <x v="266"/>
    <x v="4"/>
    <n v="17.77"/>
    <n v="373.17"/>
    <d v="2019-01-04T00:00:00"/>
    <d v="1899-12-30T13:34:00"/>
    <s v="Ewallet"/>
    <n v="355.4"/>
    <n v="4.7619047620000003"/>
    <x v="267"/>
    <n v="7"/>
  </r>
  <r>
    <s v="783-09-1637"/>
    <s v="B"/>
    <s v="Mandalay"/>
    <x v="1"/>
    <x v="0"/>
    <x v="3"/>
    <x v="267"/>
    <x v="1"/>
    <n v="16.857500000000002"/>
    <n v="354.00749999999999"/>
    <d v="2019-03-06T00:00:00"/>
    <d v="1899-12-30T18:13:00"/>
    <s v="Ewallet"/>
    <n v="337.15"/>
    <n v="4.7619047620000003"/>
    <x v="268"/>
    <n v="6.3"/>
  </r>
  <r>
    <s v="687-15-1097"/>
    <s v="C"/>
    <s v="Naypyidaw"/>
    <x v="0"/>
    <x v="0"/>
    <x v="0"/>
    <x v="268"/>
    <x v="5"/>
    <n v="2.1120000000000001"/>
    <n v="44.351999999999997"/>
    <d v="2019-01-03T00:00:00"/>
    <d v="1899-12-30T19:17:00"/>
    <s v="Cash"/>
    <n v="42.24"/>
    <n v="4.7619047620000003"/>
    <x v="269"/>
    <n v="9.6999999999999993"/>
  </r>
  <r>
    <s v="126-54-1082"/>
    <s v="A"/>
    <s v="Yangon"/>
    <x v="0"/>
    <x v="0"/>
    <x v="2"/>
    <x v="269"/>
    <x v="9"/>
    <n v="9.6929999999999996"/>
    <n v="203.553"/>
    <d v="2019-01-07T00:00:00"/>
    <d v="1899-12-30T11:44:00"/>
    <s v="Credit card"/>
    <n v="193.86"/>
    <n v="4.7619047620000003"/>
    <x v="270"/>
    <n v="8.8000000000000007"/>
  </r>
  <r>
    <s v="633-91-1052"/>
    <s v="A"/>
    <s v="Yangon"/>
    <x v="1"/>
    <x v="0"/>
    <x v="2"/>
    <x v="270"/>
    <x v="5"/>
    <n v="1.2030000000000001"/>
    <n v="25.263000000000002"/>
    <d v="2019-01-27T00:00:00"/>
    <d v="1899-12-30T15:51:00"/>
    <s v="Cash"/>
    <n v="24.06"/>
    <n v="4.7619047620000003"/>
    <x v="271"/>
    <n v="5.0999999999999996"/>
  </r>
  <r>
    <s v="477-24-6490"/>
    <s v="B"/>
    <s v="Mandalay"/>
    <x v="1"/>
    <x v="0"/>
    <x v="0"/>
    <x v="271"/>
    <x v="3"/>
    <n v="29.913"/>
    <n v="628.173"/>
    <d v="2019-02-26T00:00:00"/>
    <d v="1899-12-30T16:52:00"/>
    <s v="Ewallet"/>
    <n v="598.26"/>
    <n v="4.7619047620000003"/>
    <x v="272"/>
    <n v="7.9"/>
  </r>
  <r>
    <s v="566-19-5475"/>
    <s v="B"/>
    <s v="Mandalay"/>
    <x v="1"/>
    <x v="1"/>
    <x v="5"/>
    <x v="272"/>
    <x v="0"/>
    <n v="16.7895"/>
    <n v="352.5795"/>
    <d v="2019-01-07T00:00:00"/>
    <d v="1899-12-30T20:52:00"/>
    <s v="Cash"/>
    <n v="335.79"/>
    <n v="4.7619047620000003"/>
    <x v="273"/>
    <n v="6.2"/>
  </r>
  <r>
    <s v="526-86-8552"/>
    <s v="C"/>
    <s v="Naypyidaw"/>
    <x v="0"/>
    <x v="0"/>
    <x v="2"/>
    <x v="273"/>
    <x v="4"/>
    <n v="10.91"/>
    <n v="229.11"/>
    <d v="2019-01-07T00:00:00"/>
    <d v="1899-12-30T17:36:00"/>
    <s v="Cash"/>
    <n v="218.2"/>
    <n v="4.7619047620000003"/>
    <x v="274"/>
    <n v="7.1"/>
  </r>
  <r>
    <s v="376-56-3573"/>
    <s v="C"/>
    <s v="Naypyidaw"/>
    <x v="1"/>
    <x v="0"/>
    <x v="5"/>
    <x v="274"/>
    <x v="7"/>
    <n v="19.084"/>
    <n v="400.76400000000001"/>
    <d v="2019-02-02T00:00:00"/>
    <d v="1899-12-30T13:23:00"/>
    <s v="Ewallet"/>
    <n v="381.68"/>
    <n v="4.7619047620000003"/>
    <x v="275"/>
    <n v="6.4"/>
  </r>
  <r>
    <s v="537-72-0426"/>
    <s v="C"/>
    <s v="Naypyidaw"/>
    <x v="0"/>
    <x v="1"/>
    <x v="5"/>
    <x v="275"/>
    <x v="4"/>
    <n v="35.494999999999997"/>
    <n v="745.39499999999998"/>
    <d v="2019-03-20T00:00:00"/>
    <d v="1899-12-30T16:28:00"/>
    <s v="Cash"/>
    <n v="709.9"/>
    <n v="4.7619047620000003"/>
    <x v="276"/>
    <n v="5.7"/>
  </r>
  <r>
    <s v="828-61-5674"/>
    <s v="A"/>
    <s v="Yangon"/>
    <x v="0"/>
    <x v="1"/>
    <x v="3"/>
    <x v="276"/>
    <x v="4"/>
    <n v="22.01"/>
    <n v="462.21"/>
    <d v="2019-03-20T00:00:00"/>
    <d v="1899-12-30T19:57:00"/>
    <s v="Credit card"/>
    <n v="440.2"/>
    <n v="4.7619047620000003"/>
    <x v="277"/>
    <n v="9.6"/>
  </r>
  <r>
    <s v="136-08-6195"/>
    <s v="A"/>
    <s v="Yangon"/>
    <x v="1"/>
    <x v="0"/>
    <x v="2"/>
    <x v="277"/>
    <x v="2"/>
    <n v="27.984000000000002"/>
    <n v="587.66399999999999"/>
    <d v="2019-02-15T00:00:00"/>
    <d v="1899-12-30T17:01:00"/>
    <s v="Credit card"/>
    <n v="559.67999999999995"/>
    <n v="4.7619047620000003"/>
    <x v="278"/>
    <n v="6.4"/>
  </r>
  <r>
    <s v="523-38-0215"/>
    <s v="C"/>
    <s v="Naypyidaw"/>
    <x v="1"/>
    <x v="1"/>
    <x v="2"/>
    <x v="278"/>
    <x v="8"/>
    <n v="1.85"/>
    <n v="38.85"/>
    <d v="2019-03-06T00:00:00"/>
    <d v="1899-12-30T13:29:00"/>
    <s v="Credit card"/>
    <n v="37"/>
    <n v="4.7619047620000003"/>
    <x v="279"/>
    <n v="7.9"/>
  </r>
  <r>
    <s v="490-29-1201"/>
    <s v="A"/>
    <s v="Yangon"/>
    <x v="1"/>
    <x v="0"/>
    <x v="3"/>
    <x v="279"/>
    <x v="8"/>
    <n v="0.76700000000000002"/>
    <n v="16.106999999999999"/>
    <d v="2019-01-06T00:00:00"/>
    <d v="1899-12-30T11:09:00"/>
    <s v="Cash"/>
    <n v="15.34"/>
    <n v="4.7619047620000003"/>
    <x v="280"/>
    <n v="6.5"/>
  </r>
  <r>
    <s v="667-92-0055"/>
    <s v="A"/>
    <s v="Yangon"/>
    <x v="0"/>
    <x v="1"/>
    <x v="0"/>
    <x v="280"/>
    <x v="3"/>
    <n v="29.949000000000002"/>
    <n v="628.92899999999997"/>
    <d v="2019-03-04T00:00:00"/>
    <d v="1899-12-30T15:02:00"/>
    <s v="Ewallet"/>
    <n v="598.98"/>
    <n v="4.7619047620000003"/>
    <x v="281"/>
    <n v="8.5"/>
  </r>
  <r>
    <s v="565-17-3836"/>
    <s v="A"/>
    <s v="Yangon"/>
    <x v="0"/>
    <x v="0"/>
    <x v="0"/>
    <x v="281"/>
    <x v="7"/>
    <n v="9.5340000000000007"/>
    <n v="200.214"/>
    <d v="2019-03-12T00:00:00"/>
    <d v="1899-12-30T14:21:00"/>
    <s v="Cash"/>
    <n v="190.68"/>
    <n v="4.7619047620000003"/>
    <x v="282"/>
    <n v="9.1"/>
  </r>
  <r>
    <s v="498-41-1961"/>
    <s v="B"/>
    <s v="Mandalay"/>
    <x v="1"/>
    <x v="1"/>
    <x v="0"/>
    <x v="282"/>
    <x v="1"/>
    <n v="16.670000000000002"/>
    <n v="350.07"/>
    <d v="2019-02-20T00:00:00"/>
    <d v="1899-12-30T18:01:00"/>
    <s v="Cash"/>
    <n v="333.4"/>
    <n v="4.7619047620000003"/>
    <x v="283"/>
    <n v="7.6"/>
  </r>
  <r>
    <s v="593-95-4461"/>
    <s v="C"/>
    <s v="Naypyidaw"/>
    <x v="0"/>
    <x v="1"/>
    <x v="2"/>
    <x v="283"/>
    <x v="8"/>
    <n v="3.7429999999999999"/>
    <n v="78.602999999999994"/>
    <d v="2019-03-24T00:00:00"/>
    <d v="1899-12-30T14:49:00"/>
    <s v="Cash"/>
    <n v="74.86"/>
    <n v="4.7619047620000003"/>
    <x v="284"/>
    <n v="6.9"/>
  </r>
  <r>
    <s v="226-71-3580"/>
    <s v="C"/>
    <s v="Naypyidaw"/>
    <x v="1"/>
    <x v="0"/>
    <x v="3"/>
    <x v="251"/>
    <x v="9"/>
    <n v="10.6875"/>
    <n v="224.4375"/>
    <d v="2019-01-31T00:00:00"/>
    <d v="1899-12-30T12:02:00"/>
    <s v="Cash"/>
    <n v="213.75"/>
    <n v="4.7619047620000003"/>
    <x v="285"/>
    <n v="9.5"/>
  </r>
  <r>
    <s v="283-79-9594"/>
    <s v="B"/>
    <s v="Mandalay"/>
    <x v="1"/>
    <x v="0"/>
    <x v="4"/>
    <x v="284"/>
    <x v="0"/>
    <n v="16.9785"/>
    <n v="356.54849999999999"/>
    <d v="2019-01-25T00:00:00"/>
    <d v="1899-12-30T13:30:00"/>
    <s v="Credit card"/>
    <n v="339.57"/>
    <n v="4.7619047620000003"/>
    <x v="286"/>
    <n v="5.2"/>
  </r>
  <r>
    <s v="430-60-3493"/>
    <s v="A"/>
    <s v="Yangon"/>
    <x v="0"/>
    <x v="0"/>
    <x v="2"/>
    <x v="285"/>
    <x v="0"/>
    <n v="33.207999999999998"/>
    <n v="697.36800000000005"/>
    <d v="2019-02-03T00:00:00"/>
    <d v="1899-12-30T14:38:00"/>
    <s v="Cash"/>
    <n v="664.16"/>
    <n v="4.7619047620000003"/>
    <x v="287"/>
    <n v="4.2"/>
  </r>
  <r>
    <s v="139-20-0155"/>
    <s v="B"/>
    <s v="Mandalay"/>
    <x v="0"/>
    <x v="1"/>
    <x v="1"/>
    <x v="19"/>
    <x v="4"/>
    <n v="20.149999999999999"/>
    <n v="423.15"/>
    <d v="2019-01-24T00:00:00"/>
    <d v="1899-12-30T17:37:00"/>
    <s v="Credit card"/>
    <n v="403"/>
    <n v="4.7619047620000003"/>
    <x v="288"/>
    <n v="7"/>
  </r>
  <r>
    <s v="558-80-4082"/>
    <s v="C"/>
    <s v="Naypyidaw"/>
    <x v="1"/>
    <x v="1"/>
    <x v="1"/>
    <x v="286"/>
    <x v="0"/>
    <n v="9.7475000000000005"/>
    <n v="204.69749999999999"/>
    <d v="2019-03-14T00:00:00"/>
    <d v="1899-12-30T17:20:00"/>
    <s v="Ewallet"/>
    <n v="194.95"/>
    <n v="4.7619047620000003"/>
    <x v="289"/>
    <n v="6"/>
  </r>
  <r>
    <s v="278-97-7759"/>
    <s v="A"/>
    <s v="Yangon"/>
    <x v="0"/>
    <x v="0"/>
    <x v="1"/>
    <x v="287"/>
    <x v="8"/>
    <n v="3.1240000000000001"/>
    <n v="65.603999999999999"/>
    <d v="2019-02-18T00:00:00"/>
    <d v="1899-12-30T20:29:00"/>
    <s v="Cash"/>
    <n v="62.48"/>
    <n v="4.7619047620000003"/>
    <x v="290"/>
    <n v="4.7"/>
  </r>
  <r>
    <s v="316-68-6352"/>
    <s v="A"/>
    <s v="Yangon"/>
    <x v="0"/>
    <x v="0"/>
    <x v="4"/>
    <x v="288"/>
    <x v="5"/>
    <n v="3.6360000000000001"/>
    <n v="76.355999999999995"/>
    <d v="2019-01-21T00:00:00"/>
    <d v="1899-12-30T10:00:00"/>
    <s v="Cash"/>
    <n v="72.72"/>
    <n v="4.7619047620000003"/>
    <x v="291"/>
    <n v="7.1"/>
  </r>
  <r>
    <s v="585-03-5943"/>
    <s v="B"/>
    <s v="Mandalay"/>
    <x v="1"/>
    <x v="1"/>
    <x v="0"/>
    <x v="289"/>
    <x v="4"/>
    <n v="9.0549999999999997"/>
    <n v="190.155"/>
    <d v="2019-03-13T00:00:00"/>
    <d v="1899-12-30T11:46:00"/>
    <s v="Ewallet"/>
    <n v="181.1"/>
    <n v="4.7619047620000003"/>
    <x v="292"/>
    <n v="5.9"/>
  </r>
  <r>
    <s v="211-05-0490"/>
    <s v="C"/>
    <s v="Naypyidaw"/>
    <x v="0"/>
    <x v="0"/>
    <x v="1"/>
    <x v="290"/>
    <x v="1"/>
    <n v="12.98"/>
    <n v="272.58"/>
    <d v="2019-03-03T00:00:00"/>
    <d v="1899-12-30T13:42:00"/>
    <s v="Cash"/>
    <n v="259.60000000000002"/>
    <n v="4.7619047620000003"/>
    <x v="293"/>
    <n v="7.5"/>
  </r>
  <r>
    <s v="727-75-6477"/>
    <s v="C"/>
    <s v="Naypyidaw"/>
    <x v="1"/>
    <x v="1"/>
    <x v="1"/>
    <x v="291"/>
    <x v="7"/>
    <n v="5.7679999999999998"/>
    <n v="121.128"/>
    <d v="2019-03-29T00:00:00"/>
    <d v="1899-12-30T14:44:00"/>
    <s v="Cash"/>
    <n v="115.36"/>
    <n v="4.7619047620000003"/>
    <x v="294"/>
    <n v="6.4"/>
  </r>
  <r>
    <s v="744-02-5987"/>
    <s v="A"/>
    <s v="Yangon"/>
    <x v="0"/>
    <x v="1"/>
    <x v="2"/>
    <x v="292"/>
    <x v="3"/>
    <n v="23.513999999999999"/>
    <n v="493.79399999999998"/>
    <d v="2019-01-10T00:00:00"/>
    <d v="1899-12-30T14:16:00"/>
    <s v="Ewallet"/>
    <n v="470.28"/>
    <n v="4.7619047620000003"/>
    <x v="295"/>
    <n v="5.8"/>
  </r>
  <r>
    <s v="307-83-9164"/>
    <s v="A"/>
    <s v="Yangon"/>
    <x v="0"/>
    <x v="1"/>
    <x v="2"/>
    <x v="293"/>
    <x v="7"/>
    <n v="12.002000000000001"/>
    <n v="252.042"/>
    <d v="2019-01-25T00:00:00"/>
    <d v="1899-12-30T15:54:00"/>
    <s v="Cash"/>
    <n v="240.04"/>
    <n v="4.7619047620000003"/>
    <x v="296"/>
    <n v="4.5"/>
  </r>
  <r>
    <s v="779-06-0012"/>
    <s v="C"/>
    <s v="Naypyidaw"/>
    <x v="0"/>
    <x v="0"/>
    <x v="2"/>
    <x v="294"/>
    <x v="8"/>
    <n v="4.4305000000000003"/>
    <n v="93.040499999999994"/>
    <d v="2019-01-19T00:00:00"/>
    <d v="1899-12-30T10:21:00"/>
    <s v="Cash"/>
    <n v="88.61"/>
    <n v="4.7619047620000003"/>
    <x v="297"/>
    <n v="7.7"/>
  </r>
  <r>
    <s v="446-47-6729"/>
    <s v="C"/>
    <s v="Naypyidaw"/>
    <x v="1"/>
    <x v="1"/>
    <x v="5"/>
    <x v="295"/>
    <x v="5"/>
    <n v="9.9819999999999993"/>
    <n v="209.62200000000001"/>
    <d v="2019-01-02T00:00:00"/>
    <d v="1899-12-30T18:09:00"/>
    <s v="Credit card"/>
    <n v="199.64"/>
    <n v="4.7619047620000003"/>
    <x v="298"/>
    <n v="6.7"/>
  </r>
  <r>
    <s v="573-10-3877"/>
    <s v="B"/>
    <s v="Mandalay"/>
    <x v="0"/>
    <x v="1"/>
    <x v="0"/>
    <x v="296"/>
    <x v="8"/>
    <n v="1.9504999999999999"/>
    <n v="40.960500000000003"/>
    <d v="2019-03-12T00:00:00"/>
    <d v="1899-12-30T16:46:00"/>
    <s v="Credit card"/>
    <n v="39.01"/>
    <n v="4.7619047620000003"/>
    <x v="299"/>
    <n v="4.7"/>
  </r>
  <r>
    <s v="735-06-4124"/>
    <s v="C"/>
    <s v="Naypyidaw"/>
    <x v="1"/>
    <x v="1"/>
    <x v="4"/>
    <x v="297"/>
    <x v="8"/>
    <n v="2.4304999999999999"/>
    <n v="51.040500000000002"/>
    <d v="2019-02-25T00:00:00"/>
    <d v="1899-12-30T15:31:00"/>
    <s v="Cash"/>
    <n v="48.61"/>
    <n v="4.7619047620000003"/>
    <x v="300"/>
    <n v="4.4000000000000004"/>
  </r>
  <r>
    <s v="439-54-7422"/>
    <s v="A"/>
    <s v="Yangon"/>
    <x v="1"/>
    <x v="0"/>
    <x v="1"/>
    <x v="298"/>
    <x v="7"/>
    <n v="10.238"/>
    <n v="214.99799999999999"/>
    <d v="2019-03-18T00:00:00"/>
    <d v="1899-12-30T17:15:00"/>
    <s v="Credit card"/>
    <n v="204.76"/>
    <n v="4.7619047620000003"/>
    <x v="301"/>
    <n v="4.7"/>
  </r>
  <r>
    <s v="396-90-2219"/>
    <s v="B"/>
    <s v="Mandalay"/>
    <x v="1"/>
    <x v="0"/>
    <x v="1"/>
    <x v="299"/>
    <x v="2"/>
    <n v="5.984"/>
    <n v="125.664"/>
    <d v="2019-02-23T00:00:00"/>
    <d v="1899-12-30T12:29:00"/>
    <s v="Cash"/>
    <n v="119.68"/>
    <n v="4.7619047620000003"/>
    <x v="302"/>
    <n v="8.6"/>
  </r>
  <r>
    <s v="411-77-0180"/>
    <s v="A"/>
    <s v="Yangon"/>
    <x v="0"/>
    <x v="1"/>
    <x v="1"/>
    <x v="300"/>
    <x v="0"/>
    <n v="25.27"/>
    <n v="530.66999999999996"/>
    <d v="2019-03-26T00:00:00"/>
    <d v="1899-12-30T20:14:00"/>
    <s v="Ewallet"/>
    <n v="505.4"/>
    <n v="4.7619047620000003"/>
    <x v="303"/>
    <n v="4.3"/>
  </r>
  <r>
    <s v="286-01-5402"/>
    <s v="A"/>
    <s v="Yangon"/>
    <x v="1"/>
    <x v="0"/>
    <x v="3"/>
    <x v="301"/>
    <x v="0"/>
    <n v="14.080500000000001"/>
    <n v="295.69049999999999"/>
    <d v="2019-03-30T00:00:00"/>
    <d v="1899-12-30T13:22:00"/>
    <s v="Cash"/>
    <n v="281.61"/>
    <n v="4.7619047620000003"/>
    <x v="304"/>
    <n v="9.6"/>
  </r>
  <r>
    <s v="803-17-8013"/>
    <s v="A"/>
    <s v="Yangon"/>
    <x v="0"/>
    <x v="0"/>
    <x v="2"/>
    <x v="302"/>
    <x v="2"/>
    <n v="35.515999999999998"/>
    <n v="745.83600000000001"/>
    <d v="2019-02-17T00:00:00"/>
    <d v="1899-12-30T17:09:00"/>
    <s v="Cash"/>
    <n v="710.32"/>
    <n v="4.7619047620000003"/>
    <x v="305"/>
    <n v="4.0999999999999996"/>
  </r>
  <r>
    <s v="512-98-1403"/>
    <s v="A"/>
    <s v="Yangon"/>
    <x v="0"/>
    <x v="0"/>
    <x v="1"/>
    <x v="303"/>
    <x v="6"/>
    <n v="3.972"/>
    <n v="83.412000000000006"/>
    <d v="2019-03-21T00:00:00"/>
    <d v="1899-12-30T10:40:00"/>
    <s v="Ewallet"/>
    <n v="79.44"/>
    <n v="4.7619047620000003"/>
    <x v="306"/>
    <n v="4.7"/>
  </r>
  <r>
    <s v="848-42-2560"/>
    <s v="A"/>
    <s v="Yangon"/>
    <x v="1"/>
    <x v="0"/>
    <x v="5"/>
    <x v="304"/>
    <x v="5"/>
    <n v="8.1910000000000007"/>
    <n v="172.011"/>
    <d v="2019-03-05T00:00:00"/>
    <d v="1899-12-30T17:43:00"/>
    <s v="Cash"/>
    <n v="163.82"/>
    <n v="4.7619047620000003"/>
    <x v="307"/>
    <n v="7.8"/>
  </r>
  <r>
    <s v="532-59-7201"/>
    <s v="B"/>
    <s v="Mandalay"/>
    <x v="0"/>
    <x v="1"/>
    <x v="3"/>
    <x v="305"/>
    <x v="3"/>
    <n v="23.978999999999999"/>
    <n v="503.55900000000003"/>
    <d v="2019-01-31T00:00:00"/>
    <d v="1899-12-30T14:04:00"/>
    <s v="Cash"/>
    <n v="479.58"/>
    <n v="4.7619047620000003"/>
    <x v="308"/>
    <n v="5.5"/>
  </r>
  <r>
    <s v="181-94-6432"/>
    <s v="C"/>
    <s v="Naypyidaw"/>
    <x v="0"/>
    <x v="1"/>
    <x v="5"/>
    <x v="306"/>
    <x v="5"/>
    <n v="6.9329999999999998"/>
    <n v="145.59299999999999"/>
    <d v="2019-02-05T00:00:00"/>
    <d v="1899-12-30T19:05:00"/>
    <s v="Ewallet"/>
    <n v="138.66"/>
    <n v="4.7619047620000003"/>
    <x v="309"/>
    <n v="9.6999999999999993"/>
  </r>
  <r>
    <s v="870-76-1733"/>
    <s v="A"/>
    <s v="Yangon"/>
    <x v="0"/>
    <x v="0"/>
    <x v="4"/>
    <x v="307"/>
    <x v="1"/>
    <n v="3.5575000000000001"/>
    <n v="74.707499999999996"/>
    <d v="2019-02-01T00:00:00"/>
    <d v="1899-12-30T10:08:00"/>
    <s v="Credit card"/>
    <n v="71.150000000000006"/>
    <n v="4.7619047620000003"/>
    <x v="310"/>
    <n v="4.4000000000000004"/>
  </r>
  <r>
    <s v="423-64-4619"/>
    <s v="A"/>
    <s v="Yangon"/>
    <x v="0"/>
    <x v="0"/>
    <x v="0"/>
    <x v="308"/>
    <x v="9"/>
    <n v="6.9974999999999996"/>
    <n v="146.94749999999999"/>
    <d v="2019-03-07T00:00:00"/>
    <d v="1899-12-30T13:12:00"/>
    <s v="Cash"/>
    <n v="139.94999999999999"/>
    <n v="4.7619047620000003"/>
    <x v="311"/>
    <n v="5"/>
  </r>
  <r>
    <s v="227-07-4446"/>
    <s v="C"/>
    <s v="Naypyidaw"/>
    <x v="0"/>
    <x v="0"/>
    <x v="1"/>
    <x v="309"/>
    <x v="4"/>
    <n v="39.064999999999998"/>
    <n v="820.36500000000001"/>
    <d v="2019-02-10T00:00:00"/>
    <d v="1899-12-30T20:51:00"/>
    <s v="Cash"/>
    <n v="781.3"/>
    <n v="4.7619047620000003"/>
    <x v="312"/>
    <n v="4.4000000000000004"/>
  </r>
  <r>
    <s v="174-36-3675"/>
    <s v="C"/>
    <s v="Naypyidaw"/>
    <x v="0"/>
    <x v="1"/>
    <x v="4"/>
    <x v="310"/>
    <x v="5"/>
    <n v="9.9369999999999994"/>
    <n v="208.67699999999999"/>
    <d v="2019-02-14T00:00:00"/>
    <d v="1899-12-30T17:29:00"/>
    <s v="Cash"/>
    <n v="198.74"/>
    <n v="4.7619047620000003"/>
    <x v="313"/>
    <n v="5.2"/>
  </r>
  <r>
    <s v="428-83-5800"/>
    <s v="C"/>
    <s v="Naypyidaw"/>
    <x v="0"/>
    <x v="0"/>
    <x v="4"/>
    <x v="311"/>
    <x v="6"/>
    <n v="3.1619999999999999"/>
    <n v="66.402000000000001"/>
    <d v="2019-02-09T00:00:00"/>
    <d v="1899-12-30T10:25:00"/>
    <s v="Cash"/>
    <n v="63.24"/>
    <n v="4.7619047620000003"/>
    <x v="314"/>
    <n v="7.3"/>
  </r>
  <r>
    <s v="603-07-0961"/>
    <s v="C"/>
    <s v="Naypyidaw"/>
    <x v="0"/>
    <x v="1"/>
    <x v="1"/>
    <x v="312"/>
    <x v="1"/>
    <n v="18.697500000000002"/>
    <n v="392.64749999999998"/>
    <d v="2019-01-10T00:00:00"/>
    <d v="1899-12-30T11:34:00"/>
    <s v="Cash"/>
    <n v="373.95"/>
    <n v="4.7619047620000003"/>
    <x v="315"/>
    <n v="4.9000000000000004"/>
  </r>
  <r>
    <s v="704-20-4138"/>
    <s v="C"/>
    <s v="Naypyidaw"/>
    <x v="0"/>
    <x v="0"/>
    <x v="0"/>
    <x v="313"/>
    <x v="0"/>
    <n v="10.384499999999999"/>
    <n v="218.0745"/>
    <d v="2019-03-11T00:00:00"/>
    <d v="1899-12-30T18:58:00"/>
    <s v="Credit card"/>
    <n v="207.69"/>
    <n v="4.7619047620000003"/>
    <x v="316"/>
    <n v="8.1"/>
  </r>
  <r>
    <s v="787-15-1757"/>
    <s v="C"/>
    <s v="Naypyidaw"/>
    <x v="0"/>
    <x v="1"/>
    <x v="0"/>
    <x v="314"/>
    <x v="7"/>
    <n v="8.8140000000000001"/>
    <n v="185.09399999999999"/>
    <d v="2019-02-18T00:00:00"/>
    <d v="1899-12-30T16:28:00"/>
    <s v="Ewallet"/>
    <n v="176.28"/>
    <n v="4.7619047620000003"/>
    <x v="317"/>
    <n v="8.4"/>
  </r>
  <r>
    <s v="649-11-3678"/>
    <s v="C"/>
    <s v="Naypyidaw"/>
    <x v="1"/>
    <x v="0"/>
    <x v="4"/>
    <x v="315"/>
    <x v="9"/>
    <n v="10.3185"/>
    <n v="216.6885"/>
    <d v="2019-02-26T00:00:00"/>
    <d v="1899-12-30T20:26:00"/>
    <s v="Cash"/>
    <n v="206.37"/>
    <n v="4.7619047620000003"/>
    <x v="318"/>
    <n v="5.5"/>
  </r>
  <r>
    <s v="622-20-1945"/>
    <s v="C"/>
    <s v="Naypyidaw"/>
    <x v="1"/>
    <x v="0"/>
    <x v="0"/>
    <x v="316"/>
    <x v="8"/>
    <n v="1.9710000000000001"/>
    <n v="41.390999999999998"/>
    <d v="2019-01-18T00:00:00"/>
    <d v="1899-12-30T15:08:00"/>
    <s v="Cash"/>
    <n v="39.42"/>
    <n v="4.7619047620000003"/>
    <x v="319"/>
    <n v="8.4"/>
  </r>
  <r>
    <s v="372-94-8041"/>
    <s v="A"/>
    <s v="Yangon"/>
    <x v="1"/>
    <x v="1"/>
    <x v="0"/>
    <x v="317"/>
    <x v="3"/>
    <n v="4.5780000000000003"/>
    <n v="96.138000000000005"/>
    <d v="2019-02-15T00:00:00"/>
    <d v="1899-12-30T18:03:00"/>
    <s v="Ewallet"/>
    <n v="91.56"/>
    <n v="4.7619047620000003"/>
    <x v="320"/>
    <n v="9.8000000000000007"/>
  </r>
  <r>
    <s v="563-91-7120"/>
    <s v="A"/>
    <s v="Yangon"/>
    <x v="1"/>
    <x v="0"/>
    <x v="5"/>
    <x v="318"/>
    <x v="1"/>
    <n v="15.442500000000001"/>
    <n v="324.29250000000002"/>
    <d v="2019-03-08T00:00:00"/>
    <d v="1899-12-30T13:21:00"/>
    <s v="Cash"/>
    <n v="308.85000000000002"/>
    <n v="4.7619047620000003"/>
    <x v="321"/>
    <n v="6.7"/>
  </r>
  <r>
    <s v="746-54-5508"/>
    <s v="A"/>
    <s v="Yangon"/>
    <x v="1"/>
    <x v="1"/>
    <x v="2"/>
    <x v="319"/>
    <x v="3"/>
    <n v="6.4560000000000004"/>
    <n v="135.57599999999999"/>
    <d v="2019-01-17T00:00:00"/>
    <d v="1899-12-30T12:48:00"/>
    <s v="Credit card"/>
    <n v="129.12"/>
    <n v="4.7619047620000003"/>
    <x v="322"/>
    <n v="9.4"/>
  </r>
  <r>
    <s v="276-54-0879"/>
    <s v="B"/>
    <s v="Mandalay"/>
    <x v="1"/>
    <x v="1"/>
    <x v="3"/>
    <x v="320"/>
    <x v="7"/>
    <n v="19.547999999999998"/>
    <n v="410.50799999999998"/>
    <d v="2019-03-12T00:00:00"/>
    <d v="1899-12-30T19:53:00"/>
    <s v="Ewallet"/>
    <n v="390.96"/>
    <n v="4.7619047620000003"/>
    <x v="323"/>
    <n v="6.4"/>
  </r>
  <r>
    <s v="815-11-1168"/>
    <s v="A"/>
    <s v="Yangon"/>
    <x v="0"/>
    <x v="1"/>
    <x v="4"/>
    <x v="321"/>
    <x v="1"/>
    <n v="24.945"/>
    <n v="523.84500000000003"/>
    <d v="2019-03-09T00:00:00"/>
    <d v="1899-12-30T19:09:00"/>
    <s v="Cash"/>
    <n v="498.9"/>
    <n v="4.7619047620000003"/>
    <x v="324"/>
    <n v="5.4"/>
  </r>
  <r>
    <s v="719-76-3868"/>
    <s v="C"/>
    <s v="Naypyidaw"/>
    <x v="0"/>
    <x v="1"/>
    <x v="4"/>
    <x v="322"/>
    <x v="7"/>
    <n v="18.852"/>
    <n v="395.892"/>
    <d v="2019-03-12T00:00:00"/>
    <d v="1899-12-30T16:30:00"/>
    <s v="Cash"/>
    <n v="377.04"/>
    <n v="4.7619047620000003"/>
    <x v="325"/>
    <n v="8.6"/>
  </r>
  <r>
    <s v="730-61-8757"/>
    <s v="B"/>
    <s v="Mandalay"/>
    <x v="0"/>
    <x v="1"/>
    <x v="0"/>
    <x v="323"/>
    <x v="7"/>
    <n v="10.226000000000001"/>
    <n v="214.74600000000001"/>
    <d v="2019-01-25T00:00:00"/>
    <d v="1899-12-30T10:11:00"/>
    <s v="Credit card"/>
    <n v="204.52"/>
    <n v="4.7619047620000003"/>
    <x v="326"/>
    <n v="4"/>
  </r>
  <r>
    <s v="340-66-0321"/>
    <s v="A"/>
    <s v="Yangon"/>
    <x v="0"/>
    <x v="1"/>
    <x v="1"/>
    <x v="288"/>
    <x v="7"/>
    <n v="7.2720000000000002"/>
    <n v="152.71199999999999"/>
    <d v="2019-03-25T00:00:00"/>
    <d v="1899-12-30T13:07:00"/>
    <s v="Cash"/>
    <n v="145.44"/>
    <n v="4.7619047620000003"/>
    <x v="327"/>
    <n v="7.6"/>
  </r>
  <r>
    <s v="868-81-1752"/>
    <s v="B"/>
    <s v="Mandalay"/>
    <x v="1"/>
    <x v="1"/>
    <x v="2"/>
    <x v="324"/>
    <x v="9"/>
    <n v="9.9090000000000007"/>
    <n v="208.089"/>
    <d v="2019-02-07T00:00:00"/>
    <d v="1899-12-30T18:48:00"/>
    <s v="Cash"/>
    <n v="198.18"/>
    <n v="4.7619047620000003"/>
    <x v="328"/>
    <n v="6.8"/>
  </r>
  <r>
    <s v="634-97-8956"/>
    <s v="A"/>
    <s v="Yangon"/>
    <x v="1"/>
    <x v="1"/>
    <x v="4"/>
    <x v="325"/>
    <x v="6"/>
    <n v="4.9349999999999996"/>
    <n v="103.63500000000001"/>
    <d v="2019-02-17T00:00:00"/>
    <d v="1899-12-30T17:27:00"/>
    <s v="Credit card"/>
    <n v="98.7"/>
    <n v="4.7619047620000003"/>
    <x v="329"/>
    <n v="9.1"/>
  </r>
  <r>
    <s v="566-71-1091"/>
    <s v="A"/>
    <s v="Yangon"/>
    <x v="1"/>
    <x v="1"/>
    <x v="5"/>
    <x v="326"/>
    <x v="1"/>
    <n v="19.254999999999999"/>
    <n v="404.35500000000002"/>
    <d v="2019-02-03T00:00:00"/>
    <d v="1899-12-30T15:59:00"/>
    <s v="Cash"/>
    <n v="385.1"/>
    <n v="4.7619047620000003"/>
    <x v="330"/>
    <n v="5.5"/>
  </r>
  <r>
    <s v="442-48-3607"/>
    <s v="A"/>
    <s v="Yangon"/>
    <x v="0"/>
    <x v="1"/>
    <x v="4"/>
    <x v="327"/>
    <x v="5"/>
    <n v="2.3479999999999999"/>
    <n v="49.308"/>
    <d v="2019-03-14T00:00:00"/>
    <d v="1899-12-30T11:21:00"/>
    <s v="Credit card"/>
    <n v="46.96"/>
    <n v="4.7619047620000003"/>
    <x v="331"/>
    <n v="7.9"/>
  </r>
  <r>
    <s v="835-16-0096"/>
    <s v="C"/>
    <s v="Naypyidaw"/>
    <x v="0"/>
    <x v="1"/>
    <x v="3"/>
    <x v="328"/>
    <x v="1"/>
    <n v="3.6749999999999998"/>
    <n v="77.174999999999997"/>
    <d v="2019-03-24T00:00:00"/>
    <d v="1899-12-30T13:48:00"/>
    <s v="Ewallet"/>
    <n v="73.5"/>
    <n v="4.7619047620000003"/>
    <x v="332"/>
    <n v="8.5"/>
  </r>
  <r>
    <s v="527-09-6272"/>
    <s v="A"/>
    <s v="Yangon"/>
    <x v="0"/>
    <x v="0"/>
    <x v="1"/>
    <x v="329"/>
    <x v="1"/>
    <n v="7.1124999999999998"/>
    <n v="149.36250000000001"/>
    <d v="2019-03-21T00:00:00"/>
    <d v="1899-12-30T10:17:00"/>
    <s v="Credit card"/>
    <n v="142.25"/>
    <n v="4.7619047620000003"/>
    <x v="333"/>
    <n v="9.1"/>
  </r>
  <r>
    <s v="898-04-2717"/>
    <s v="A"/>
    <s v="Yangon"/>
    <x v="1"/>
    <x v="1"/>
    <x v="5"/>
    <x v="161"/>
    <x v="9"/>
    <n v="34.380000000000003"/>
    <n v="721.98"/>
    <d v="2019-03-19T00:00:00"/>
    <d v="1899-12-30T15:49:00"/>
    <s v="Ewallet"/>
    <n v="687.6"/>
    <n v="4.7619047620000003"/>
    <x v="334"/>
    <n v="7.5"/>
  </r>
  <r>
    <s v="692-27-8933"/>
    <s v="B"/>
    <s v="Mandalay"/>
    <x v="1"/>
    <x v="0"/>
    <x v="3"/>
    <x v="330"/>
    <x v="3"/>
    <n v="17.385000000000002"/>
    <n v="365.08499999999998"/>
    <d v="2019-02-24T00:00:00"/>
    <d v="1899-12-30T13:02:00"/>
    <s v="Cash"/>
    <n v="347.7"/>
    <n v="4.7619047620000003"/>
    <x v="335"/>
    <n v="5.2"/>
  </r>
  <r>
    <s v="633-09-3463"/>
    <s v="C"/>
    <s v="Naypyidaw"/>
    <x v="1"/>
    <x v="0"/>
    <x v="1"/>
    <x v="331"/>
    <x v="6"/>
    <n v="7.1475"/>
    <n v="150.0975"/>
    <d v="2019-03-28T00:00:00"/>
    <d v="1899-12-30T12:58:00"/>
    <s v="Credit card"/>
    <n v="142.94999999999999"/>
    <n v="4.7619047620000003"/>
    <x v="336"/>
    <n v="9.5"/>
  </r>
  <r>
    <s v="374-17-3652"/>
    <s v="B"/>
    <s v="Mandalay"/>
    <x v="0"/>
    <x v="0"/>
    <x v="4"/>
    <x v="332"/>
    <x v="9"/>
    <n v="19.268999999999998"/>
    <n v="404.649"/>
    <d v="2019-02-05T00:00:00"/>
    <d v="1899-12-30T15:26:00"/>
    <s v="Credit card"/>
    <n v="385.38"/>
    <n v="4.7619047620000003"/>
    <x v="337"/>
    <n v="8.9"/>
  </r>
  <r>
    <s v="378-07-7001"/>
    <s v="B"/>
    <s v="Mandalay"/>
    <x v="0"/>
    <x v="1"/>
    <x v="1"/>
    <x v="333"/>
    <x v="6"/>
    <n v="7.2134999999999998"/>
    <n v="151.48349999999999"/>
    <d v="2019-02-10T00:00:00"/>
    <d v="1899-12-30T18:23:00"/>
    <s v="Credit card"/>
    <n v="144.27000000000001"/>
    <n v="4.7619047620000003"/>
    <x v="338"/>
    <n v="7.8"/>
  </r>
  <r>
    <s v="433-75-6987"/>
    <s v="B"/>
    <s v="Mandalay"/>
    <x v="0"/>
    <x v="0"/>
    <x v="0"/>
    <x v="334"/>
    <x v="0"/>
    <n v="19.589500000000001"/>
    <n v="411.37950000000001"/>
    <d v="2019-03-05T00:00:00"/>
    <d v="1899-12-30T19:06:00"/>
    <s v="Ewallet"/>
    <n v="391.79"/>
    <n v="4.7619047620000003"/>
    <x v="339"/>
    <n v="8.9"/>
  </r>
  <r>
    <s v="873-95-4984"/>
    <s v="B"/>
    <s v="Mandalay"/>
    <x v="0"/>
    <x v="0"/>
    <x v="0"/>
    <x v="335"/>
    <x v="0"/>
    <n v="26.914999999999999"/>
    <n v="565.21500000000003"/>
    <d v="2019-02-15T00:00:00"/>
    <d v="1899-12-30T20:21:00"/>
    <s v="Cash"/>
    <n v="538.29999999999995"/>
    <n v="4.7619047620000003"/>
    <x v="340"/>
    <n v="7.7"/>
  </r>
  <r>
    <s v="416-13-5917"/>
    <s v="C"/>
    <s v="Naypyidaw"/>
    <x v="1"/>
    <x v="0"/>
    <x v="4"/>
    <x v="336"/>
    <x v="1"/>
    <n v="24.2575"/>
    <n v="509.40750000000003"/>
    <d v="2019-01-30T00:00:00"/>
    <d v="1899-12-30T16:24:00"/>
    <s v="Ewallet"/>
    <n v="485.15"/>
    <n v="4.7619047620000003"/>
    <x v="341"/>
    <n v="9.3000000000000007"/>
  </r>
  <r>
    <s v="150-89-8043"/>
    <s v="A"/>
    <s v="Yangon"/>
    <x v="1"/>
    <x v="1"/>
    <x v="3"/>
    <x v="337"/>
    <x v="6"/>
    <n v="6.6974999999999998"/>
    <n v="140.64750000000001"/>
    <d v="2019-02-14T00:00:00"/>
    <d v="1899-12-30T15:04:00"/>
    <s v="Cash"/>
    <n v="133.94999999999999"/>
    <n v="4.7619047620000003"/>
    <x v="342"/>
    <n v="6.2"/>
  </r>
  <r>
    <s v="135-84-8019"/>
    <s v="A"/>
    <s v="Yangon"/>
    <x v="1"/>
    <x v="0"/>
    <x v="5"/>
    <x v="338"/>
    <x v="9"/>
    <n v="35.0685"/>
    <n v="736.43849999999998"/>
    <d v="2019-02-27T00:00:00"/>
    <d v="1899-12-30T16:10:00"/>
    <s v="Ewallet"/>
    <n v="701.37"/>
    <n v="4.7619047620000003"/>
    <x v="343"/>
    <n v="7.6"/>
  </r>
  <r>
    <s v="441-94-7118"/>
    <s v="A"/>
    <s v="Yangon"/>
    <x v="0"/>
    <x v="1"/>
    <x v="1"/>
    <x v="339"/>
    <x v="8"/>
    <n v="3.5975000000000001"/>
    <n v="75.547499999999999"/>
    <d v="2019-02-04T00:00:00"/>
    <d v="1899-12-30T12:14:00"/>
    <s v="Cash"/>
    <n v="71.95"/>
    <n v="4.7619047620000003"/>
    <x v="344"/>
    <n v="7.3"/>
  </r>
  <r>
    <s v="725-96-3778"/>
    <s v="C"/>
    <s v="Naypyidaw"/>
    <x v="0"/>
    <x v="0"/>
    <x v="2"/>
    <x v="340"/>
    <x v="2"/>
    <n v="35.700000000000003"/>
    <n v="749.7"/>
    <d v="2019-01-20T00:00:00"/>
    <d v="1899-12-30T10:13:00"/>
    <s v="Cash"/>
    <n v="714"/>
    <n v="4.7619047620000003"/>
    <x v="345"/>
    <n v="4.7"/>
  </r>
  <r>
    <s v="531-80-1784"/>
    <s v="A"/>
    <s v="Yangon"/>
    <x v="1"/>
    <x v="1"/>
    <x v="1"/>
    <x v="341"/>
    <x v="0"/>
    <n v="9.1069999999999993"/>
    <n v="191.24700000000001"/>
    <d v="2019-03-28T00:00:00"/>
    <d v="1899-12-30T17:38:00"/>
    <s v="Cash"/>
    <n v="182.14"/>
    <n v="4.7619047620000003"/>
    <x v="346"/>
    <n v="5.0999999999999996"/>
  </r>
  <r>
    <s v="400-45-1220"/>
    <s v="B"/>
    <s v="Mandalay"/>
    <x v="1"/>
    <x v="0"/>
    <x v="0"/>
    <x v="342"/>
    <x v="4"/>
    <n v="6.75"/>
    <n v="141.75"/>
    <d v="2019-02-27T00:00:00"/>
    <d v="1899-12-30T11:06:00"/>
    <s v="Credit card"/>
    <n v="135"/>
    <n v="4.7619047620000003"/>
    <x v="347"/>
    <n v="4.8"/>
  </r>
  <r>
    <s v="860-79-0874"/>
    <s v="C"/>
    <s v="Naypyidaw"/>
    <x v="0"/>
    <x v="0"/>
    <x v="5"/>
    <x v="343"/>
    <x v="4"/>
    <n v="49.65"/>
    <n v="1042.6500000000001"/>
    <d v="2019-02-15T00:00:00"/>
    <d v="1899-12-30T14:53:00"/>
    <s v="Credit card"/>
    <n v="993"/>
    <n v="4.7619047620000003"/>
    <x v="348"/>
    <n v="6.6"/>
  </r>
  <r>
    <s v="834-61-8124"/>
    <s v="A"/>
    <s v="Yangon"/>
    <x v="1"/>
    <x v="1"/>
    <x v="1"/>
    <x v="344"/>
    <x v="0"/>
    <n v="18.0915"/>
    <n v="379.92149999999998"/>
    <d v="2019-01-26T00:00:00"/>
    <d v="1899-12-30T18:22:00"/>
    <s v="Cash"/>
    <n v="361.83"/>
    <n v="4.7619047620000003"/>
    <x v="349"/>
    <n v="5.5"/>
  </r>
  <r>
    <s v="115-99-4379"/>
    <s v="B"/>
    <s v="Mandalay"/>
    <x v="0"/>
    <x v="0"/>
    <x v="5"/>
    <x v="345"/>
    <x v="0"/>
    <n v="19.1555"/>
    <n v="402.26549999999997"/>
    <d v="2019-03-14T00:00:00"/>
    <d v="1899-12-30T19:02:00"/>
    <s v="Credit card"/>
    <n v="383.11"/>
    <n v="4.7619047620000003"/>
    <x v="350"/>
    <n v="8.5"/>
  </r>
  <r>
    <s v="565-67-6697"/>
    <s v="B"/>
    <s v="Mandalay"/>
    <x v="0"/>
    <x v="1"/>
    <x v="2"/>
    <x v="346"/>
    <x v="9"/>
    <n v="12.15"/>
    <n v="255.15"/>
    <d v="2019-03-02T00:00:00"/>
    <d v="1899-12-30T14:16:00"/>
    <s v="Cash"/>
    <n v="243"/>
    <n v="4.7619047620000003"/>
    <x v="351"/>
    <n v="4.8"/>
  </r>
  <r>
    <s v="320-49-6392"/>
    <s v="C"/>
    <s v="Naypyidaw"/>
    <x v="1"/>
    <x v="0"/>
    <x v="1"/>
    <x v="347"/>
    <x v="8"/>
    <n v="1.512"/>
    <n v="31.751999999999999"/>
    <d v="2019-03-04T00:00:00"/>
    <d v="1899-12-30T15:44:00"/>
    <s v="Cash"/>
    <n v="30.24"/>
    <n v="4.7619047620000003"/>
    <x v="352"/>
    <n v="8.4"/>
  </r>
  <r>
    <s v="889-04-9723"/>
    <s v="B"/>
    <s v="Mandalay"/>
    <x v="0"/>
    <x v="0"/>
    <x v="4"/>
    <x v="348"/>
    <x v="7"/>
    <n v="17.827999999999999"/>
    <n v="374.38799999999998"/>
    <d v="2019-01-07T00:00:00"/>
    <d v="1899-12-30T12:20:00"/>
    <s v="Credit card"/>
    <n v="356.56"/>
    <n v="4.7619047620000003"/>
    <x v="353"/>
    <n v="7.8"/>
  </r>
  <r>
    <s v="632-90-0281"/>
    <s v="C"/>
    <s v="Naypyidaw"/>
    <x v="1"/>
    <x v="0"/>
    <x v="5"/>
    <x v="349"/>
    <x v="4"/>
    <n v="18.774999999999999"/>
    <n v="394.27499999999998"/>
    <d v="2019-03-08T00:00:00"/>
    <d v="1899-12-30T20:01:00"/>
    <s v="Credit card"/>
    <n v="375.5"/>
    <n v="4.7619047620000003"/>
    <x v="354"/>
    <n v="9.3000000000000007"/>
  </r>
  <r>
    <s v="554-42-2417"/>
    <s v="C"/>
    <s v="Naypyidaw"/>
    <x v="1"/>
    <x v="0"/>
    <x v="3"/>
    <x v="350"/>
    <x v="4"/>
    <n v="47.72"/>
    <n v="1002.12"/>
    <d v="2019-01-09T00:00:00"/>
    <d v="1899-12-30T13:45:00"/>
    <s v="Cash"/>
    <n v="954.4"/>
    <n v="4.7619047620000003"/>
    <x v="355"/>
    <n v="5.2"/>
  </r>
  <r>
    <s v="453-63-6187"/>
    <s v="B"/>
    <s v="Mandalay"/>
    <x v="1"/>
    <x v="1"/>
    <x v="1"/>
    <x v="351"/>
    <x v="6"/>
    <n v="4.125"/>
    <n v="86.625"/>
    <d v="2019-03-01T00:00:00"/>
    <d v="1899-12-30T15:40:00"/>
    <s v="Ewallet"/>
    <n v="82.5"/>
    <n v="4.7619047620000003"/>
    <x v="356"/>
    <n v="6.5"/>
  </r>
  <r>
    <s v="578-80-7669"/>
    <s v="B"/>
    <s v="Mandalay"/>
    <x v="1"/>
    <x v="1"/>
    <x v="3"/>
    <x v="352"/>
    <x v="8"/>
    <n v="3.7484999999999999"/>
    <n v="78.718500000000006"/>
    <d v="2019-03-16T00:00:00"/>
    <d v="1899-12-30T16:58:00"/>
    <s v="Cash"/>
    <n v="74.97"/>
    <n v="4.7619047620000003"/>
    <x v="357"/>
    <n v="5.6"/>
  </r>
  <r>
    <s v="612-36-5536"/>
    <s v="A"/>
    <s v="Yangon"/>
    <x v="0"/>
    <x v="1"/>
    <x v="4"/>
    <x v="353"/>
    <x v="2"/>
    <n v="32.384"/>
    <n v="680.06399999999996"/>
    <d v="2019-02-17T00:00:00"/>
    <d v="1899-12-30T11:12:00"/>
    <s v="Credit card"/>
    <n v="647.67999999999995"/>
    <n v="4.7619047620000003"/>
    <x v="358"/>
    <n v="7.4"/>
  </r>
  <r>
    <s v="605-72-4132"/>
    <s v="C"/>
    <s v="Naypyidaw"/>
    <x v="1"/>
    <x v="0"/>
    <x v="4"/>
    <x v="354"/>
    <x v="2"/>
    <n v="37.787999999999997"/>
    <n v="793.548"/>
    <d v="2019-02-27T00:00:00"/>
    <d v="1899-12-30T15:12:00"/>
    <s v="Cash"/>
    <n v="755.76"/>
    <n v="4.7619047620000003"/>
    <x v="359"/>
    <n v="9.1"/>
  </r>
  <r>
    <s v="471-41-2823"/>
    <s v="C"/>
    <s v="Naypyidaw"/>
    <x v="1"/>
    <x v="1"/>
    <x v="4"/>
    <x v="355"/>
    <x v="5"/>
    <n v="9.9789999999999992"/>
    <n v="209.559"/>
    <d v="2019-03-07T00:00:00"/>
    <d v="1899-12-30T20:37:00"/>
    <s v="Ewallet"/>
    <n v="199.58"/>
    <n v="4.7619047620000003"/>
    <x v="360"/>
    <n v="8"/>
  </r>
  <r>
    <s v="462-67-9126"/>
    <s v="A"/>
    <s v="Yangon"/>
    <x v="1"/>
    <x v="1"/>
    <x v="2"/>
    <x v="356"/>
    <x v="3"/>
    <n v="21.966000000000001"/>
    <n v="461.286"/>
    <d v="2019-01-21T00:00:00"/>
    <d v="1899-12-30T17:44:00"/>
    <s v="Cash"/>
    <n v="439.32"/>
    <n v="4.7619047620000003"/>
    <x v="361"/>
    <n v="7.2"/>
  </r>
  <r>
    <s v="272-27-9238"/>
    <s v="C"/>
    <s v="Naypyidaw"/>
    <x v="1"/>
    <x v="0"/>
    <x v="4"/>
    <x v="357"/>
    <x v="7"/>
    <n v="8.2479999999999993"/>
    <n v="173.208"/>
    <d v="2019-02-19T00:00:00"/>
    <d v="1899-12-30T16:23:00"/>
    <s v="Cash"/>
    <n v="164.96"/>
    <n v="4.7619047620000003"/>
    <x v="362"/>
    <n v="7.1"/>
  </r>
  <r>
    <s v="834-25-9262"/>
    <s v="C"/>
    <s v="Naypyidaw"/>
    <x v="1"/>
    <x v="0"/>
    <x v="5"/>
    <x v="358"/>
    <x v="7"/>
    <n v="16.335999999999999"/>
    <n v="343.05599999999998"/>
    <d v="2019-01-06T00:00:00"/>
    <d v="1899-12-30T12:12:00"/>
    <s v="Cash"/>
    <n v="326.72000000000003"/>
    <n v="4.7619047620000003"/>
    <x v="363"/>
    <n v="9.1"/>
  </r>
  <r>
    <s v="122-61-9553"/>
    <s v="C"/>
    <s v="Naypyidaw"/>
    <x v="1"/>
    <x v="0"/>
    <x v="1"/>
    <x v="359"/>
    <x v="9"/>
    <n v="23.094000000000001"/>
    <n v="484.97399999999999"/>
    <d v="2019-03-14T00:00:00"/>
    <d v="1899-12-30T19:33:00"/>
    <s v="Cash"/>
    <n v="461.88"/>
    <n v="4.7619047620000003"/>
    <x v="364"/>
    <n v="5.6"/>
  </r>
  <r>
    <s v="468-88-0009"/>
    <s v="A"/>
    <s v="Yangon"/>
    <x v="0"/>
    <x v="1"/>
    <x v="2"/>
    <x v="256"/>
    <x v="7"/>
    <n v="13.188000000000001"/>
    <n v="276.94799999999998"/>
    <d v="2019-03-24T00:00:00"/>
    <d v="1899-12-30T10:29:00"/>
    <s v="Cash"/>
    <n v="263.76"/>
    <n v="4.7619047620000003"/>
    <x v="257"/>
    <n v="6"/>
  </r>
  <r>
    <s v="613-59-9758"/>
    <s v="C"/>
    <s v="Naypyidaw"/>
    <x v="1"/>
    <x v="0"/>
    <x v="3"/>
    <x v="360"/>
    <x v="4"/>
    <n v="7.18"/>
    <n v="150.78"/>
    <d v="2019-01-27T00:00:00"/>
    <d v="1899-12-30T14:28:00"/>
    <s v="Cash"/>
    <n v="143.6"/>
    <n v="4.7619047620000003"/>
    <x v="365"/>
    <n v="5.4"/>
  </r>
  <r>
    <s v="254-31-0042"/>
    <s v="A"/>
    <s v="Yangon"/>
    <x v="0"/>
    <x v="1"/>
    <x v="1"/>
    <x v="361"/>
    <x v="9"/>
    <n v="9.6750000000000007"/>
    <n v="203.17500000000001"/>
    <d v="2019-03-06T00:00:00"/>
    <d v="1899-12-30T12:46:00"/>
    <s v="Credit card"/>
    <n v="193.5"/>
    <n v="4.7619047620000003"/>
    <x v="366"/>
    <n v="7.8"/>
  </r>
  <r>
    <s v="201-86-2184"/>
    <s v="B"/>
    <s v="Mandalay"/>
    <x v="0"/>
    <x v="0"/>
    <x v="1"/>
    <x v="362"/>
    <x v="0"/>
    <n v="9.1910000000000007"/>
    <n v="193.011"/>
    <d v="2019-02-02T00:00:00"/>
    <d v="1899-12-30T19:40:00"/>
    <s v="Cash"/>
    <n v="183.82"/>
    <n v="4.7619047620000003"/>
    <x v="367"/>
    <n v="9.9"/>
  </r>
  <r>
    <s v="261-12-8671"/>
    <s v="B"/>
    <s v="Mandalay"/>
    <x v="1"/>
    <x v="0"/>
    <x v="5"/>
    <x v="363"/>
    <x v="5"/>
    <n v="6.0960000000000001"/>
    <n v="128.01599999999999"/>
    <d v="2019-01-25T00:00:00"/>
    <d v="1899-12-30T19:39:00"/>
    <s v="Credit card"/>
    <n v="121.92"/>
    <n v="4.7619047620000003"/>
    <x v="368"/>
    <n v="4.9000000000000004"/>
  </r>
  <r>
    <s v="730-70-9830"/>
    <s v="C"/>
    <s v="Naypyidaw"/>
    <x v="1"/>
    <x v="0"/>
    <x v="2"/>
    <x v="364"/>
    <x v="3"/>
    <n v="21.033000000000001"/>
    <n v="441.69299999999998"/>
    <d v="2019-03-14T00:00:00"/>
    <d v="1899-12-30T17:54:00"/>
    <s v="Ewallet"/>
    <n v="420.66"/>
    <n v="4.7619047620000003"/>
    <x v="369"/>
    <n v="5.2"/>
  </r>
  <r>
    <s v="382-25-8917"/>
    <s v="C"/>
    <s v="Naypyidaw"/>
    <x v="1"/>
    <x v="1"/>
    <x v="5"/>
    <x v="365"/>
    <x v="3"/>
    <n v="12.624000000000001"/>
    <n v="265.10399999999998"/>
    <d v="2019-01-29T00:00:00"/>
    <d v="1899-12-30T12:25:00"/>
    <s v="Cash"/>
    <n v="252.48"/>
    <n v="4.7619047620000003"/>
    <x v="370"/>
    <n v="8.9"/>
  </r>
  <r>
    <s v="422-29-8786"/>
    <s v="A"/>
    <s v="Yangon"/>
    <x v="1"/>
    <x v="0"/>
    <x v="2"/>
    <x v="366"/>
    <x v="1"/>
    <n v="16.772500000000001"/>
    <n v="352.22250000000003"/>
    <d v="2019-01-03T00:00:00"/>
    <d v="1899-12-30T16:47:00"/>
    <s v="Credit card"/>
    <n v="335.45"/>
    <n v="4.7619047620000003"/>
    <x v="371"/>
    <n v="9.1"/>
  </r>
  <r>
    <s v="667-23-5919"/>
    <s v="A"/>
    <s v="Yangon"/>
    <x v="0"/>
    <x v="0"/>
    <x v="5"/>
    <x v="367"/>
    <x v="1"/>
    <n v="24.175000000000001"/>
    <n v="507.67500000000001"/>
    <d v="2019-01-14T00:00:00"/>
    <d v="1899-12-30T12:52:00"/>
    <s v="Ewallet"/>
    <n v="483.5"/>
    <n v="4.7619047620000003"/>
    <x v="372"/>
    <n v="7"/>
  </r>
  <r>
    <s v="843-01-4703"/>
    <s v="B"/>
    <s v="Mandalay"/>
    <x v="0"/>
    <x v="0"/>
    <x v="2"/>
    <x v="368"/>
    <x v="9"/>
    <n v="15.920999999999999"/>
    <n v="334.34100000000001"/>
    <d v="2019-01-05T00:00:00"/>
    <d v="1899-12-30T19:50:00"/>
    <s v="Credit card"/>
    <n v="318.42"/>
    <n v="4.7619047620000003"/>
    <x v="373"/>
    <n v="9.6"/>
  </r>
  <r>
    <s v="743-88-1662"/>
    <s v="C"/>
    <s v="Naypyidaw"/>
    <x v="1"/>
    <x v="1"/>
    <x v="3"/>
    <x v="369"/>
    <x v="0"/>
    <n v="33.421500000000002"/>
    <n v="701.85149999999999"/>
    <d v="2019-02-22T00:00:00"/>
    <d v="1899-12-30T18:17:00"/>
    <s v="Ewallet"/>
    <n v="668.43"/>
    <n v="4.7619047620000003"/>
    <x v="374"/>
    <n v="8.6999999999999993"/>
  </r>
  <r>
    <s v="595-86-2894"/>
    <s v="C"/>
    <s v="Naypyidaw"/>
    <x v="0"/>
    <x v="1"/>
    <x v="5"/>
    <x v="370"/>
    <x v="7"/>
    <n v="19.396000000000001"/>
    <n v="407.31599999999997"/>
    <d v="2019-02-06T00:00:00"/>
    <d v="1899-12-30T17:20:00"/>
    <s v="Ewallet"/>
    <n v="387.92"/>
    <n v="4.7619047620000003"/>
    <x v="375"/>
    <n v="9.4"/>
  </r>
  <r>
    <s v="182-69-8360"/>
    <s v="B"/>
    <s v="Mandalay"/>
    <x v="1"/>
    <x v="0"/>
    <x v="1"/>
    <x v="371"/>
    <x v="7"/>
    <n v="4.7300000000000004"/>
    <n v="99.33"/>
    <d v="2019-01-30T00:00:00"/>
    <d v="1899-12-30T13:32:00"/>
    <s v="Credit card"/>
    <n v="94.6"/>
    <n v="4.7619047620000003"/>
    <x v="376"/>
    <n v="4"/>
  </r>
  <r>
    <s v="289-15-7034"/>
    <s v="A"/>
    <s v="Yangon"/>
    <x v="0"/>
    <x v="1"/>
    <x v="3"/>
    <x v="372"/>
    <x v="7"/>
    <n v="16.466000000000001"/>
    <n v="345.786"/>
    <d v="2019-01-11T00:00:00"/>
    <d v="1899-12-30T10:37:00"/>
    <s v="Credit card"/>
    <n v="329.32"/>
    <n v="4.7619047620000003"/>
    <x v="377"/>
    <n v="7.5"/>
  </r>
  <r>
    <s v="462-78-5240"/>
    <s v="C"/>
    <s v="Naypyidaw"/>
    <x v="1"/>
    <x v="0"/>
    <x v="1"/>
    <x v="373"/>
    <x v="5"/>
    <n v="2.661"/>
    <n v="55.881"/>
    <d v="2019-03-19T00:00:00"/>
    <d v="1899-12-30T14:35:00"/>
    <s v="Cash"/>
    <n v="53.22"/>
    <n v="4.7619047620000003"/>
    <x v="378"/>
    <n v="4.2"/>
  </r>
  <r>
    <s v="868-52-7573"/>
    <s v="B"/>
    <s v="Mandalay"/>
    <x v="1"/>
    <x v="0"/>
    <x v="4"/>
    <x v="374"/>
    <x v="1"/>
    <n v="24.922499999999999"/>
    <n v="523.37249999999995"/>
    <d v="2019-01-14T00:00:00"/>
    <d v="1899-12-30T12:09:00"/>
    <s v="Cash"/>
    <n v="498.45"/>
    <n v="4.7619047620000003"/>
    <x v="379"/>
    <n v="9.9"/>
  </r>
  <r>
    <s v="153-58-4872"/>
    <s v="C"/>
    <s v="Naypyidaw"/>
    <x v="0"/>
    <x v="0"/>
    <x v="4"/>
    <x v="375"/>
    <x v="7"/>
    <n v="14.978"/>
    <n v="314.53800000000001"/>
    <d v="2019-03-01T00:00:00"/>
    <d v="1899-12-30T15:32:00"/>
    <s v="Ewallet"/>
    <n v="299.56"/>
    <n v="4.7619047620000003"/>
    <x v="380"/>
    <n v="4.2"/>
  </r>
  <r>
    <s v="662-72-2873"/>
    <s v="A"/>
    <s v="Yangon"/>
    <x v="1"/>
    <x v="0"/>
    <x v="4"/>
    <x v="376"/>
    <x v="1"/>
    <n v="10.234999999999999"/>
    <n v="214.935"/>
    <d v="2019-01-06T00:00:00"/>
    <d v="1899-12-30T13:58:00"/>
    <s v="Ewallet"/>
    <n v="204.7"/>
    <n v="4.7619047620000003"/>
    <x v="381"/>
    <n v="9.9"/>
  </r>
  <r>
    <s v="525-88-7307"/>
    <s v="B"/>
    <s v="Mandalay"/>
    <x v="0"/>
    <x v="1"/>
    <x v="3"/>
    <x v="377"/>
    <x v="8"/>
    <n v="3.7909999999999999"/>
    <n v="79.611000000000004"/>
    <d v="2019-01-31T00:00:00"/>
    <d v="1899-12-30T13:19:00"/>
    <s v="Cash"/>
    <n v="75.819999999999993"/>
    <n v="4.7619047620000003"/>
    <x v="382"/>
    <n v="5.8"/>
  </r>
  <r>
    <s v="689-16-9784"/>
    <s v="C"/>
    <s v="Naypyidaw"/>
    <x v="1"/>
    <x v="1"/>
    <x v="4"/>
    <x v="378"/>
    <x v="3"/>
    <n v="14.031000000000001"/>
    <n v="294.65100000000001"/>
    <d v="2019-03-11T00:00:00"/>
    <d v="1899-12-30T13:37:00"/>
    <s v="Cash"/>
    <n v="280.62"/>
    <n v="4.7619047620000003"/>
    <x v="383"/>
    <n v="6"/>
  </r>
  <r>
    <s v="725-56-0833"/>
    <s v="A"/>
    <s v="Yangon"/>
    <x v="1"/>
    <x v="0"/>
    <x v="0"/>
    <x v="379"/>
    <x v="4"/>
    <n v="16.16"/>
    <n v="339.36"/>
    <d v="2019-02-20T00:00:00"/>
    <d v="1899-12-30T16:49:00"/>
    <s v="Credit card"/>
    <n v="323.2"/>
    <n v="4.7619047620000003"/>
    <x v="384"/>
    <n v="10"/>
  </r>
  <r>
    <s v="394-41-0748"/>
    <s v="C"/>
    <s v="Naypyidaw"/>
    <x v="0"/>
    <x v="0"/>
    <x v="5"/>
    <x v="380"/>
    <x v="9"/>
    <n v="24.331499999999998"/>
    <n v="510.9615"/>
    <d v="2019-01-27T00:00:00"/>
    <d v="1899-12-30T14:55:00"/>
    <s v="Ewallet"/>
    <n v="486.63"/>
    <n v="4.7619047620000003"/>
    <x v="385"/>
    <n v="9.5"/>
  </r>
  <r>
    <s v="596-42-3999"/>
    <s v="B"/>
    <s v="Mandalay"/>
    <x v="1"/>
    <x v="1"/>
    <x v="4"/>
    <x v="381"/>
    <x v="0"/>
    <n v="6.3769999999999998"/>
    <n v="133.917"/>
    <d v="2019-03-10T00:00:00"/>
    <d v="1899-12-30T14:04:00"/>
    <s v="Credit card"/>
    <n v="127.54"/>
    <n v="4.7619047620000003"/>
    <x v="386"/>
    <n v="6.6"/>
  </r>
  <r>
    <s v="541-89-9860"/>
    <s v="C"/>
    <s v="Naypyidaw"/>
    <x v="0"/>
    <x v="0"/>
    <x v="5"/>
    <x v="382"/>
    <x v="6"/>
    <n v="12.071999999999999"/>
    <n v="253.512"/>
    <d v="2019-02-15T00:00:00"/>
    <d v="1899-12-30T12:31:00"/>
    <s v="Cash"/>
    <n v="241.44"/>
    <n v="4.7619047620000003"/>
    <x v="387"/>
    <n v="8.1"/>
  </r>
  <r>
    <s v="173-82-9529"/>
    <s v="B"/>
    <s v="Mandalay"/>
    <x v="1"/>
    <x v="0"/>
    <x v="5"/>
    <x v="383"/>
    <x v="4"/>
    <n v="18.975000000000001"/>
    <n v="398.47500000000002"/>
    <d v="2019-01-26T00:00:00"/>
    <d v="1899-12-30T14:51:00"/>
    <s v="Cash"/>
    <n v="379.5"/>
    <n v="4.7619047620000003"/>
    <x v="388"/>
    <n v="9.6999999999999993"/>
  </r>
  <r>
    <s v="563-36-9814"/>
    <s v="A"/>
    <s v="Yangon"/>
    <x v="0"/>
    <x v="1"/>
    <x v="1"/>
    <x v="384"/>
    <x v="8"/>
    <n v="3.8410000000000002"/>
    <n v="80.661000000000001"/>
    <d v="2019-02-13T00:00:00"/>
    <d v="1899-12-30T18:27:00"/>
    <s v="Ewallet"/>
    <n v="76.819999999999993"/>
    <n v="4.7619047620000003"/>
    <x v="389"/>
    <n v="7.2"/>
  </r>
  <r>
    <s v="308-47-4913"/>
    <s v="A"/>
    <s v="Yangon"/>
    <x v="0"/>
    <x v="0"/>
    <x v="3"/>
    <x v="385"/>
    <x v="4"/>
    <n v="26.13"/>
    <n v="548.73"/>
    <d v="2019-03-09T00:00:00"/>
    <d v="1899-12-30T12:45:00"/>
    <s v="Credit card"/>
    <n v="522.6"/>
    <n v="4.7619047620000003"/>
    <x v="390"/>
    <n v="6.2"/>
  </r>
  <r>
    <s v="885-17-6250"/>
    <s v="A"/>
    <s v="Yangon"/>
    <x v="1"/>
    <x v="0"/>
    <x v="0"/>
    <x v="386"/>
    <x v="8"/>
    <n v="3.9870000000000001"/>
    <n v="83.727000000000004"/>
    <d v="2019-03-06T00:00:00"/>
    <d v="1899-12-30T10:36:00"/>
    <s v="Ewallet"/>
    <n v="79.739999999999995"/>
    <n v="4.7619047620000003"/>
    <x v="391"/>
    <n v="7.3"/>
  </r>
  <r>
    <s v="726-27-2396"/>
    <s v="A"/>
    <s v="Yangon"/>
    <x v="1"/>
    <x v="0"/>
    <x v="0"/>
    <x v="387"/>
    <x v="1"/>
    <n v="19.375"/>
    <n v="406.875"/>
    <d v="2019-01-24T00:00:00"/>
    <d v="1899-12-30T20:36:00"/>
    <s v="Ewallet"/>
    <n v="387.5"/>
    <n v="4.7619047620000003"/>
    <x v="392"/>
    <n v="4.3"/>
  </r>
  <r>
    <s v="316-01-3952"/>
    <s v="A"/>
    <s v="Yangon"/>
    <x v="1"/>
    <x v="0"/>
    <x v="4"/>
    <x v="388"/>
    <x v="1"/>
    <n v="13.567500000000001"/>
    <n v="284.91750000000002"/>
    <d v="2019-03-13T00:00:00"/>
    <d v="1899-12-30T14:16:00"/>
    <s v="Ewallet"/>
    <n v="271.35000000000002"/>
    <n v="4.7619047620000003"/>
    <x v="393"/>
    <n v="4.5999999999999996"/>
  </r>
  <r>
    <s v="760-54-1821"/>
    <s v="B"/>
    <s v="Mandalay"/>
    <x v="1"/>
    <x v="1"/>
    <x v="2"/>
    <x v="389"/>
    <x v="9"/>
    <n v="6.1154999999999999"/>
    <n v="128.4255"/>
    <d v="2019-03-15T00:00:00"/>
    <d v="1899-12-30T10:26:00"/>
    <s v="Cash"/>
    <n v="122.31"/>
    <n v="4.7619047620000003"/>
    <x v="394"/>
    <n v="5.8"/>
  </r>
  <r>
    <s v="793-10-3222"/>
    <s v="B"/>
    <s v="Mandalay"/>
    <x v="0"/>
    <x v="0"/>
    <x v="0"/>
    <x v="390"/>
    <x v="3"/>
    <n v="12.318"/>
    <n v="258.678"/>
    <d v="2019-03-05T00:00:00"/>
    <d v="1899-12-30T13:30:00"/>
    <s v="Credit card"/>
    <n v="246.36"/>
    <n v="4.7619047620000003"/>
    <x v="395"/>
    <n v="8.3000000000000007"/>
  </r>
  <r>
    <s v="346-12-3257"/>
    <s v="B"/>
    <s v="Mandalay"/>
    <x v="0"/>
    <x v="1"/>
    <x v="1"/>
    <x v="391"/>
    <x v="9"/>
    <n v="8.6579999999999995"/>
    <n v="181.81800000000001"/>
    <d v="2019-03-04T00:00:00"/>
    <d v="1899-12-30T16:28:00"/>
    <s v="Cash"/>
    <n v="173.16"/>
    <n v="4.7619047620000003"/>
    <x v="396"/>
    <n v="8"/>
  </r>
  <r>
    <s v="110-05-6330"/>
    <s v="C"/>
    <s v="Naypyidaw"/>
    <x v="1"/>
    <x v="0"/>
    <x v="4"/>
    <x v="392"/>
    <x v="3"/>
    <n v="11.829000000000001"/>
    <n v="248.40899999999999"/>
    <d v="2019-03-25T00:00:00"/>
    <d v="1899-12-30T20:18:00"/>
    <s v="Credit card"/>
    <n v="236.58"/>
    <n v="4.7619047620000003"/>
    <x v="397"/>
    <n v="9.4"/>
  </r>
  <r>
    <s v="651-61-0874"/>
    <s v="C"/>
    <s v="Naypyidaw"/>
    <x v="1"/>
    <x v="1"/>
    <x v="2"/>
    <x v="393"/>
    <x v="7"/>
    <n v="9.2439999999999998"/>
    <n v="194.124"/>
    <d v="2019-03-12T00:00:00"/>
    <d v="1899-12-30T20:04:00"/>
    <s v="Credit card"/>
    <n v="184.88"/>
    <n v="4.7619047620000003"/>
    <x v="398"/>
    <n v="6.2"/>
  </r>
  <r>
    <s v="236-86-3015"/>
    <s v="C"/>
    <s v="Naypyidaw"/>
    <x v="0"/>
    <x v="1"/>
    <x v="2"/>
    <x v="394"/>
    <x v="8"/>
    <n v="0.69899999999999995"/>
    <n v="14.679"/>
    <d v="2019-02-04T00:00:00"/>
    <d v="1899-12-30T13:38:00"/>
    <s v="Ewallet"/>
    <n v="13.98"/>
    <n v="4.7619047620000003"/>
    <x v="399"/>
    <n v="9.8000000000000007"/>
  </r>
  <r>
    <s v="831-64-0259"/>
    <s v="B"/>
    <s v="Mandalay"/>
    <x v="1"/>
    <x v="0"/>
    <x v="5"/>
    <x v="395"/>
    <x v="1"/>
    <n v="9.9375"/>
    <n v="208.6875"/>
    <d v="2019-02-22T00:00:00"/>
    <d v="1899-12-30T10:43:00"/>
    <s v="Ewallet"/>
    <n v="198.75"/>
    <n v="4.7619047620000003"/>
    <x v="400"/>
    <n v="9.6"/>
  </r>
  <r>
    <s v="587-03-7455"/>
    <s v="C"/>
    <s v="Naypyidaw"/>
    <x v="0"/>
    <x v="0"/>
    <x v="5"/>
    <x v="396"/>
    <x v="0"/>
    <n v="34.226500000000001"/>
    <n v="718.75649999999996"/>
    <d v="2019-02-16T00:00:00"/>
    <d v="1899-12-30T17:30:00"/>
    <s v="Ewallet"/>
    <n v="684.53"/>
    <n v="4.7619047620000003"/>
    <x v="401"/>
    <n v="4.9000000000000004"/>
  </r>
  <r>
    <s v="882-40-4577"/>
    <s v="A"/>
    <s v="Yangon"/>
    <x v="0"/>
    <x v="1"/>
    <x v="3"/>
    <x v="397"/>
    <x v="7"/>
    <n v="13.452"/>
    <n v="282.49200000000002"/>
    <d v="2019-01-19T00:00:00"/>
    <d v="1899-12-30T15:28:00"/>
    <s v="Credit card"/>
    <n v="269.04000000000002"/>
    <n v="4.7619047620000003"/>
    <x v="402"/>
    <n v="8"/>
  </r>
  <r>
    <s v="732-67-5346"/>
    <s v="A"/>
    <s v="Yangon"/>
    <x v="1"/>
    <x v="1"/>
    <x v="4"/>
    <x v="398"/>
    <x v="1"/>
    <n v="3.4474999999999998"/>
    <n v="72.397499999999994"/>
    <d v="2019-01-11T00:00:00"/>
    <d v="1899-12-30T19:07:00"/>
    <s v="Credit card"/>
    <n v="68.95"/>
    <n v="4.7619047620000003"/>
    <x v="403"/>
    <n v="7.8"/>
  </r>
  <r>
    <s v="725-32-9708"/>
    <s v="B"/>
    <s v="Mandalay"/>
    <x v="0"/>
    <x v="0"/>
    <x v="5"/>
    <x v="399"/>
    <x v="7"/>
    <n v="13.742000000000001"/>
    <n v="288.58199999999999"/>
    <d v="2019-01-04T00:00:00"/>
    <d v="1899-12-30T19:01:00"/>
    <s v="Cash"/>
    <n v="274.83999999999997"/>
    <n v="4.7619047620000003"/>
    <x v="404"/>
    <n v="4.0999999999999996"/>
  </r>
  <r>
    <s v="256-08-8343"/>
    <s v="A"/>
    <s v="Yangon"/>
    <x v="1"/>
    <x v="0"/>
    <x v="2"/>
    <x v="400"/>
    <x v="7"/>
    <n v="11.305999999999999"/>
    <n v="237.42599999999999"/>
    <d v="2019-03-04T00:00:00"/>
    <d v="1899-12-30T19:48:00"/>
    <s v="Ewallet"/>
    <n v="226.12"/>
    <n v="4.7619047620000003"/>
    <x v="405"/>
    <n v="5.5"/>
  </r>
  <r>
    <s v="372-26-1506"/>
    <s v="C"/>
    <s v="Naypyidaw"/>
    <x v="1"/>
    <x v="0"/>
    <x v="5"/>
    <x v="401"/>
    <x v="1"/>
    <n v="5.9550000000000001"/>
    <n v="125.05500000000001"/>
    <d v="2019-01-28T00:00:00"/>
    <d v="1899-12-30T19:24:00"/>
    <s v="Ewallet"/>
    <n v="119.1"/>
    <n v="4.7619047620000003"/>
    <x v="406"/>
    <n v="5.4"/>
  </r>
  <r>
    <s v="244-08-0162"/>
    <s v="B"/>
    <s v="Mandalay"/>
    <x v="1"/>
    <x v="0"/>
    <x v="0"/>
    <x v="402"/>
    <x v="4"/>
    <n v="17.105"/>
    <n v="359.20499999999998"/>
    <d v="2019-01-02T00:00:00"/>
    <d v="1899-12-30T13:00:00"/>
    <s v="Cash"/>
    <n v="342.1"/>
    <n v="4.7619047620000003"/>
    <x v="407"/>
    <n v="5.0999999999999996"/>
  </r>
  <r>
    <s v="569-71-4390"/>
    <s v="B"/>
    <s v="Mandalay"/>
    <x v="1"/>
    <x v="1"/>
    <x v="3"/>
    <x v="403"/>
    <x v="5"/>
    <n v="2.1869999999999998"/>
    <n v="45.927"/>
    <d v="2019-01-25T00:00:00"/>
    <d v="1899-12-30T14:29:00"/>
    <s v="Ewallet"/>
    <n v="43.74"/>
    <n v="4.7619047620000003"/>
    <x v="408"/>
    <n v="6.9"/>
  </r>
  <r>
    <s v="132-23-6451"/>
    <s v="A"/>
    <s v="Yangon"/>
    <x v="0"/>
    <x v="1"/>
    <x v="0"/>
    <x v="404"/>
    <x v="1"/>
    <n v="5.2424999999999997"/>
    <n v="110.0925"/>
    <d v="2019-01-04T00:00:00"/>
    <d v="1899-12-30T13:21:00"/>
    <s v="Cash"/>
    <n v="104.85"/>
    <n v="4.7619047620000003"/>
    <x v="409"/>
    <n v="7.8"/>
  </r>
  <r>
    <s v="696-90-2548"/>
    <s v="A"/>
    <s v="Yangon"/>
    <x v="1"/>
    <x v="1"/>
    <x v="3"/>
    <x v="405"/>
    <x v="6"/>
    <n v="3.8759999999999999"/>
    <n v="81.396000000000001"/>
    <d v="2019-03-10T00:00:00"/>
    <d v="1899-12-30T18:55:00"/>
    <s v="Ewallet"/>
    <n v="77.52"/>
    <n v="4.7619047620000003"/>
    <x v="410"/>
    <n v="6.6"/>
  </r>
  <r>
    <s v="472-15-9636"/>
    <s v="A"/>
    <s v="Yangon"/>
    <x v="1"/>
    <x v="1"/>
    <x v="2"/>
    <x v="406"/>
    <x v="2"/>
    <n v="20.372"/>
    <n v="427.81200000000001"/>
    <d v="2019-03-22T00:00:00"/>
    <d v="1899-12-30T19:36:00"/>
    <s v="Ewallet"/>
    <n v="407.44"/>
    <n v="4.7619047620000003"/>
    <x v="411"/>
    <n v="9.1999999999999993"/>
  </r>
  <r>
    <s v="268-03-6164"/>
    <s v="B"/>
    <s v="Mandalay"/>
    <x v="1"/>
    <x v="1"/>
    <x v="0"/>
    <x v="407"/>
    <x v="8"/>
    <n v="4.8055000000000003"/>
    <n v="100.91549999999999"/>
    <d v="2019-01-25T00:00:00"/>
    <d v="1899-12-30T16:28:00"/>
    <s v="Ewallet"/>
    <n v="96.11"/>
    <n v="4.7619047620000003"/>
    <x v="412"/>
    <n v="7.8"/>
  </r>
  <r>
    <s v="750-57-9686"/>
    <s v="C"/>
    <s v="Naypyidaw"/>
    <x v="1"/>
    <x v="0"/>
    <x v="2"/>
    <x v="408"/>
    <x v="7"/>
    <n v="9.0760000000000005"/>
    <n v="190.596"/>
    <d v="2019-01-08T00:00:00"/>
    <d v="1899-12-30T13:48:00"/>
    <s v="Credit card"/>
    <n v="181.52"/>
    <n v="4.7619047620000003"/>
    <x v="413"/>
    <n v="8.6999999999999993"/>
  </r>
  <r>
    <s v="186-09-3669"/>
    <s v="C"/>
    <s v="Naypyidaw"/>
    <x v="0"/>
    <x v="0"/>
    <x v="0"/>
    <x v="409"/>
    <x v="8"/>
    <n v="4.0754999999999999"/>
    <n v="85.585499999999996"/>
    <d v="2019-01-22T00:00:00"/>
    <d v="1899-12-30T10:57:00"/>
    <s v="Ewallet"/>
    <n v="81.510000000000005"/>
    <n v="4.7619047620000003"/>
    <x v="414"/>
    <n v="9.1999999999999993"/>
  </r>
  <r>
    <s v="848-07-1692"/>
    <s v="B"/>
    <s v="Mandalay"/>
    <x v="1"/>
    <x v="0"/>
    <x v="0"/>
    <x v="410"/>
    <x v="5"/>
    <n v="5.7220000000000004"/>
    <n v="120.16200000000001"/>
    <d v="2019-01-12T00:00:00"/>
    <d v="1899-12-30T17:13:00"/>
    <s v="Ewallet"/>
    <n v="114.44"/>
    <n v="4.7619047620000003"/>
    <x v="415"/>
    <n v="8.3000000000000007"/>
  </r>
  <r>
    <s v="745-71-3520"/>
    <s v="A"/>
    <s v="Yangon"/>
    <x v="0"/>
    <x v="0"/>
    <x v="1"/>
    <x v="411"/>
    <x v="0"/>
    <n v="8.827"/>
    <n v="185.36699999999999"/>
    <d v="2019-02-04T00:00:00"/>
    <d v="1899-12-30T10:23:00"/>
    <s v="Cash"/>
    <n v="176.54"/>
    <n v="4.7619047620000003"/>
    <x v="416"/>
    <n v="8.1999999999999993"/>
  </r>
  <r>
    <s v="266-76-6436"/>
    <s v="C"/>
    <s v="Naypyidaw"/>
    <x v="0"/>
    <x v="0"/>
    <x v="4"/>
    <x v="412"/>
    <x v="6"/>
    <n v="5.79"/>
    <n v="121.59"/>
    <d v="2019-03-28T00:00:00"/>
    <d v="1899-12-30T13:57:00"/>
    <s v="Ewallet"/>
    <n v="115.8"/>
    <n v="4.7619047620000003"/>
    <x v="417"/>
    <n v="7.5"/>
  </r>
  <r>
    <s v="740-22-2500"/>
    <s v="C"/>
    <s v="Naypyidaw"/>
    <x v="1"/>
    <x v="0"/>
    <x v="1"/>
    <x v="413"/>
    <x v="6"/>
    <n v="12.6075"/>
    <n v="264.75749999999999"/>
    <d v="2019-01-23T00:00:00"/>
    <d v="1899-12-30T13:29:00"/>
    <s v="Cash"/>
    <n v="252.15"/>
    <n v="4.7619047620000003"/>
    <x v="418"/>
    <n v="9.8000000000000007"/>
  </r>
  <r>
    <s v="271-88-8734"/>
    <s v="C"/>
    <s v="Naypyidaw"/>
    <x v="0"/>
    <x v="0"/>
    <x v="5"/>
    <x v="414"/>
    <x v="4"/>
    <n v="48.604999999999997"/>
    <n v="1020.705"/>
    <d v="2019-02-08T00:00:00"/>
    <d v="1899-12-30T13:00:00"/>
    <s v="Credit card"/>
    <n v="972.1"/>
    <n v="4.7619047620000003"/>
    <x v="419"/>
    <n v="8.6999999999999993"/>
  </r>
  <r>
    <s v="301-81-8610"/>
    <s v="B"/>
    <s v="Mandalay"/>
    <x v="0"/>
    <x v="1"/>
    <x v="5"/>
    <x v="415"/>
    <x v="2"/>
    <n v="10.167999999999999"/>
    <n v="213.52799999999999"/>
    <d v="2019-03-19T00:00:00"/>
    <d v="1899-12-30T19:42:00"/>
    <s v="Credit card"/>
    <n v="203.36"/>
    <n v="4.7619047620000003"/>
    <x v="420"/>
    <n v="6.7"/>
  </r>
  <r>
    <s v="489-64-4354"/>
    <s v="C"/>
    <s v="Naypyidaw"/>
    <x v="1"/>
    <x v="1"/>
    <x v="5"/>
    <x v="416"/>
    <x v="8"/>
    <n v="0.81399999999999995"/>
    <n v="17.094000000000001"/>
    <d v="2019-03-09T00:00:00"/>
    <d v="1899-12-30T15:36:00"/>
    <s v="Cash"/>
    <n v="16.28"/>
    <n v="4.7619047620000003"/>
    <x v="421"/>
    <n v="5"/>
  </r>
  <r>
    <s v="198-84-7132"/>
    <s v="B"/>
    <s v="Mandalay"/>
    <x v="0"/>
    <x v="1"/>
    <x v="5"/>
    <x v="417"/>
    <x v="9"/>
    <n v="18.2745"/>
    <n v="383.7645"/>
    <d v="2019-01-02T00:00:00"/>
    <d v="1899-12-30T13:40:00"/>
    <s v="Cash"/>
    <n v="365.49"/>
    <n v="4.7619047620000003"/>
    <x v="422"/>
    <n v="7"/>
  </r>
  <r>
    <s v="269-10-8440"/>
    <s v="A"/>
    <s v="Yangon"/>
    <x v="0"/>
    <x v="1"/>
    <x v="0"/>
    <x v="418"/>
    <x v="0"/>
    <n v="18.609500000000001"/>
    <n v="390.79950000000002"/>
    <d v="2019-01-21T00:00:00"/>
    <d v="1899-12-30T18:01:00"/>
    <s v="Cash"/>
    <n v="372.19"/>
    <n v="4.7619047620000003"/>
    <x v="423"/>
    <n v="8.9"/>
  </r>
  <r>
    <s v="650-98-6268"/>
    <s v="B"/>
    <s v="Mandalay"/>
    <x v="0"/>
    <x v="0"/>
    <x v="4"/>
    <x v="419"/>
    <x v="6"/>
    <n v="3.1305000000000001"/>
    <n v="65.740499999999997"/>
    <d v="2019-03-20T00:00:00"/>
    <d v="1899-12-30T13:53:00"/>
    <s v="Credit card"/>
    <n v="62.61"/>
    <n v="4.7619047620000003"/>
    <x v="424"/>
    <n v="8"/>
  </r>
  <r>
    <s v="741-73-3559"/>
    <s v="B"/>
    <s v="Mandalay"/>
    <x v="1"/>
    <x v="1"/>
    <x v="3"/>
    <x v="420"/>
    <x v="1"/>
    <n v="16.817499999999999"/>
    <n v="353.16750000000002"/>
    <d v="2019-02-27T00:00:00"/>
    <d v="1899-12-30T17:27:00"/>
    <s v="Cash"/>
    <n v="336.35"/>
    <n v="4.7619047620000003"/>
    <x v="425"/>
    <n v="6.9"/>
  </r>
  <r>
    <s v="325-77-6186"/>
    <s v="A"/>
    <s v="Yangon"/>
    <x v="0"/>
    <x v="0"/>
    <x v="2"/>
    <x v="421"/>
    <x v="4"/>
    <n v="45.325000000000003"/>
    <n v="951.82500000000005"/>
    <d v="2019-03-08T00:00:00"/>
    <d v="1899-12-30T10:53:00"/>
    <s v="Ewallet"/>
    <n v="906.5"/>
    <n v="4.7619047620000003"/>
    <x v="426"/>
    <n v="7.3"/>
  </r>
  <r>
    <s v="286-75-7818"/>
    <s v="B"/>
    <s v="Mandalay"/>
    <x v="1"/>
    <x v="1"/>
    <x v="5"/>
    <x v="422"/>
    <x v="5"/>
    <n v="6.9080000000000004"/>
    <n v="145.06800000000001"/>
    <d v="2019-01-31T00:00:00"/>
    <d v="1899-12-30T19:48:00"/>
    <s v="Credit card"/>
    <n v="138.16"/>
    <n v="4.7619047620000003"/>
    <x v="427"/>
    <n v="6.9"/>
  </r>
  <r>
    <s v="574-57-9721"/>
    <s v="C"/>
    <s v="Naypyidaw"/>
    <x v="1"/>
    <x v="1"/>
    <x v="4"/>
    <x v="423"/>
    <x v="5"/>
    <n v="4.327"/>
    <n v="90.867000000000004"/>
    <d v="2019-03-08T00:00:00"/>
    <d v="1899-12-30T16:53:00"/>
    <s v="Ewallet"/>
    <n v="86.54"/>
    <n v="4.7619047620000003"/>
    <x v="428"/>
    <n v="5.7"/>
  </r>
  <r>
    <s v="459-50-7686"/>
    <s v="A"/>
    <s v="Yangon"/>
    <x v="1"/>
    <x v="0"/>
    <x v="1"/>
    <x v="424"/>
    <x v="3"/>
    <n v="7.0380000000000003"/>
    <n v="147.798"/>
    <d v="2019-01-13T00:00:00"/>
    <d v="1899-12-30T19:14:00"/>
    <s v="Ewallet"/>
    <n v="140.76"/>
    <n v="4.7619047620000003"/>
    <x v="429"/>
    <n v="6.4"/>
  </r>
  <r>
    <s v="616-87-0016"/>
    <s v="B"/>
    <s v="Mandalay"/>
    <x v="1"/>
    <x v="1"/>
    <x v="5"/>
    <x v="425"/>
    <x v="0"/>
    <n v="33.439"/>
    <n v="702.21900000000005"/>
    <d v="2019-03-09T00:00:00"/>
    <d v="1899-12-30T14:36:00"/>
    <s v="Credit card"/>
    <n v="668.78"/>
    <n v="4.7619047620000003"/>
    <x v="430"/>
    <n v="9.6"/>
  </r>
  <r>
    <s v="837-55-7229"/>
    <s v="B"/>
    <s v="Mandalay"/>
    <x v="1"/>
    <x v="0"/>
    <x v="5"/>
    <x v="426"/>
    <x v="8"/>
    <n v="2.3719999999999999"/>
    <n v="49.811999999999998"/>
    <d v="2019-02-22T00:00:00"/>
    <d v="1899-12-30T18:19:00"/>
    <s v="Credit card"/>
    <n v="47.44"/>
    <n v="4.7619047620000003"/>
    <x v="431"/>
    <n v="6.8"/>
  </r>
  <r>
    <s v="751-69-0068"/>
    <s v="C"/>
    <s v="Naypyidaw"/>
    <x v="1"/>
    <x v="1"/>
    <x v="3"/>
    <x v="427"/>
    <x v="9"/>
    <n v="44.658000000000001"/>
    <n v="937.81799999999998"/>
    <d v="2019-03-19T00:00:00"/>
    <d v="1899-12-30T19:09:00"/>
    <s v="Ewallet"/>
    <n v="893.16"/>
    <n v="4.7619047620000003"/>
    <x v="432"/>
    <n v="9"/>
  </r>
  <r>
    <s v="257-73-1380"/>
    <s v="C"/>
    <s v="Naypyidaw"/>
    <x v="0"/>
    <x v="1"/>
    <x v="3"/>
    <x v="428"/>
    <x v="7"/>
    <n v="16.585999999999999"/>
    <n v="348.30599999999998"/>
    <d v="2019-01-20T00:00:00"/>
    <d v="1899-12-30T16:51:00"/>
    <s v="Ewallet"/>
    <n v="331.72"/>
    <n v="4.7619047620000003"/>
    <x v="433"/>
    <n v="9.6"/>
  </r>
  <r>
    <s v="345-08-4992"/>
    <s v="A"/>
    <s v="Yangon"/>
    <x v="1"/>
    <x v="1"/>
    <x v="2"/>
    <x v="429"/>
    <x v="3"/>
    <n v="10.196999999999999"/>
    <n v="214.137"/>
    <d v="2019-03-08T00:00:00"/>
    <d v="1899-12-30T15:37:00"/>
    <s v="Credit card"/>
    <n v="203.94"/>
    <n v="4.7619047620000003"/>
    <x v="434"/>
    <n v="7.7"/>
  </r>
  <r>
    <s v="549-96-4200"/>
    <s v="C"/>
    <s v="Naypyidaw"/>
    <x v="0"/>
    <x v="1"/>
    <x v="4"/>
    <x v="430"/>
    <x v="7"/>
    <n v="3.4079999999999999"/>
    <n v="71.567999999999998"/>
    <d v="2019-03-08T00:00:00"/>
    <d v="1899-12-30T20:15:00"/>
    <s v="Ewallet"/>
    <n v="68.16"/>
    <n v="4.7619047620000003"/>
    <x v="435"/>
    <n v="7"/>
  </r>
  <r>
    <s v="810-60-6344"/>
    <s v="C"/>
    <s v="Naypyidaw"/>
    <x v="1"/>
    <x v="0"/>
    <x v="1"/>
    <x v="431"/>
    <x v="2"/>
    <n v="16.344000000000001"/>
    <n v="343.22399999999999"/>
    <d v="2019-02-07T00:00:00"/>
    <d v="1899-12-30T14:38:00"/>
    <s v="Credit card"/>
    <n v="326.88"/>
    <n v="4.7619047620000003"/>
    <x v="436"/>
    <n v="6.5"/>
  </r>
  <r>
    <s v="450-28-2866"/>
    <s v="C"/>
    <s v="Naypyidaw"/>
    <x v="0"/>
    <x v="1"/>
    <x v="4"/>
    <x v="432"/>
    <x v="1"/>
    <n v="4.3600000000000003"/>
    <n v="91.56"/>
    <d v="2019-01-15T00:00:00"/>
    <d v="1899-12-30T19:25:00"/>
    <s v="Cash"/>
    <n v="87.2"/>
    <n v="4.7619047620000003"/>
    <x v="437"/>
    <n v="8.1"/>
  </r>
  <r>
    <s v="394-30-3170"/>
    <s v="B"/>
    <s v="Mandalay"/>
    <x v="0"/>
    <x v="0"/>
    <x v="3"/>
    <x v="433"/>
    <x v="2"/>
    <n v="35.372"/>
    <n v="742.81200000000001"/>
    <d v="2019-03-22T00:00:00"/>
    <d v="1899-12-30T19:35:00"/>
    <s v="Credit card"/>
    <n v="707.44"/>
    <n v="4.7619047620000003"/>
    <x v="438"/>
    <n v="4.3"/>
  </r>
  <r>
    <s v="138-17-5109"/>
    <s v="A"/>
    <s v="Yangon"/>
    <x v="0"/>
    <x v="0"/>
    <x v="2"/>
    <x v="434"/>
    <x v="9"/>
    <n v="40.144500000000001"/>
    <n v="843.03449999999998"/>
    <d v="2019-01-15T00:00:00"/>
    <d v="1899-12-30T15:42:00"/>
    <s v="Credit card"/>
    <n v="802.89"/>
    <n v="4.7619047620000003"/>
    <x v="439"/>
    <n v="6.5"/>
  </r>
  <r>
    <s v="192-98-7397"/>
    <s v="C"/>
    <s v="Naypyidaw"/>
    <x v="1"/>
    <x v="1"/>
    <x v="5"/>
    <x v="435"/>
    <x v="8"/>
    <n v="0.63900000000000001"/>
    <n v="13.419"/>
    <d v="2019-01-08T00:00:00"/>
    <d v="1899-12-30T14:11:00"/>
    <s v="Ewallet"/>
    <n v="12.78"/>
    <n v="4.7619047620000003"/>
    <x v="440"/>
    <n v="9.5"/>
  </r>
  <r>
    <s v="301-11-9629"/>
    <s v="A"/>
    <s v="Yangon"/>
    <x v="1"/>
    <x v="0"/>
    <x v="3"/>
    <x v="436"/>
    <x v="0"/>
    <n v="6.6849999999999996"/>
    <n v="140.38499999999999"/>
    <d v="2019-01-15T00:00:00"/>
    <d v="1899-12-30T10:43:00"/>
    <s v="Cash"/>
    <n v="133.69999999999999"/>
    <n v="4.7619047620000003"/>
    <x v="441"/>
    <n v="9.6999999999999993"/>
  </r>
  <r>
    <s v="390-80-5128"/>
    <s v="B"/>
    <s v="Mandalay"/>
    <x v="0"/>
    <x v="0"/>
    <x v="0"/>
    <x v="198"/>
    <x v="8"/>
    <n v="0.95750000000000002"/>
    <n v="20.107500000000002"/>
    <d v="2019-01-28T00:00:00"/>
    <d v="1899-12-30T17:58:00"/>
    <s v="Credit card"/>
    <n v="19.149999999999999"/>
    <n v="4.7619047620000003"/>
    <x v="442"/>
    <n v="9.5"/>
  </r>
  <r>
    <s v="235-46-8343"/>
    <s v="C"/>
    <s v="Naypyidaw"/>
    <x v="0"/>
    <x v="1"/>
    <x v="4"/>
    <x v="437"/>
    <x v="4"/>
    <n v="13.83"/>
    <n v="290.43"/>
    <d v="2019-02-14T00:00:00"/>
    <d v="1899-12-30T11:26:00"/>
    <s v="Credit card"/>
    <n v="276.60000000000002"/>
    <n v="4.7619047620000003"/>
    <x v="443"/>
    <n v="8.9"/>
  </r>
  <r>
    <s v="453-12-7053"/>
    <s v="C"/>
    <s v="Naypyidaw"/>
    <x v="1"/>
    <x v="1"/>
    <x v="5"/>
    <x v="438"/>
    <x v="6"/>
    <n v="6.8609999999999998"/>
    <n v="144.08099999999999"/>
    <d v="2019-03-10T00:00:00"/>
    <d v="1899-12-30T17:38:00"/>
    <s v="Credit card"/>
    <n v="137.22"/>
    <n v="4.7619047620000003"/>
    <x v="444"/>
    <n v="6.5"/>
  </r>
  <r>
    <s v="296-11-7041"/>
    <s v="B"/>
    <s v="Mandalay"/>
    <x v="0"/>
    <x v="0"/>
    <x v="0"/>
    <x v="439"/>
    <x v="8"/>
    <n v="1.3534999999999999"/>
    <n v="28.423500000000001"/>
    <d v="2019-01-12T00:00:00"/>
    <d v="1899-12-30T20:07:00"/>
    <s v="Credit card"/>
    <n v="27.07"/>
    <n v="4.7619047620000003"/>
    <x v="445"/>
    <n v="5.3"/>
  </r>
  <r>
    <s v="449-27-2918"/>
    <s v="B"/>
    <s v="Mandalay"/>
    <x v="0"/>
    <x v="0"/>
    <x v="3"/>
    <x v="440"/>
    <x v="8"/>
    <n v="1.956"/>
    <n v="41.076000000000001"/>
    <d v="2019-03-26T00:00:00"/>
    <d v="1899-12-30T11:02:00"/>
    <s v="Credit card"/>
    <n v="39.119999999999997"/>
    <n v="4.7619047620000003"/>
    <x v="446"/>
    <n v="9.6"/>
  </r>
  <r>
    <s v="891-01-7034"/>
    <s v="B"/>
    <s v="Mandalay"/>
    <x v="1"/>
    <x v="0"/>
    <x v="1"/>
    <x v="441"/>
    <x v="3"/>
    <n v="22.413"/>
    <n v="470.673"/>
    <d v="2019-01-01T00:00:00"/>
    <d v="1899-12-30T19:07:00"/>
    <s v="Cash"/>
    <n v="448.26"/>
    <n v="4.7619047620000003"/>
    <x v="447"/>
    <n v="6.7"/>
  </r>
  <r>
    <s v="744-09-5786"/>
    <s v="B"/>
    <s v="Mandalay"/>
    <x v="1"/>
    <x v="1"/>
    <x v="1"/>
    <x v="442"/>
    <x v="3"/>
    <n v="6.6029999999999998"/>
    <n v="138.66300000000001"/>
    <d v="2019-01-02T00:00:00"/>
    <d v="1899-12-30T18:50:00"/>
    <s v="Cash"/>
    <n v="132.06"/>
    <n v="4.7619047620000003"/>
    <x v="448"/>
    <n v="7.6"/>
  </r>
  <r>
    <s v="727-17-0390"/>
    <s v="A"/>
    <s v="Yangon"/>
    <x v="1"/>
    <x v="0"/>
    <x v="4"/>
    <x v="443"/>
    <x v="1"/>
    <n v="15.9025"/>
    <n v="333.95249999999999"/>
    <d v="2019-03-16T00:00:00"/>
    <d v="1899-12-30T12:43:00"/>
    <s v="Ewallet"/>
    <n v="318.05"/>
    <n v="4.7619047620000003"/>
    <x v="449"/>
    <n v="4.8"/>
  </r>
  <r>
    <s v="568-88-3448"/>
    <s v="A"/>
    <s v="Yangon"/>
    <x v="1"/>
    <x v="1"/>
    <x v="0"/>
    <x v="444"/>
    <x v="8"/>
    <n v="1.25"/>
    <n v="26.25"/>
    <d v="2019-03-03T00:00:00"/>
    <d v="1899-12-30T15:09:00"/>
    <s v="Ewallet"/>
    <n v="25"/>
    <n v="4.7619047620000003"/>
    <x v="450"/>
    <n v="5.5"/>
  </r>
  <r>
    <s v="187-83-5490"/>
    <s v="A"/>
    <s v="Yangon"/>
    <x v="0"/>
    <x v="1"/>
    <x v="1"/>
    <x v="445"/>
    <x v="7"/>
    <n v="4.1539999999999999"/>
    <n v="87.233999999999995"/>
    <d v="2019-01-31T00:00:00"/>
    <d v="1899-12-30T13:47:00"/>
    <s v="Cash"/>
    <n v="83.08"/>
    <n v="4.7619047620000003"/>
    <x v="451"/>
    <n v="4.7"/>
  </r>
  <r>
    <s v="767-54-1907"/>
    <s v="B"/>
    <s v="Mandalay"/>
    <x v="0"/>
    <x v="0"/>
    <x v="5"/>
    <x v="446"/>
    <x v="1"/>
    <n v="7.39"/>
    <n v="155.19"/>
    <d v="2019-02-13T00:00:00"/>
    <d v="1899-12-30T16:59:00"/>
    <s v="Cash"/>
    <n v="147.80000000000001"/>
    <n v="4.7619047620000003"/>
    <x v="452"/>
    <n v="6.9"/>
  </r>
  <r>
    <s v="710-46-4433"/>
    <s v="B"/>
    <s v="Mandalay"/>
    <x v="0"/>
    <x v="0"/>
    <x v="4"/>
    <x v="447"/>
    <x v="9"/>
    <n v="34.83"/>
    <n v="731.43"/>
    <d v="2019-02-15T00:00:00"/>
    <d v="1899-12-30T14:15:00"/>
    <s v="Credit card"/>
    <n v="696.6"/>
    <n v="4.7619047620000003"/>
    <x v="453"/>
    <n v="4.5"/>
  </r>
  <r>
    <s v="533-33-5337"/>
    <s v="B"/>
    <s v="Mandalay"/>
    <x v="1"/>
    <x v="1"/>
    <x v="1"/>
    <x v="448"/>
    <x v="4"/>
    <n v="39.695"/>
    <n v="833.59500000000003"/>
    <d v="2019-02-07T00:00:00"/>
    <d v="1899-12-30T20:24:00"/>
    <s v="Cash"/>
    <n v="793.9"/>
    <n v="4.7619047620000003"/>
    <x v="454"/>
    <n v="6.2"/>
  </r>
  <r>
    <s v="325-90-8763"/>
    <s v="C"/>
    <s v="Naypyidaw"/>
    <x v="0"/>
    <x v="0"/>
    <x v="1"/>
    <x v="449"/>
    <x v="4"/>
    <n v="23.285"/>
    <n v="488.98500000000001"/>
    <d v="2019-01-27T00:00:00"/>
    <d v="1899-12-30T13:58:00"/>
    <s v="Cash"/>
    <n v="465.7"/>
    <n v="4.7619047620000003"/>
    <x v="455"/>
    <n v="7.6"/>
  </r>
  <r>
    <s v="729-46-7422"/>
    <s v="C"/>
    <s v="Naypyidaw"/>
    <x v="1"/>
    <x v="1"/>
    <x v="4"/>
    <x v="450"/>
    <x v="8"/>
    <n v="1.7945"/>
    <n v="37.6845"/>
    <d v="2019-02-23T00:00:00"/>
    <d v="1899-12-30T16:52:00"/>
    <s v="Credit card"/>
    <n v="35.89"/>
    <n v="4.7619047620000003"/>
    <x v="456"/>
    <n v="7.9"/>
  </r>
  <r>
    <s v="639-76-1242"/>
    <s v="C"/>
    <s v="Naypyidaw"/>
    <x v="1"/>
    <x v="1"/>
    <x v="4"/>
    <x v="451"/>
    <x v="1"/>
    <n v="10.130000000000001"/>
    <n v="212.73"/>
    <d v="2019-02-03T00:00:00"/>
    <d v="1899-12-30T15:19:00"/>
    <s v="Cash"/>
    <n v="202.6"/>
    <n v="4.7619047620000003"/>
    <x v="457"/>
    <n v="4.5"/>
  </r>
  <r>
    <s v="234-03-4040"/>
    <s v="B"/>
    <s v="Mandalay"/>
    <x v="0"/>
    <x v="0"/>
    <x v="4"/>
    <x v="452"/>
    <x v="4"/>
    <n v="36.524999999999999"/>
    <n v="767.02499999999998"/>
    <d v="2019-03-03T00:00:00"/>
    <d v="1899-12-30T12:25:00"/>
    <s v="Credit card"/>
    <n v="730.5"/>
    <n v="4.7619047620000003"/>
    <x v="458"/>
    <n v="8.6999999999999993"/>
  </r>
  <r>
    <s v="326-71-2155"/>
    <s v="C"/>
    <s v="Naypyidaw"/>
    <x v="1"/>
    <x v="0"/>
    <x v="3"/>
    <x v="453"/>
    <x v="7"/>
    <n v="14.79"/>
    <n v="310.58999999999997"/>
    <d v="2019-02-03T00:00:00"/>
    <d v="1899-12-30T10:02:00"/>
    <s v="Cash"/>
    <n v="295.8"/>
    <n v="4.7619047620000003"/>
    <x v="459"/>
    <n v="6.1"/>
  </r>
  <r>
    <s v="320-32-8842"/>
    <s v="C"/>
    <s v="Naypyidaw"/>
    <x v="0"/>
    <x v="0"/>
    <x v="4"/>
    <x v="454"/>
    <x v="8"/>
    <n v="1.131"/>
    <n v="23.751000000000001"/>
    <d v="2019-03-17T00:00:00"/>
    <d v="1899-12-30T18:58:00"/>
    <s v="Cash"/>
    <n v="22.62"/>
    <n v="4.7619047620000003"/>
    <x v="460"/>
    <n v="6.4"/>
  </r>
  <r>
    <s v="470-32-9057"/>
    <s v="A"/>
    <s v="Yangon"/>
    <x v="0"/>
    <x v="1"/>
    <x v="4"/>
    <x v="455"/>
    <x v="1"/>
    <n v="12.835000000000001"/>
    <n v="269.53500000000003"/>
    <d v="2019-03-28T00:00:00"/>
    <d v="1899-12-30T15:31:00"/>
    <s v="Credit card"/>
    <n v="256.7"/>
    <n v="4.7619047620000003"/>
    <x v="461"/>
    <n v="9.1"/>
  </r>
  <r>
    <s v="878-30-2331"/>
    <s v="C"/>
    <s v="Naypyidaw"/>
    <x v="0"/>
    <x v="0"/>
    <x v="3"/>
    <x v="456"/>
    <x v="4"/>
    <n v="27.274999999999999"/>
    <n v="572.77499999999998"/>
    <d v="2019-03-02T00:00:00"/>
    <d v="1899-12-30T11:22:00"/>
    <s v="Credit card"/>
    <n v="545.5"/>
    <n v="4.7619047620000003"/>
    <x v="462"/>
    <n v="7.1"/>
  </r>
  <r>
    <s v="440-59-5691"/>
    <s v="C"/>
    <s v="Naypyidaw"/>
    <x v="0"/>
    <x v="0"/>
    <x v="0"/>
    <x v="457"/>
    <x v="0"/>
    <n v="13.0025"/>
    <n v="273.05250000000001"/>
    <d v="2019-02-08T00:00:00"/>
    <d v="1899-12-30T13:12:00"/>
    <s v="Credit card"/>
    <n v="260.05"/>
    <n v="4.7619047620000003"/>
    <x v="463"/>
    <n v="7.7"/>
  </r>
  <r>
    <s v="554-53-3790"/>
    <s v="B"/>
    <s v="Mandalay"/>
    <x v="1"/>
    <x v="1"/>
    <x v="3"/>
    <x v="458"/>
    <x v="3"/>
    <n v="11.106"/>
    <n v="233.226"/>
    <d v="2019-03-22T00:00:00"/>
    <d v="1899-12-30T18:33:00"/>
    <s v="Cash"/>
    <n v="222.12"/>
    <n v="4.7619047620000003"/>
    <x v="464"/>
    <n v="4.5"/>
  </r>
  <r>
    <s v="746-19-0921"/>
    <s v="C"/>
    <s v="Naypyidaw"/>
    <x v="1"/>
    <x v="1"/>
    <x v="4"/>
    <x v="459"/>
    <x v="8"/>
    <n v="1.079"/>
    <n v="22.658999999999999"/>
    <d v="2019-02-09T00:00:00"/>
    <d v="1899-12-30T10:02:00"/>
    <s v="Ewallet"/>
    <n v="21.58"/>
    <n v="4.7619047620000003"/>
    <x v="465"/>
    <n v="7.2"/>
  </r>
  <r>
    <s v="233-34-0817"/>
    <s v="C"/>
    <s v="Naypyidaw"/>
    <x v="0"/>
    <x v="0"/>
    <x v="1"/>
    <x v="460"/>
    <x v="8"/>
    <n v="4.9420000000000002"/>
    <n v="103.782"/>
    <d v="2019-02-15T00:00:00"/>
    <d v="1899-12-30T11:21:00"/>
    <s v="Cash"/>
    <n v="98.84"/>
    <n v="4.7619047620000003"/>
    <x v="466"/>
    <n v="8.4"/>
  </r>
  <r>
    <s v="767-05-1286"/>
    <s v="C"/>
    <s v="Naypyidaw"/>
    <x v="0"/>
    <x v="0"/>
    <x v="2"/>
    <x v="461"/>
    <x v="3"/>
    <n v="25.131"/>
    <n v="527.75099999999998"/>
    <d v="2019-01-23T00:00:00"/>
    <d v="1899-12-30T12:10:00"/>
    <s v="Ewallet"/>
    <n v="502.62"/>
    <n v="4.7619047620000003"/>
    <x v="467"/>
    <n v="5.4"/>
  </r>
  <r>
    <s v="340-21-9136"/>
    <s v="A"/>
    <s v="Yangon"/>
    <x v="0"/>
    <x v="0"/>
    <x v="3"/>
    <x v="462"/>
    <x v="7"/>
    <n v="8.01"/>
    <n v="168.21"/>
    <d v="2019-01-25T00:00:00"/>
    <d v="1899-12-30T11:40:00"/>
    <s v="Cash"/>
    <n v="160.19999999999999"/>
    <n v="4.7619047620000003"/>
    <x v="468"/>
    <n v="9.6999999999999993"/>
  </r>
  <r>
    <s v="405-31-3305"/>
    <s v="A"/>
    <s v="Yangon"/>
    <x v="0"/>
    <x v="1"/>
    <x v="5"/>
    <x v="463"/>
    <x v="4"/>
    <n v="21.565000000000001"/>
    <n v="452.86500000000001"/>
    <d v="2019-02-02T00:00:00"/>
    <d v="1899-12-30T18:31:00"/>
    <s v="Credit card"/>
    <n v="431.3"/>
    <n v="4.7619047620000003"/>
    <x v="469"/>
    <n v="5.5"/>
  </r>
  <r>
    <s v="731-59-7531"/>
    <s v="B"/>
    <s v="Mandalay"/>
    <x v="0"/>
    <x v="1"/>
    <x v="0"/>
    <x v="464"/>
    <x v="2"/>
    <n v="29.027999999999999"/>
    <n v="609.58799999999997"/>
    <d v="2019-03-30T00:00:00"/>
    <d v="1899-12-30T17:58:00"/>
    <s v="Cash"/>
    <n v="580.55999999999995"/>
    <n v="4.7619047620000003"/>
    <x v="470"/>
    <n v="4.5999999999999996"/>
  </r>
  <r>
    <s v="676-39-6028"/>
    <s v="A"/>
    <s v="Yangon"/>
    <x v="0"/>
    <x v="0"/>
    <x v="1"/>
    <x v="465"/>
    <x v="1"/>
    <n v="16.11"/>
    <n v="338.31"/>
    <d v="2019-03-30T00:00:00"/>
    <d v="1899-12-30T17:04:00"/>
    <s v="Cash"/>
    <n v="322.2"/>
    <n v="4.7619047620000003"/>
    <x v="471"/>
    <n v="6.6"/>
  </r>
  <r>
    <s v="502-05-1910"/>
    <s v="A"/>
    <s v="Yangon"/>
    <x v="1"/>
    <x v="1"/>
    <x v="0"/>
    <x v="466"/>
    <x v="6"/>
    <n v="9.7769999999999992"/>
    <n v="205.31700000000001"/>
    <d v="2019-02-25T00:00:00"/>
    <d v="1899-12-30T20:35:00"/>
    <s v="Credit card"/>
    <n v="195.54"/>
    <n v="4.7619047620000003"/>
    <x v="472"/>
    <n v="6.3"/>
  </r>
  <r>
    <s v="485-30-8700"/>
    <s v="A"/>
    <s v="Yangon"/>
    <x v="1"/>
    <x v="0"/>
    <x v="3"/>
    <x v="467"/>
    <x v="1"/>
    <n v="8.3149999999999995"/>
    <n v="174.61500000000001"/>
    <d v="2019-03-18T00:00:00"/>
    <d v="1899-12-30T16:10:00"/>
    <s v="Credit card"/>
    <n v="166.3"/>
    <n v="4.7619047620000003"/>
    <x v="473"/>
    <n v="4.2"/>
  </r>
  <r>
    <s v="598-47-9715"/>
    <s v="C"/>
    <s v="Naypyidaw"/>
    <x v="1"/>
    <x v="1"/>
    <x v="1"/>
    <x v="468"/>
    <x v="7"/>
    <n v="16.814"/>
    <n v="353.09399999999999"/>
    <d v="2019-03-07T00:00:00"/>
    <d v="1899-12-30T16:54:00"/>
    <s v="Ewallet"/>
    <n v="336.28"/>
    <n v="4.7619047620000003"/>
    <x v="474"/>
    <n v="4.4000000000000004"/>
  </r>
  <r>
    <s v="701-69-8742"/>
    <s v="B"/>
    <s v="Mandalay"/>
    <x v="1"/>
    <x v="1"/>
    <x v="3"/>
    <x v="469"/>
    <x v="4"/>
    <n v="17.184999999999999"/>
    <n v="360.88499999999999"/>
    <d v="2019-03-16T00:00:00"/>
    <d v="1899-12-30T10:11:00"/>
    <s v="Ewallet"/>
    <n v="343.7"/>
    <n v="4.7619047620000003"/>
    <x v="475"/>
    <n v="6.7"/>
  </r>
  <r>
    <s v="575-67-1508"/>
    <s v="A"/>
    <s v="Yangon"/>
    <x v="1"/>
    <x v="1"/>
    <x v="1"/>
    <x v="412"/>
    <x v="8"/>
    <n v="1.93"/>
    <n v="40.53"/>
    <d v="2019-01-29T00:00:00"/>
    <d v="1899-12-30T11:26:00"/>
    <s v="Ewallet"/>
    <n v="38.6"/>
    <n v="4.7619047620000003"/>
    <x v="476"/>
    <n v="6.7"/>
  </r>
  <r>
    <s v="541-08-3113"/>
    <s v="C"/>
    <s v="Naypyidaw"/>
    <x v="1"/>
    <x v="1"/>
    <x v="4"/>
    <x v="470"/>
    <x v="2"/>
    <n v="26.388000000000002"/>
    <n v="554.14800000000002"/>
    <d v="2019-02-02T00:00:00"/>
    <d v="1899-12-30T20:29:00"/>
    <s v="Cash"/>
    <n v="527.76"/>
    <n v="4.7619047620000003"/>
    <x v="477"/>
    <n v="8.4"/>
  </r>
  <r>
    <s v="246-11-3901"/>
    <s v="C"/>
    <s v="Naypyidaw"/>
    <x v="1"/>
    <x v="0"/>
    <x v="1"/>
    <x v="471"/>
    <x v="4"/>
    <n v="16.399999999999999"/>
    <n v="344.4"/>
    <d v="2019-02-15T00:00:00"/>
    <d v="1899-12-30T12:12:00"/>
    <s v="Cash"/>
    <n v="328"/>
    <n v="4.7619047620000003"/>
    <x v="478"/>
    <n v="6.2"/>
  </r>
  <r>
    <s v="674-15-9296"/>
    <s v="A"/>
    <s v="Yangon"/>
    <x v="1"/>
    <x v="1"/>
    <x v="3"/>
    <x v="472"/>
    <x v="1"/>
    <n v="9.2850000000000001"/>
    <n v="194.98500000000001"/>
    <d v="2019-01-08T00:00:00"/>
    <d v="1899-12-30T13:05:00"/>
    <s v="Ewallet"/>
    <n v="185.7"/>
    <n v="4.7619047620000003"/>
    <x v="479"/>
    <n v="5"/>
  </r>
  <r>
    <s v="305-18-3552"/>
    <s v="B"/>
    <s v="Mandalay"/>
    <x v="0"/>
    <x v="1"/>
    <x v="2"/>
    <x v="473"/>
    <x v="4"/>
    <n v="30.19"/>
    <n v="633.99"/>
    <d v="2019-02-12T00:00:00"/>
    <d v="1899-12-30T16:19:00"/>
    <s v="Cash"/>
    <n v="603.79999999999995"/>
    <n v="4.7619047620000003"/>
    <x v="480"/>
    <n v="6"/>
  </r>
  <r>
    <s v="493-65-6248"/>
    <s v="C"/>
    <s v="Naypyidaw"/>
    <x v="0"/>
    <x v="0"/>
    <x v="3"/>
    <x v="474"/>
    <x v="4"/>
    <n v="18.489999999999998"/>
    <n v="388.29"/>
    <d v="2019-01-01T00:00:00"/>
    <d v="1899-12-30T19:48:00"/>
    <s v="Credit card"/>
    <n v="369.8"/>
    <n v="4.7619047620000003"/>
    <x v="481"/>
    <n v="7"/>
  </r>
  <r>
    <s v="438-01-4015"/>
    <s v="B"/>
    <s v="Mandalay"/>
    <x v="0"/>
    <x v="0"/>
    <x v="3"/>
    <x v="475"/>
    <x v="7"/>
    <n v="9.8979999999999997"/>
    <n v="207.858"/>
    <d v="2019-03-21T00:00:00"/>
    <d v="1899-12-30T15:25:00"/>
    <s v="Ewallet"/>
    <n v="197.96"/>
    <n v="4.7619047620000003"/>
    <x v="482"/>
    <n v="6.6"/>
  </r>
  <r>
    <s v="709-58-4068"/>
    <s v="B"/>
    <s v="Mandalay"/>
    <x v="1"/>
    <x v="0"/>
    <x v="5"/>
    <x v="476"/>
    <x v="4"/>
    <n v="20.545000000000002"/>
    <n v="431.44499999999999"/>
    <d v="2019-02-28T00:00:00"/>
    <d v="1899-12-30T14:42:00"/>
    <s v="Cash"/>
    <n v="410.9"/>
    <n v="4.7619047620000003"/>
    <x v="483"/>
    <n v="7.3"/>
  </r>
  <r>
    <s v="795-49-7276"/>
    <s v="A"/>
    <s v="Yangon"/>
    <x v="1"/>
    <x v="1"/>
    <x v="5"/>
    <x v="457"/>
    <x v="7"/>
    <n v="7.43"/>
    <n v="156.03"/>
    <d v="2019-03-23T00:00:00"/>
    <d v="1899-12-30T18:59:00"/>
    <s v="Ewallet"/>
    <n v="148.6"/>
    <n v="4.7619047620000003"/>
    <x v="484"/>
    <n v="8.3000000000000007"/>
  </r>
  <r>
    <s v="556-72-8512"/>
    <s v="C"/>
    <s v="Naypyidaw"/>
    <x v="1"/>
    <x v="1"/>
    <x v="2"/>
    <x v="477"/>
    <x v="8"/>
    <n v="1.1479999999999999"/>
    <n v="24.108000000000001"/>
    <d v="2019-01-30T00:00:00"/>
    <d v="1899-12-30T20:47:00"/>
    <s v="Cash"/>
    <n v="22.96"/>
    <n v="4.7619047620000003"/>
    <x v="485"/>
    <n v="4.3"/>
  </r>
  <r>
    <s v="627-95-3243"/>
    <s v="B"/>
    <s v="Mandalay"/>
    <x v="0"/>
    <x v="0"/>
    <x v="2"/>
    <x v="478"/>
    <x v="9"/>
    <n v="34.956000000000003"/>
    <n v="734.07600000000002"/>
    <d v="2019-02-04T00:00:00"/>
    <d v="1899-12-30T13:21:00"/>
    <s v="Ewallet"/>
    <n v="699.12"/>
    <n v="4.7619047620000003"/>
    <x v="486"/>
    <n v="9.8000000000000007"/>
  </r>
  <r>
    <s v="686-41-0932"/>
    <s v="B"/>
    <s v="Mandalay"/>
    <x v="1"/>
    <x v="0"/>
    <x v="5"/>
    <x v="479"/>
    <x v="5"/>
    <n v="3.47"/>
    <n v="72.87"/>
    <d v="2019-03-13T00:00:00"/>
    <d v="1899-12-30T19:48:00"/>
    <s v="Ewallet"/>
    <n v="69.400000000000006"/>
    <n v="4.7619047620000003"/>
    <x v="487"/>
    <n v="8.1999999999999993"/>
  </r>
  <r>
    <s v="510-09-5628"/>
    <s v="A"/>
    <s v="Yangon"/>
    <x v="0"/>
    <x v="0"/>
    <x v="5"/>
    <x v="480"/>
    <x v="4"/>
    <n v="9.83"/>
    <n v="206.43"/>
    <d v="2019-03-15T00:00:00"/>
    <d v="1899-12-30T18:20:00"/>
    <s v="Credit card"/>
    <n v="196.6"/>
    <n v="4.7619047620000003"/>
    <x v="488"/>
    <n v="7.2"/>
  </r>
  <r>
    <s v="608-04-3797"/>
    <s v="B"/>
    <s v="Mandalay"/>
    <x v="0"/>
    <x v="0"/>
    <x v="0"/>
    <x v="481"/>
    <x v="2"/>
    <n v="10.128"/>
    <n v="212.68799999999999"/>
    <d v="2019-03-05T00:00:00"/>
    <d v="1899-12-30T20:24:00"/>
    <s v="Ewallet"/>
    <n v="202.56"/>
    <n v="4.7619047620000003"/>
    <x v="489"/>
    <n v="8.6999999999999993"/>
  </r>
  <r>
    <s v="148-82-2527"/>
    <s v="C"/>
    <s v="Naypyidaw"/>
    <x v="0"/>
    <x v="0"/>
    <x v="2"/>
    <x v="482"/>
    <x v="4"/>
    <n v="6.06"/>
    <n v="127.26"/>
    <d v="2019-03-05T00:00:00"/>
    <d v="1899-12-30T13:44:00"/>
    <s v="Credit card"/>
    <n v="121.2"/>
    <n v="4.7619047620000003"/>
    <x v="490"/>
    <n v="8.4"/>
  </r>
  <r>
    <s v="437-53-3084"/>
    <s v="B"/>
    <s v="Mandalay"/>
    <x v="1"/>
    <x v="1"/>
    <x v="5"/>
    <x v="483"/>
    <x v="5"/>
    <n v="9.9890000000000008"/>
    <n v="209.76900000000001"/>
    <d v="2019-02-26T00:00:00"/>
    <d v="1899-12-30T11:48:00"/>
    <s v="Ewallet"/>
    <n v="199.78"/>
    <n v="4.7619047620000003"/>
    <x v="491"/>
    <n v="7.1"/>
  </r>
  <r>
    <s v="632-32-4574"/>
    <s v="B"/>
    <s v="Mandalay"/>
    <x v="1"/>
    <x v="1"/>
    <x v="3"/>
    <x v="484"/>
    <x v="2"/>
    <n v="30.367999999999999"/>
    <n v="637.72799999999995"/>
    <d v="2019-03-20T00:00:00"/>
    <d v="1899-12-30T14:14:00"/>
    <s v="Cash"/>
    <n v="607.36"/>
    <n v="4.7619047620000003"/>
    <x v="492"/>
    <n v="5.5"/>
  </r>
  <r>
    <s v="556-97-7101"/>
    <s v="C"/>
    <s v="Naypyidaw"/>
    <x v="1"/>
    <x v="0"/>
    <x v="1"/>
    <x v="485"/>
    <x v="5"/>
    <n v="6.3220000000000001"/>
    <n v="132.762"/>
    <d v="2019-01-01T00:00:00"/>
    <d v="1899-12-30T15:51:00"/>
    <s v="Cash"/>
    <n v="126.44"/>
    <n v="4.7619047620000003"/>
    <x v="493"/>
    <n v="8.5"/>
  </r>
  <r>
    <s v="862-59-8517"/>
    <s v="C"/>
    <s v="Naypyidaw"/>
    <x v="1"/>
    <x v="0"/>
    <x v="4"/>
    <x v="486"/>
    <x v="3"/>
    <n v="27.071999999999999"/>
    <n v="568.51199999999994"/>
    <d v="2019-01-27T00:00:00"/>
    <d v="1899-12-30T11:17:00"/>
    <s v="Cash"/>
    <n v="541.44000000000005"/>
    <n v="4.7619047620000003"/>
    <x v="494"/>
    <n v="6.2"/>
  </r>
  <r>
    <s v="401-18-8016"/>
    <s v="B"/>
    <s v="Mandalay"/>
    <x v="0"/>
    <x v="0"/>
    <x v="3"/>
    <x v="487"/>
    <x v="8"/>
    <n v="4.9065000000000003"/>
    <n v="103.0365"/>
    <d v="2019-01-21T00:00:00"/>
    <d v="1899-12-30T17:36:00"/>
    <s v="Cash"/>
    <n v="98.13"/>
    <n v="4.7619047620000003"/>
    <x v="495"/>
    <n v="8.9"/>
  </r>
  <r>
    <s v="420-18-8989"/>
    <s v="A"/>
    <s v="Yangon"/>
    <x v="0"/>
    <x v="0"/>
    <x v="3"/>
    <x v="488"/>
    <x v="2"/>
    <n v="20.608000000000001"/>
    <n v="432.76799999999997"/>
    <d v="2019-02-02T00:00:00"/>
    <d v="1899-12-30T15:47:00"/>
    <s v="Cash"/>
    <n v="412.16"/>
    <n v="4.7619047620000003"/>
    <x v="496"/>
    <n v="9.6"/>
  </r>
  <r>
    <s v="277-63-2961"/>
    <s v="B"/>
    <s v="Mandalay"/>
    <x v="0"/>
    <x v="1"/>
    <x v="3"/>
    <x v="489"/>
    <x v="8"/>
    <n v="3.6985000000000001"/>
    <n v="77.668499999999995"/>
    <d v="2019-02-03T00:00:00"/>
    <d v="1899-12-30T15:53:00"/>
    <s v="Credit card"/>
    <n v="73.97"/>
    <n v="4.7619047620000003"/>
    <x v="497"/>
    <n v="5.4"/>
  </r>
  <r>
    <s v="573-98-8548"/>
    <s v="C"/>
    <s v="Naypyidaw"/>
    <x v="0"/>
    <x v="0"/>
    <x v="5"/>
    <x v="490"/>
    <x v="8"/>
    <n v="1.595"/>
    <n v="33.494999999999997"/>
    <d v="2019-01-05T00:00:00"/>
    <d v="1899-12-30T12:40:00"/>
    <s v="Ewallet"/>
    <n v="31.9"/>
    <n v="4.7619047620000003"/>
    <x v="498"/>
    <n v="9.1"/>
  </r>
  <r>
    <s v="620-02-2046"/>
    <s v="C"/>
    <s v="Naypyidaw"/>
    <x v="1"/>
    <x v="1"/>
    <x v="2"/>
    <x v="491"/>
    <x v="5"/>
    <n v="6.94"/>
    <n v="145.74"/>
    <d v="2019-01-27T00:00:00"/>
    <d v="1899-12-30T19:48:00"/>
    <s v="Ewallet"/>
    <n v="138.80000000000001"/>
    <n v="4.7619047620000003"/>
    <x v="499"/>
    <n v="9"/>
  </r>
  <r>
    <s v="282-35-2475"/>
    <s v="B"/>
    <s v="Mandalay"/>
    <x v="1"/>
    <x v="0"/>
    <x v="3"/>
    <x v="492"/>
    <x v="5"/>
    <n v="9.3309999999999995"/>
    <n v="195.95099999999999"/>
    <d v="2019-03-25T00:00:00"/>
    <d v="1899-12-30T17:53:00"/>
    <s v="Cash"/>
    <n v="186.62"/>
    <n v="4.7619047620000003"/>
    <x v="500"/>
    <n v="6.3"/>
  </r>
  <r>
    <s v="511-54-3087"/>
    <s v="B"/>
    <s v="Mandalay"/>
    <x v="1"/>
    <x v="1"/>
    <x v="3"/>
    <x v="493"/>
    <x v="8"/>
    <n v="4.4225000000000003"/>
    <n v="92.872500000000002"/>
    <d v="2019-02-25T00:00:00"/>
    <d v="1899-12-30T16:36:00"/>
    <s v="Credit card"/>
    <n v="88.45"/>
    <n v="4.7619047620000003"/>
    <x v="501"/>
    <n v="9.5"/>
  </r>
  <r>
    <s v="726-29-6793"/>
    <s v="A"/>
    <s v="Yangon"/>
    <x v="0"/>
    <x v="1"/>
    <x v="1"/>
    <x v="494"/>
    <x v="2"/>
    <n v="9.6720000000000006"/>
    <n v="203.11199999999999"/>
    <d v="2019-01-28T00:00:00"/>
    <d v="1899-12-30T20:54:00"/>
    <s v="Ewallet"/>
    <n v="193.44"/>
    <n v="4.7619047620000003"/>
    <x v="502"/>
    <n v="9.8000000000000007"/>
  </r>
  <r>
    <s v="387-49-4215"/>
    <s v="B"/>
    <s v="Mandalay"/>
    <x v="0"/>
    <x v="0"/>
    <x v="3"/>
    <x v="495"/>
    <x v="6"/>
    <n v="7.2750000000000004"/>
    <n v="152.77500000000001"/>
    <d v="2019-01-08T00:00:00"/>
    <d v="1899-12-30T12:50:00"/>
    <s v="Cash"/>
    <n v="145.5"/>
    <n v="4.7619047620000003"/>
    <x v="503"/>
    <n v="6.7"/>
  </r>
  <r>
    <s v="862-17-9201"/>
    <s v="B"/>
    <s v="Mandalay"/>
    <x v="1"/>
    <x v="0"/>
    <x v="4"/>
    <x v="413"/>
    <x v="3"/>
    <n v="25.215"/>
    <n v="529.51499999999999"/>
    <d v="2019-01-29T00:00:00"/>
    <d v="1899-12-30T10:48:00"/>
    <s v="Credit card"/>
    <n v="504.3"/>
    <n v="4.7619047620000003"/>
    <x v="504"/>
    <n v="7.7"/>
  </r>
  <r>
    <s v="291-21-5991"/>
    <s v="B"/>
    <s v="Mandalay"/>
    <x v="0"/>
    <x v="1"/>
    <x v="0"/>
    <x v="496"/>
    <x v="1"/>
    <n v="15.3225"/>
    <n v="321.77249999999998"/>
    <d v="2019-03-29T00:00:00"/>
    <d v="1899-12-30T14:28:00"/>
    <s v="Cash"/>
    <n v="306.45"/>
    <n v="4.7619047620000003"/>
    <x v="505"/>
    <n v="7"/>
  </r>
  <r>
    <s v="602-80-9671"/>
    <s v="C"/>
    <s v="Naypyidaw"/>
    <x v="0"/>
    <x v="0"/>
    <x v="2"/>
    <x v="497"/>
    <x v="3"/>
    <n v="4.7850000000000001"/>
    <n v="100.485"/>
    <d v="2019-02-09T00:00:00"/>
    <d v="1899-12-30T17:15:00"/>
    <s v="Credit card"/>
    <n v="95.7"/>
    <n v="4.7619047620000003"/>
    <x v="506"/>
    <n v="5.0999999999999996"/>
  </r>
  <r>
    <s v="347-72-6115"/>
    <s v="B"/>
    <s v="Mandalay"/>
    <x v="0"/>
    <x v="0"/>
    <x v="3"/>
    <x v="498"/>
    <x v="0"/>
    <n v="31.759"/>
    <n v="666.93899999999996"/>
    <d v="2019-01-16T00:00:00"/>
    <d v="1899-12-30T18:03:00"/>
    <s v="Credit card"/>
    <n v="635.17999999999995"/>
    <n v="4.7619047620000003"/>
    <x v="507"/>
    <n v="6.2"/>
  </r>
  <r>
    <s v="209-61-0206"/>
    <s v="A"/>
    <s v="Yangon"/>
    <x v="1"/>
    <x v="0"/>
    <x v="2"/>
    <x v="499"/>
    <x v="1"/>
    <n v="10.727499999999999"/>
    <n v="225.2775"/>
    <d v="2019-01-05T00:00:00"/>
    <d v="1899-12-30T17:29:00"/>
    <s v="Ewallet"/>
    <n v="214.55"/>
    <n v="4.7619047620000003"/>
    <x v="508"/>
    <n v="6.1"/>
  </r>
  <r>
    <s v="595-27-4851"/>
    <s v="A"/>
    <s v="Yangon"/>
    <x v="1"/>
    <x v="0"/>
    <x v="5"/>
    <x v="500"/>
    <x v="0"/>
    <n v="18.998000000000001"/>
    <n v="398.95800000000003"/>
    <d v="2019-01-27T00:00:00"/>
    <d v="1899-12-30T18:05:00"/>
    <s v="Ewallet"/>
    <n v="379.96"/>
    <n v="4.7619047620000003"/>
    <x v="509"/>
    <n v="9.3000000000000007"/>
  </r>
  <r>
    <s v="189-52-0236"/>
    <s v="A"/>
    <s v="Yangon"/>
    <x v="1"/>
    <x v="1"/>
    <x v="1"/>
    <x v="501"/>
    <x v="0"/>
    <n v="34.842500000000001"/>
    <n v="731.6925"/>
    <d v="2019-03-14T00:00:00"/>
    <d v="1899-12-30T12:07:00"/>
    <s v="Cash"/>
    <n v="696.85"/>
    <n v="4.7619047620000003"/>
    <x v="510"/>
    <n v="7.6"/>
  </r>
  <r>
    <s v="503-07-0930"/>
    <s v="C"/>
    <s v="Naypyidaw"/>
    <x v="0"/>
    <x v="1"/>
    <x v="3"/>
    <x v="502"/>
    <x v="0"/>
    <n v="20.436499999999999"/>
    <n v="429.16649999999998"/>
    <d v="2019-02-23T00:00:00"/>
    <d v="1899-12-30T19:49:00"/>
    <s v="Credit card"/>
    <n v="408.73"/>
    <n v="4.7619047620000003"/>
    <x v="511"/>
    <n v="8.1999999999999993"/>
  </r>
  <r>
    <s v="413-20-6708"/>
    <s v="C"/>
    <s v="Naypyidaw"/>
    <x v="0"/>
    <x v="0"/>
    <x v="5"/>
    <x v="503"/>
    <x v="8"/>
    <n v="2.5735000000000001"/>
    <n v="54.043500000000002"/>
    <d v="2019-03-18T00:00:00"/>
    <d v="1899-12-30T15:52:00"/>
    <s v="Ewallet"/>
    <n v="51.47"/>
    <n v="4.7619047620000003"/>
    <x v="512"/>
    <n v="8.5"/>
  </r>
  <r>
    <s v="425-85-2085"/>
    <s v="B"/>
    <s v="Mandalay"/>
    <x v="0"/>
    <x v="1"/>
    <x v="0"/>
    <x v="504"/>
    <x v="1"/>
    <n v="13.715"/>
    <n v="288.01499999999999"/>
    <d v="2019-03-29T00:00:00"/>
    <d v="1899-12-30T16:48:00"/>
    <s v="Ewallet"/>
    <n v="274.3"/>
    <n v="4.7619047620000003"/>
    <x v="513"/>
    <n v="9.8000000000000007"/>
  </r>
  <r>
    <s v="521-18-7827"/>
    <s v="C"/>
    <s v="Naypyidaw"/>
    <x v="0"/>
    <x v="1"/>
    <x v="2"/>
    <x v="505"/>
    <x v="1"/>
    <n v="9.8475000000000001"/>
    <n v="206.79750000000001"/>
    <d v="2019-01-22T00:00:00"/>
    <d v="1899-12-30T20:46:00"/>
    <s v="Credit card"/>
    <n v="196.95"/>
    <n v="4.7619047620000003"/>
    <x v="514"/>
    <n v="8.6999999999999993"/>
  </r>
  <r>
    <s v="220-28-1851"/>
    <s v="A"/>
    <s v="Yangon"/>
    <x v="1"/>
    <x v="1"/>
    <x v="2"/>
    <x v="506"/>
    <x v="5"/>
    <n v="3.4729999999999999"/>
    <n v="72.933000000000007"/>
    <d v="2019-03-01T00:00:00"/>
    <d v="1899-12-30T18:14:00"/>
    <s v="Ewallet"/>
    <n v="69.459999999999994"/>
    <n v="4.7619047620000003"/>
    <x v="515"/>
    <n v="9.6999999999999993"/>
  </r>
  <r>
    <s v="600-38-9738"/>
    <s v="C"/>
    <s v="Naypyidaw"/>
    <x v="0"/>
    <x v="1"/>
    <x v="3"/>
    <x v="507"/>
    <x v="1"/>
    <n v="17.98"/>
    <n v="377.58"/>
    <d v="2019-01-17T00:00:00"/>
    <d v="1899-12-30T15:05:00"/>
    <s v="Credit card"/>
    <n v="359.6"/>
    <n v="4.7619047620000003"/>
    <x v="516"/>
    <n v="4.3"/>
  </r>
  <r>
    <s v="734-91-1155"/>
    <s v="B"/>
    <s v="Mandalay"/>
    <x v="1"/>
    <x v="0"/>
    <x v="1"/>
    <x v="508"/>
    <x v="6"/>
    <n v="6.8564999999999996"/>
    <n v="143.98650000000001"/>
    <d v="2019-03-26T00:00:00"/>
    <d v="1899-12-30T10:34:00"/>
    <s v="Credit card"/>
    <n v="137.13"/>
    <n v="4.7619047620000003"/>
    <x v="517"/>
    <n v="7.7"/>
  </r>
  <r>
    <s v="451-28-5717"/>
    <s v="C"/>
    <s v="Naypyidaw"/>
    <x v="0"/>
    <x v="0"/>
    <x v="2"/>
    <x v="509"/>
    <x v="3"/>
    <n v="24.951000000000001"/>
    <n v="523.971"/>
    <d v="2019-03-20T00:00:00"/>
    <d v="1899-12-30T11:23:00"/>
    <s v="Cash"/>
    <n v="499.02"/>
    <n v="4.7619047620000003"/>
    <x v="518"/>
    <n v="7.3"/>
  </r>
  <r>
    <s v="609-81-8548"/>
    <s v="A"/>
    <s v="Yangon"/>
    <x v="0"/>
    <x v="0"/>
    <x v="2"/>
    <x v="510"/>
    <x v="3"/>
    <n v="11.231999999999999"/>
    <n v="235.87200000000001"/>
    <d v="2019-02-06T00:00:00"/>
    <d v="1899-12-30T13:55:00"/>
    <s v="Credit card"/>
    <n v="224.64"/>
    <n v="4.7619047620000003"/>
    <x v="519"/>
    <n v="5.9"/>
  </r>
  <r>
    <s v="133-14-7229"/>
    <s v="C"/>
    <s v="Naypyidaw"/>
    <x v="1"/>
    <x v="1"/>
    <x v="0"/>
    <x v="511"/>
    <x v="5"/>
    <n v="6.2869999999999999"/>
    <n v="132.02699999999999"/>
    <d v="2019-01-01T00:00:00"/>
    <d v="1899-12-30T11:43:00"/>
    <s v="Cash"/>
    <n v="125.74"/>
    <n v="4.7619047620000003"/>
    <x v="520"/>
    <n v="5"/>
  </r>
  <r>
    <s v="534-01-4457"/>
    <s v="A"/>
    <s v="Yangon"/>
    <x v="1"/>
    <x v="1"/>
    <x v="4"/>
    <x v="512"/>
    <x v="3"/>
    <n v="24.513000000000002"/>
    <n v="514.77300000000002"/>
    <d v="2019-01-27T00:00:00"/>
    <d v="1899-12-30T14:36:00"/>
    <s v="Credit card"/>
    <n v="490.26"/>
    <n v="4.7619047620000003"/>
    <x v="521"/>
    <n v="8"/>
  </r>
  <r>
    <s v="719-89-8991"/>
    <s v="A"/>
    <s v="Yangon"/>
    <x v="0"/>
    <x v="0"/>
    <x v="3"/>
    <x v="513"/>
    <x v="1"/>
    <n v="22.852499999999999"/>
    <n v="479.90249999999997"/>
    <d v="2019-02-25T00:00:00"/>
    <d v="1899-12-30T16:03:00"/>
    <s v="Ewallet"/>
    <n v="457.05"/>
    <n v="4.7619047620000003"/>
    <x v="522"/>
    <n v="7.1"/>
  </r>
  <r>
    <s v="286-62-6248"/>
    <s v="B"/>
    <s v="Mandalay"/>
    <x v="1"/>
    <x v="1"/>
    <x v="5"/>
    <x v="514"/>
    <x v="7"/>
    <n v="7.8419999999999996"/>
    <n v="164.68199999999999"/>
    <d v="2019-01-16T00:00:00"/>
    <d v="1899-12-30T20:03:00"/>
    <s v="Credit card"/>
    <n v="156.84"/>
    <n v="4.7619047620000003"/>
    <x v="523"/>
    <n v="9"/>
  </r>
  <r>
    <s v="339-38-9982"/>
    <s v="B"/>
    <s v="Mandalay"/>
    <x v="0"/>
    <x v="1"/>
    <x v="5"/>
    <x v="515"/>
    <x v="5"/>
    <n v="5.9859999999999998"/>
    <n v="125.706"/>
    <d v="2019-01-13T00:00:00"/>
    <d v="1899-12-30T14:55:00"/>
    <s v="Ewallet"/>
    <n v="119.72"/>
    <n v="4.7619047620000003"/>
    <x v="524"/>
    <n v="6.7"/>
  </r>
  <r>
    <s v="827-44-5872"/>
    <s v="B"/>
    <s v="Mandalay"/>
    <x v="0"/>
    <x v="0"/>
    <x v="4"/>
    <x v="516"/>
    <x v="4"/>
    <n v="27.18"/>
    <n v="570.78"/>
    <d v="2019-02-07T00:00:00"/>
    <d v="1899-12-30T11:28:00"/>
    <s v="Credit card"/>
    <n v="543.6"/>
    <n v="4.7619047620000003"/>
    <x v="525"/>
    <n v="6.1"/>
  </r>
  <r>
    <s v="827-77-7633"/>
    <s v="A"/>
    <s v="Yangon"/>
    <x v="1"/>
    <x v="1"/>
    <x v="3"/>
    <x v="517"/>
    <x v="9"/>
    <n v="44.140500000000003"/>
    <n v="926.95050000000003"/>
    <d v="2019-02-17T00:00:00"/>
    <d v="1899-12-30T19:41:00"/>
    <s v="Cash"/>
    <n v="882.81"/>
    <n v="4.7619047620000003"/>
    <x v="526"/>
    <n v="9.3000000000000007"/>
  </r>
  <r>
    <s v="287-83-1405"/>
    <s v="A"/>
    <s v="Yangon"/>
    <x v="1"/>
    <x v="1"/>
    <x v="0"/>
    <x v="518"/>
    <x v="3"/>
    <n v="7.6289999999999996"/>
    <n v="160.209"/>
    <d v="2019-02-12T00:00:00"/>
    <d v="1899-12-30T19:01:00"/>
    <s v="Ewallet"/>
    <n v="152.58000000000001"/>
    <n v="4.7619047620000003"/>
    <x v="527"/>
    <n v="7"/>
  </r>
  <r>
    <s v="435-13-4908"/>
    <s v="A"/>
    <s v="Yangon"/>
    <x v="0"/>
    <x v="1"/>
    <x v="5"/>
    <x v="519"/>
    <x v="2"/>
    <n v="34.671999999999997"/>
    <n v="728.11199999999997"/>
    <d v="2019-01-24T00:00:00"/>
    <d v="1899-12-30T18:04:00"/>
    <s v="Credit card"/>
    <n v="693.44"/>
    <n v="4.7619047620000003"/>
    <x v="528"/>
    <n v="7.2"/>
  </r>
  <r>
    <s v="857-67-9057"/>
    <s v="B"/>
    <s v="Mandalay"/>
    <x v="1"/>
    <x v="1"/>
    <x v="1"/>
    <x v="520"/>
    <x v="4"/>
    <n v="11.475"/>
    <n v="240.97499999999999"/>
    <d v="2019-02-06T00:00:00"/>
    <d v="1899-12-30T19:20:00"/>
    <s v="Ewallet"/>
    <n v="229.5"/>
    <n v="4.7619047620000003"/>
    <x v="529"/>
    <n v="8.1999999999999993"/>
  </r>
  <r>
    <s v="236-27-1144"/>
    <s v="C"/>
    <s v="Naypyidaw"/>
    <x v="1"/>
    <x v="0"/>
    <x v="4"/>
    <x v="521"/>
    <x v="9"/>
    <n v="7.3395000000000001"/>
    <n v="154.12950000000001"/>
    <d v="2019-03-26T00:00:00"/>
    <d v="1899-12-30T10:31:00"/>
    <s v="Ewallet"/>
    <n v="146.79"/>
    <n v="4.7619047620000003"/>
    <x v="530"/>
    <n v="8.4"/>
  </r>
  <r>
    <s v="892-05-6689"/>
    <s v="A"/>
    <s v="Yangon"/>
    <x v="1"/>
    <x v="0"/>
    <x v="2"/>
    <x v="522"/>
    <x v="1"/>
    <n v="7.08"/>
    <n v="148.68"/>
    <d v="2019-03-11T00:00:00"/>
    <d v="1899-12-30T13:28:00"/>
    <s v="Ewallet"/>
    <n v="141.6"/>
    <n v="4.7619047620000003"/>
    <x v="531"/>
    <n v="6.2"/>
  </r>
  <r>
    <s v="583-41-4548"/>
    <s v="C"/>
    <s v="Naypyidaw"/>
    <x v="1"/>
    <x v="1"/>
    <x v="2"/>
    <x v="523"/>
    <x v="0"/>
    <n v="5.8345000000000002"/>
    <n v="122.5245"/>
    <d v="2019-02-07T00:00:00"/>
    <d v="1899-12-30T11:36:00"/>
    <s v="Ewallet"/>
    <n v="116.69"/>
    <n v="4.7619047620000003"/>
    <x v="532"/>
    <n v="7.4"/>
  </r>
  <r>
    <s v="339-12-4827"/>
    <s v="B"/>
    <s v="Mandalay"/>
    <x v="0"/>
    <x v="0"/>
    <x v="5"/>
    <x v="524"/>
    <x v="8"/>
    <n v="3.698"/>
    <n v="77.658000000000001"/>
    <d v="2019-01-05T00:00:00"/>
    <d v="1899-12-30T11:32:00"/>
    <s v="Credit card"/>
    <n v="73.959999999999994"/>
    <n v="4.7619047620000003"/>
    <x v="533"/>
    <n v="5"/>
  </r>
  <r>
    <s v="643-38-7867"/>
    <s v="A"/>
    <s v="Yangon"/>
    <x v="1"/>
    <x v="1"/>
    <x v="2"/>
    <x v="525"/>
    <x v="8"/>
    <n v="4.8970000000000002"/>
    <n v="102.837"/>
    <d v="2019-03-07T00:00:00"/>
    <d v="1899-12-30T11:44:00"/>
    <s v="Ewallet"/>
    <n v="97.94"/>
    <n v="4.7619047620000003"/>
    <x v="534"/>
    <n v="6.9"/>
  </r>
  <r>
    <s v="308-81-0538"/>
    <s v="A"/>
    <s v="Yangon"/>
    <x v="1"/>
    <x v="0"/>
    <x v="5"/>
    <x v="452"/>
    <x v="7"/>
    <n v="14.61"/>
    <n v="306.81"/>
    <d v="2019-02-25T00:00:00"/>
    <d v="1899-12-30T17:16:00"/>
    <s v="Credit card"/>
    <n v="292.2"/>
    <n v="4.7619047620000003"/>
    <x v="535"/>
    <n v="4.9000000000000004"/>
  </r>
  <r>
    <s v="358-88-9262"/>
    <s v="C"/>
    <s v="Naypyidaw"/>
    <x v="0"/>
    <x v="0"/>
    <x v="4"/>
    <x v="526"/>
    <x v="3"/>
    <n v="26.244"/>
    <n v="551.12400000000002"/>
    <d v="2019-02-01T00:00:00"/>
    <d v="1899-12-30T18:43:00"/>
    <s v="Ewallet"/>
    <n v="524.88"/>
    <n v="4.7619047620000003"/>
    <x v="536"/>
    <n v="5.0999999999999996"/>
  </r>
  <r>
    <s v="460-35-4390"/>
    <s v="A"/>
    <s v="Yangon"/>
    <x v="1"/>
    <x v="1"/>
    <x v="2"/>
    <x v="527"/>
    <x v="6"/>
    <n v="4.6020000000000003"/>
    <n v="96.641999999999996"/>
    <d v="2019-01-22T00:00:00"/>
    <d v="1899-12-30T11:00:00"/>
    <s v="Ewallet"/>
    <n v="92.04"/>
    <n v="4.7619047620000003"/>
    <x v="537"/>
    <n v="9.1"/>
  </r>
  <r>
    <s v="343-87-0864"/>
    <s v="C"/>
    <s v="Naypyidaw"/>
    <x v="0"/>
    <x v="1"/>
    <x v="0"/>
    <x v="528"/>
    <x v="8"/>
    <n v="3.794"/>
    <n v="79.674000000000007"/>
    <d v="2019-01-03T00:00:00"/>
    <d v="1899-12-30T10:30:00"/>
    <s v="Credit card"/>
    <n v="75.88"/>
    <n v="4.7619047620000003"/>
    <x v="538"/>
    <n v="7.1"/>
  </r>
  <r>
    <s v="173-50-1108"/>
    <s v="B"/>
    <s v="Mandalay"/>
    <x v="0"/>
    <x v="0"/>
    <x v="3"/>
    <x v="529"/>
    <x v="7"/>
    <n v="4.0359999999999996"/>
    <n v="84.756"/>
    <d v="2019-02-13T00:00:00"/>
    <d v="1899-12-30T12:14:00"/>
    <s v="Credit card"/>
    <n v="80.72"/>
    <n v="4.7619047620000003"/>
    <x v="539"/>
    <n v="5"/>
  </r>
  <r>
    <s v="243-47-2663"/>
    <s v="C"/>
    <s v="Naypyidaw"/>
    <x v="0"/>
    <x v="1"/>
    <x v="1"/>
    <x v="530"/>
    <x v="3"/>
    <n v="5.6310000000000002"/>
    <n v="118.251"/>
    <d v="2019-01-28T00:00:00"/>
    <d v="1899-12-30T16:43:00"/>
    <s v="Credit card"/>
    <n v="112.62"/>
    <n v="4.7619047620000003"/>
    <x v="540"/>
    <n v="5.5"/>
  </r>
  <r>
    <s v="841-18-8232"/>
    <s v="B"/>
    <s v="Mandalay"/>
    <x v="1"/>
    <x v="0"/>
    <x v="4"/>
    <x v="531"/>
    <x v="8"/>
    <n v="3.56"/>
    <n v="74.760000000000005"/>
    <d v="2019-01-05T00:00:00"/>
    <d v="1899-12-30T20:40:00"/>
    <s v="Credit card"/>
    <n v="71.2"/>
    <n v="4.7619047620000003"/>
    <x v="541"/>
    <n v="9.1999999999999993"/>
  </r>
  <r>
    <s v="701-23-5550"/>
    <s v="B"/>
    <s v="Mandalay"/>
    <x v="0"/>
    <x v="1"/>
    <x v="2"/>
    <x v="532"/>
    <x v="7"/>
    <n v="7.7619999999999996"/>
    <n v="163.00200000000001"/>
    <d v="2019-03-19T00:00:00"/>
    <d v="1899-12-30T13:40:00"/>
    <s v="Ewallet"/>
    <n v="155.24"/>
    <n v="4.7619047620000003"/>
    <x v="542"/>
    <n v="4.9000000000000004"/>
  </r>
  <r>
    <s v="647-50-1224"/>
    <s v="A"/>
    <s v="Yangon"/>
    <x v="1"/>
    <x v="0"/>
    <x v="5"/>
    <x v="533"/>
    <x v="4"/>
    <n v="14.71"/>
    <n v="308.91000000000003"/>
    <d v="2019-01-12T00:00:00"/>
    <d v="1899-12-30T16:23:00"/>
    <s v="Ewallet"/>
    <n v="294.2"/>
    <n v="4.7619047620000003"/>
    <x v="543"/>
    <n v="8.9"/>
  </r>
  <r>
    <s v="541-48-8554"/>
    <s v="A"/>
    <s v="Yangon"/>
    <x v="1"/>
    <x v="1"/>
    <x v="3"/>
    <x v="534"/>
    <x v="9"/>
    <n v="27.427499999999998"/>
    <n v="575.97749999999996"/>
    <d v="2019-01-07T00:00:00"/>
    <d v="1899-12-30T12:08:00"/>
    <s v="Credit card"/>
    <n v="548.54999999999995"/>
    <n v="4.7619047620000003"/>
    <x v="544"/>
    <n v="6"/>
  </r>
  <r>
    <s v="539-21-7227"/>
    <s v="B"/>
    <s v="Mandalay"/>
    <x v="1"/>
    <x v="0"/>
    <x v="3"/>
    <x v="535"/>
    <x v="1"/>
    <n v="12.885"/>
    <n v="270.58499999999998"/>
    <d v="2019-01-26T00:00:00"/>
    <d v="1899-12-30T17:45:00"/>
    <s v="Cash"/>
    <n v="257.7"/>
    <n v="4.7619047620000003"/>
    <x v="545"/>
    <n v="4.2"/>
  </r>
  <r>
    <s v="213-32-1216"/>
    <s v="A"/>
    <s v="Yangon"/>
    <x v="1"/>
    <x v="0"/>
    <x v="1"/>
    <x v="536"/>
    <x v="3"/>
    <n v="19.818000000000001"/>
    <n v="416.178"/>
    <d v="2019-01-23T00:00:00"/>
    <d v="1899-12-30T10:28:00"/>
    <s v="Cash"/>
    <n v="396.36"/>
    <n v="4.7619047620000003"/>
    <x v="546"/>
    <n v="7.3"/>
  </r>
  <r>
    <s v="747-58-7183"/>
    <s v="B"/>
    <s v="Mandalay"/>
    <x v="1"/>
    <x v="1"/>
    <x v="5"/>
    <x v="537"/>
    <x v="6"/>
    <n v="8.5905000000000005"/>
    <n v="180.40049999999999"/>
    <d v="2019-02-09T00:00:00"/>
    <d v="1899-12-30T20:31:00"/>
    <s v="Ewallet"/>
    <n v="171.81"/>
    <n v="4.7619047620000003"/>
    <x v="547"/>
    <n v="6.5"/>
  </r>
  <r>
    <s v="582-52-8065"/>
    <s v="B"/>
    <s v="Mandalay"/>
    <x v="1"/>
    <x v="0"/>
    <x v="5"/>
    <x v="538"/>
    <x v="9"/>
    <n v="24.439499999999999"/>
    <n v="513.22950000000003"/>
    <d v="2019-02-22T00:00:00"/>
    <d v="1899-12-30T10:49:00"/>
    <s v="Cash"/>
    <n v="488.79"/>
    <n v="4.7619047620000003"/>
    <x v="548"/>
    <n v="8.9"/>
  </r>
  <r>
    <s v="210-57-1719"/>
    <s v="B"/>
    <s v="Mandalay"/>
    <x v="1"/>
    <x v="0"/>
    <x v="0"/>
    <x v="539"/>
    <x v="9"/>
    <n v="26.207999999999998"/>
    <n v="550.36800000000005"/>
    <d v="2019-02-05T00:00:00"/>
    <d v="1899-12-30T12:34:00"/>
    <s v="Cash"/>
    <n v="524.16"/>
    <n v="4.7619047620000003"/>
    <x v="549"/>
    <n v="9.6999999999999993"/>
  </r>
  <r>
    <s v="399-69-4630"/>
    <s v="C"/>
    <s v="Naypyidaw"/>
    <x v="1"/>
    <x v="1"/>
    <x v="1"/>
    <x v="540"/>
    <x v="3"/>
    <n v="6.6630000000000003"/>
    <n v="139.923"/>
    <d v="2019-03-07T00:00:00"/>
    <d v="1899-12-30T10:23:00"/>
    <s v="Credit card"/>
    <n v="133.26"/>
    <n v="4.7619047620000003"/>
    <x v="550"/>
    <n v="8.6"/>
  </r>
  <r>
    <s v="134-75-2619"/>
    <s v="A"/>
    <s v="Yangon"/>
    <x v="0"/>
    <x v="1"/>
    <x v="1"/>
    <x v="541"/>
    <x v="0"/>
    <n v="6.7619999999999996"/>
    <n v="142.00200000000001"/>
    <d v="2019-03-25T00:00:00"/>
    <d v="1899-12-30T18:51:00"/>
    <s v="Cash"/>
    <n v="135.24"/>
    <n v="4.7619047620000003"/>
    <x v="551"/>
    <n v="6.9"/>
  </r>
  <r>
    <s v="356-44-8813"/>
    <s v="B"/>
    <s v="Mandalay"/>
    <x v="1"/>
    <x v="1"/>
    <x v="2"/>
    <x v="542"/>
    <x v="6"/>
    <n v="5.6219999999999999"/>
    <n v="118.062"/>
    <d v="2019-01-20T00:00:00"/>
    <d v="1899-12-30T13:45:00"/>
    <s v="Credit card"/>
    <n v="112.44"/>
    <n v="4.7619047620000003"/>
    <x v="552"/>
    <n v="7.7"/>
  </r>
  <r>
    <s v="198-66-9832"/>
    <s v="B"/>
    <s v="Mandalay"/>
    <x v="0"/>
    <x v="0"/>
    <x v="5"/>
    <x v="543"/>
    <x v="5"/>
    <n v="7.2039999999999997"/>
    <n v="151.28399999999999"/>
    <d v="2019-02-04T00:00:00"/>
    <d v="1899-12-30T19:38:00"/>
    <s v="Cash"/>
    <n v="144.08000000000001"/>
    <n v="4.7619047620000003"/>
    <x v="553"/>
    <n v="9.5"/>
  </r>
  <r>
    <s v="283-26-5248"/>
    <s v="C"/>
    <s v="Naypyidaw"/>
    <x v="0"/>
    <x v="0"/>
    <x v="4"/>
    <x v="544"/>
    <x v="4"/>
    <n v="49.26"/>
    <n v="1034.46"/>
    <d v="2019-01-30T00:00:00"/>
    <d v="1899-12-30T20:23:00"/>
    <s v="Ewallet"/>
    <n v="985.2"/>
    <n v="4.7619047620000003"/>
    <x v="554"/>
    <n v="4.5"/>
  </r>
  <r>
    <s v="712-39-0363"/>
    <s v="A"/>
    <s v="Yangon"/>
    <x v="0"/>
    <x v="1"/>
    <x v="4"/>
    <x v="545"/>
    <x v="3"/>
    <n v="12.497999999999999"/>
    <n v="262.45800000000003"/>
    <d v="2019-01-02T00:00:00"/>
    <d v="1899-12-30T15:24:00"/>
    <s v="Ewallet"/>
    <n v="249.96"/>
    <n v="4.7619047620000003"/>
    <x v="555"/>
    <n v="5.6"/>
  </r>
  <r>
    <s v="218-59-9410"/>
    <s v="A"/>
    <s v="Yangon"/>
    <x v="0"/>
    <x v="0"/>
    <x v="2"/>
    <x v="546"/>
    <x v="6"/>
    <n v="10.863"/>
    <n v="228.12299999999999"/>
    <d v="2019-03-29T00:00:00"/>
    <d v="1899-12-30T16:54:00"/>
    <s v="Ewallet"/>
    <n v="217.26"/>
    <n v="4.7619047620000003"/>
    <x v="556"/>
    <n v="8.1999999999999993"/>
  </r>
  <r>
    <s v="174-75-0888"/>
    <s v="B"/>
    <s v="Mandalay"/>
    <x v="1"/>
    <x v="1"/>
    <x v="1"/>
    <x v="459"/>
    <x v="9"/>
    <n v="9.7110000000000003"/>
    <n v="203.93100000000001"/>
    <d v="2019-03-14T00:00:00"/>
    <d v="1899-12-30T12:32:00"/>
    <s v="Cash"/>
    <n v="194.22"/>
    <n v="4.7619047620000003"/>
    <x v="557"/>
    <n v="7.3"/>
  </r>
  <r>
    <s v="866-99-7614"/>
    <s v="C"/>
    <s v="Naypyidaw"/>
    <x v="1"/>
    <x v="1"/>
    <x v="4"/>
    <x v="547"/>
    <x v="4"/>
    <n v="44.6"/>
    <n v="936.6"/>
    <d v="2019-02-11T00:00:00"/>
    <d v="1899-12-30T15:42:00"/>
    <s v="Credit card"/>
    <n v="892"/>
    <n v="4.7619047620000003"/>
    <x v="558"/>
    <n v="4.4000000000000004"/>
  </r>
  <r>
    <s v="134-54-4720"/>
    <s v="B"/>
    <s v="Mandalay"/>
    <x v="1"/>
    <x v="0"/>
    <x v="1"/>
    <x v="548"/>
    <x v="2"/>
    <n v="16.968"/>
    <n v="356.32799999999997"/>
    <d v="2019-01-30T00:00:00"/>
    <d v="1899-12-30T13:58:00"/>
    <s v="Ewallet"/>
    <n v="339.36"/>
    <n v="4.7619047620000003"/>
    <x v="559"/>
    <n v="5.7"/>
  </r>
  <r>
    <s v="760-90-2357"/>
    <s v="A"/>
    <s v="Yangon"/>
    <x v="0"/>
    <x v="1"/>
    <x v="1"/>
    <x v="549"/>
    <x v="3"/>
    <n v="22.353000000000002"/>
    <n v="469.41300000000001"/>
    <d v="2019-03-20T00:00:00"/>
    <d v="1899-12-30T15:08:00"/>
    <s v="Ewallet"/>
    <n v="447.06"/>
    <n v="4.7619047620000003"/>
    <x v="560"/>
    <n v="5"/>
  </r>
  <r>
    <s v="514-37-2845"/>
    <s v="B"/>
    <s v="Mandalay"/>
    <x v="1"/>
    <x v="1"/>
    <x v="5"/>
    <x v="550"/>
    <x v="5"/>
    <n v="9.9250000000000007"/>
    <n v="208.42500000000001"/>
    <d v="2019-03-20T00:00:00"/>
    <d v="1899-12-30T13:02:00"/>
    <s v="Cash"/>
    <n v="198.5"/>
    <n v="4.7619047620000003"/>
    <x v="561"/>
    <n v="9"/>
  </r>
  <r>
    <s v="698-98-5964"/>
    <s v="A"/>
    <s v="Yangon"/>
    <x v="1"/>
    <x v="0"/>
    <x v="4"/>
    <x v="551"/>
    <x v="4"/>
    <n v="40.604999999999997"/>
    <n v="852.70500000000004"/>
    <d v="2019-01-17T00:00:00"/>
    <d v="1899-12-30T13:01:00"/>
    <s v="Credit card"/>
    <n v="812.1"/>
    <n v="4.7619047620000003"/>
    <x v="562"/>
    <n v="6.3"/>
  </r>
  <r>
    <s v="718-57-9773"/>
    <s v="C"/>
    <s v="Naypyidaw"/>
    <x v="1"/>
    <x v="0"/>
    <x v="3"/>
    <x v="552"/>
    <x v="4"/>
    <n v="24.664999999999999"/>
    <n v="517.96500000000003"/>
    <d v="2019-02-03T00:00:00"/>
    <d v="1899-12-30T16:40:00"/>
    <s v="Credit card"/>
    <n v="493.3"/>
    <n v="4.7619047620000003"/>
    <x v="563"/>
    <n v="9.4"/>
  </r>
  <r>
    <s v="651-88-7328"/>
    <s v="A"/>
    <s v="Yangon"/>
    <x v="1"/>
    <x v="0"/>
    <x v="5"/>
    <x v="553"/>
    <x v="9"/>
    <n v="29.582999999999998"/>
    <n v="621.24300000000005"/>
    <d v="2019-01-01T00:00:00"/>
    <d v="1899-12-30T13:55:00"/>
    <s v="Cash"/>
    <n v="591.66"/>
    <n v="4.7619047620000003"/>
    <x v="564"/>
    <n v="7.7"/>
  </r>
  <r>
    <s v="241-11-2261"/>
    <s v="B"/>
    <s v="Mandalay"/>
    <x v="1"/>
    <x v="0"/>
    <x v="5"/>
    <x v="554"/>
    <x v="0"/>
    <n v="27.951000000000001"/>
    <n v="586.971"/>
    <d v="2019-01-10T00:00:00"/>
    <d v="1899-12-30T10:33:00"/>
    <s v="Credit card"/>
    <n v="559.02"/>
    <n v="4.7619047620000003"/>
    <x v="565"/>
    <n v="5.5"/>
  </r>
  <r>
    <s v="408-26-9866"/>
    <s v="C"/>
    <s v="Naypyidaw"/>
    <x v="1"/>
    <x v="0"/>
    <x v="3"/>
    <x v="555"/>
    <x v="0"/>
    <n v="25.893000000000001"/>
    <n v="543.75300000000004"/>
    <d v="2019-03-02T00:00:00"/>
    <d v="1899-12-30T16:42:00"/>
    <s v="Ewallet"/>
    <n v="517.86"/>
    <n v="4.7619047620000003"/>
    <x v="566"/>
    <n v="4.0999999999999996"/>
  </r>
  <r>
    <s v="834-83-1826"/>
    <s v="B"/>
    <s v="Mandalay"/>
    <x v="0"/>
    <x v="0"/>
    <x v="2"/>
    <x v="556"/>
    <x v="1"/>
    <n v="20.51"/>
    <n v="430.71"/>
    <d v="2019-02-25T00:00:00"/>
    <d v="1899-12-30T17:16:00"/>
    <s v="Credit card"/>
    <n v="410.2"/>
    <n v="4.7619047620000003"/>
    <x v="567"/>
    <n v="7.6"/>
  </r>
  <r>
    <s v="343-61-3544"/>
    <s v="B"/>
    <s v="Mandalay"/>
    <x v="0"/>
    <x v="1"/>
    <x v="3"/>
    <x v="557"/>
    <x v="4"/>
    <n v="13.335000000000001"/>
    <n v="280.03500000000003"/>
    <d v="2019-01-29T00:00:00"/>
    <d v="1899-12-30T11:48:00"/>
    <s v="Cash"/>
    <n v="266.7"/>
    <n v="4.7619047620000003"/>
    <x v="568"/>
    <n v="8.6"/>
  </r>
  <r>
    <s v="239-48-4278"/>
    <s v="A"/>
    <s v="Yangon"/>
    <x v="0"/>
    <x v="1"/>
    <x v="4"/>
    <x v="558"/>
    <x v="0"/>
    <n v="3.5455000000000001"/>
    <n v="74.455500000000001"/>
    <d v="2019-03-10T00:00:00"/>
    <d v="1899-12-30T19:35:00"/>
    <s v="Ewallet"/>
    <n v="70.91"/>
    <n v="4.7619047620000003"/>
    <x v="569"/>
    <n v="8.3000000000000007"/>
  </r>
  <r>
    <s v="355-34-6244"/>
    <s v="B"/>
    <s v="Mandalay"/>
    <x v="1"/>
    <x v="1"/>
    <x v="4"/>
    <x v="559"/>
    <x v="5"/>
    <n v="7.2389999999999999"/>
    <n v="152.01900000000001"/>
    <d v="2019-01-13T00:00:00"/>
    <d v="1899-12-30T19:55:00"/>
    <s v="Credit card"/>
    <n v="144.78"/>
    <n v="4.7619047620000003"/>
    <x v="570"/>
    <n v="8.1"/>
  </r>
  <r>
    <s v="550-84-8664"/>
    <s v="A"/>
    <s v="Yangon"/>
    <x v="1"/>
    <x v="1"/>
    <x v="3"/>
    <x v="560"/>
    <x v="1"/>
    <n v="21.477499999999999"/>
    <n v="451.02749999999997"/>
    <d v="2019-03-22T00:00:00"/>
    <d v="1899-12-30T14:33:00"/>
    <s v="Credit card"/>
    <n v="429.55"/>
    <n v="4.7619047620000003"/>
    <x v="571"/>
    <n v="8.6"/>
  </r>
  <r>
    <s v="339-96-8318"/>
    <s v="B"/>
    <s v="Mandalay"/>
    <x v="0"/>
    <x v="1"/>
    <x v="5"/>
    <x v="561"/>
    <x v="0"/>
    <n v="28.458500000000001"/>
    <n v="597.62850000000003"/>
    <d v="2019-03-01T00:00:00"/>
    <d v="1899-12-30T19:49:00"/>
    <s v="Ewallet"/>
    <n v="569.16999999999996"/>
    <n v="4.7619047620000003"/>
    <x v="572"/>
    <n v="6.3"/>
  </r>
  <r>
    <s v="458-61-0011"/>
    <s v="B"/>
    <s v="Mandalay"/>
    <x v="1"/>
    <x v="1"/>
    <x v="4"/>
    <x v="562"/>
    <x v="7"/>
    <n v="12.06"/>
    <n v="253.26"/>
    <d v="2019-02-20T00:00:00"/>
    <d v="1899-12-30T18:43:00"/>
    <s v="Cash"/>
    <n v="241.2"/>
    <n v="4.7619047620000003"/>
    <x v="573"/>
    <n v="5.8"/>
  </r>
  <r>
    <s v="592-34-6155"/>
    <s v="C"/>
    <s v="Naypyidaw"/>
    <x v="1"/>
    <x v="1"/>
    <x v="4"/>
    <x v="563"/>
    <x v="7"/>
    <n v="6.3540000000000001"/>
    <n v="133.434"/>
    <d v="2019-01-14T00:00:00"/>
    <d v="1899-12-30T14:43:00"/>
    <s v="Ewallet"/>
    <n v="127.08"/>
    <n v="4.7619047620000003"/>
    <x v="574"/>
    <n v="6.2"/>
  </r>
  <r>
    <s v="797-88-0493"/>
    <s v="A"/>
    <s v="Yangon"/>
    <x v="1"/>
    <x v="0"/>
    <x v="0"/>
    <x v="564"/>
    <x v="7"/>
    <n v="12.853999999999999"/>
    <n v="269.93400000000003"/>
    <d v="2019-03-26T00:00:00"/>
    <d v="1899-12-30T13:54:00"/>
    <s v="Cash"/>
    <n v="257.08"/>
    <n v="4.7619047620000003"/>
    <x v="575"/>
    <n v="7.7"/>
  </r>
  <r>
    <s v="207-73-1363"/>
    <s v="B"/>
    <s v="Mandalay"/>
    <x v="1"/>
    <x v="1"/>
    <x v="0"/>
    <x v="565"/>
    <x v="5"/>
    <n v="6.9509999999999996"/>
    <n v="145.971"/>
    <d v="2019-03-01T00:00:00"/>
    <d v="1899-12-30T12:15:00"/>
    <s v="Ewallet"/>
    <n v="139.02000000000001"/>
    <n v="4.7619047620000003"/>
    <x v="576"/>
    <n v="8.1"/>
  </r>
  <r>
    <s v="390-31-6381"/>
    <s v="C"/>
    <s v="Naypyidaw"/>
    <x v="1"/>
    <x v="1"/>
    <x v="4"/>
    <x v="566"/>
    <x v="6"/>
    <n v="4.0830000000000002"/>
    <n v="85.742999999999995"/>
    <d v="2019-01-07T00:00:00"/>
    <d v="1899-12-30T12:37:00"/>
    <s v="Cash"/>
    <n v="81.66"/>
    <n v="4.7619047620000003"/>
    <x v="577"/>
    <n v="7.3"/>
  </r>
  <r>
    <s v="443-82-0585"/>
    <s v="A"/>
    <s v="Yangon"/>
    <x v="0"/>
    <x v="0"/>
    <x v="0"/>
    <x v="478"/>
    <x v="7"/>
    <n v="15.536"/>
    <n v="326.25599999999997"/>
    <d v="2019-02-01T00:00:00"/>
    <d v="1899-12-30T19:54:00"/>
    <s v="Cash"/>
    <n v="310.72000000000003"/>
    <n v="4.7619047620000003"/>
    <x v="578"/>
    <n v="8.4"/>
  </r>
  <r>
    <s v="339-18-7061"/>
    <s v="C"/>
    <s v="Naypyidaw"/>
    <x v="0"/>
    <x v="0"/>
    <x v="5"/>
    <x v="567"/>
    <x v="5"/>
    <n v="9.298"/>
    <n v="195.25800000000001"/>
    <d v="2019-02-13T00:00:00"/>
    <d v="1899-12-30T15:06:00"/>
    <s v="Credit card"/>
    <n v="185.96"/>
    <n v="4.7619047620000003"/>
    <x v="579"/>
    <n v="8"/>
  </r>
  <r>
    <s v="359-90-3665"/>
    <s v="B"/>
    <s v="Mandalay"/>
    <x v="0"/>
    <x v="0"/>
    <x v="5"/>
    <x v="183"/>
    <x v="7"/>
    <n v="3.6160000000000001"/>
    <n v="75.936000000000007"/>
    <d v="2019-01-14T00:00:00"/>
    <d v="1899-12-30T18:03:00"/>
    <s v="Credit card"/>
    <n v="72.319999999999993"/>
    <n v="4.7619047620000003"/>
    <x v="580"/>
    <n v="9.5"/>
  </r>
  <r>
    <s v="375-72-3056"/>
    <s v="B"/>
    <s v="Mandalay"/>
    <x v="1"/>
    <x v="1"/>
    <x v="3"/>
    <x v="568"/>
    <x v="6"/>
    <n v="9.4589999999999996"/>
    <n v="198.63900000000001"/>
    <d v="2019-01-19T00:00:00"/>
    <d v="1899-12-30T15:58:00"/>
    <s v="Ewallet"/>
    <n v="189.18"/>
    <n v="4.7619047620000003"/>
    <x v="581"/>
    <n v="7"/>
  </r>
  <r>
    <s v="127-47-6963"/>
    <s v="A"/>
    <s v="Yangon"/>
    <x v="1"/>
    <x v="1"/>
    <x v="0"/>
    <x v="569"/>
    <x v="7"/>
    <n v="10.342000000000001"/>
    <n v="217.18199999999999"/>
    <d v="2019-03-09T00:00:00"/>
    <d v="1899-12-30T13:53:00"/>
    <s v="Credit card"/>
    <n v="206.84"/>
    <n v="4.7619047620000003"/>
    <x v="582"/>
    <n v="9.8000000000000007"/>
  </r>
  <r>
    <s v="278-86-2735"/>
    <s v="A"/>
    <s v="Yangon"/>
    <x v="1"/>
    <x v="0"/>
    <x v="4"/>
    <x v="570"/>
    <x v="6"/>
    <n v="7.851"/>
    <n v="164.87100000000001"/>
    <d v="2019-03-27T00:00:00"/>
    <d v="1899-12-30T14:03:00"/>
    <s v="Cash"/>
    <n v="157.02000000000001"/>
    <n v="4.7619047620000003"/>
    <x v="583"/>
    <n v="9.1999999999999993"/>
  </r>
  <r>
    <s v="695-28-6250"/>
    <s v="A"/>
    <s v="Yangon"/>
    <x v="1"/>
    <x v="0"/>
    <x v="3"/>
    <x v="571"/>
    <x v="1"/>
    <n v="10.765000000000001"/>
    <n v="226.065"/>
    <d v="2019-02-04T00:00:00"/>
    <d v="1899-12-30T16:38:00"/>
    <s v="Ewallet"/>
    <n v="215.3"/>
    <n v="4.7619047620000003"/>
    <x v="584"/>
    <n v="7.7"/>
  </r>
  <r>
    <s v="379-17-6588"/>
    <s v="C"/>
    <s v="Naypyidaw"/>
    <x v="1"/>
    <x v="1"/>
    <x v="5"/>
    <x v="572"/>
    <x v="4"/>
    <n v="29.805"/>
    <n v="625.90499999999997"/>
    <d v="2019-03-14T00:00:00"/>
    <d v="1899-12-30T11:07:00"/>
    <s v="Cash"/>
    <n v="596.1"/>
    <n v="4.7619047620000003"/>
    <x v="585"/>
    <n v="5.3"/>
  </r>
  <r>
    <s v="227-50-3718"/>
    <s v="A"/>
    <s v="Yangon"/>
    <x v="1"/>
    <x v="1"/>
    <x v="0"/>
    <x v="573"/>
    <x v="1"/>
    <n v="3.6549999999999998"/>
    <n v="76.754999999999995"/>
    <d v="2019-03-04T00:00:00"/>
    <d v="1899-12-30T12:23:00"/>
    <s v="Cash"/>
    <n v="73.099999999999994"/>
    <n v="4.7619047620000003"/>
    <x v="586"/>
    <n v="4.4000000000000004"/>
  </r>
  <r>
    <s v="302-15-2162"/>
    <s v="C"/>
    <s v="Naypyidaw"/>
    <x v="0"/>
    <x v="1"/>
    <x v="0"/>
    <x v="574"/>
    <x v="3"/>
    <n v="13.959"/>
    <n v="293.13900000000001"/>
    <d v="2019-03-03T00:00:00"/>
    <d v="1899-12-30T10:54:00"/>
    <s v="Credit card"/>
    <n v="279.18"/>
    <n v="4.7619047620000003"/>
    <x v="587"/>
    <n v="4.3"/>
  </r>
  <r>
    <s v="788-07-8452"/>
    <s v="C"/>
    <s v="Naypyidaw"/>
    <x v="0"/>
    <x v="0"/>
    <x v="2"/>
    <x v="575"/>
    <x v="0"/>
    <n v="8.484"/>
    <n v="178.16399999999999"/>
    <d v="2019-01-27T00:00:00"/>
    <d v="1899-12-30T17:38:00"/>
    <s v="Ewallet"/>
    <n v="169.68"/>
    <n v="4.7619047620000003"/>
    <x v="588"/>
    <n v="9.4"/>
  </r>
  <r>
    <s v="560-49-6611"/>
    <s v="A"/>
    <s v="Yangon"/>
    <x v="0"/>
    <x v="0"/>
    <x v="3"/>
    <x v="576"/>
    <x v="8"/>
    <n v="2.2789999999999999"/>
    <n v="47.859000000000002"/>
    <d v="2019-02-07T00:00:00"/>
    <d v="1899-12-30T14:13:00"/>
    <s v="Cash"/>
    <n v="45.58"/>
    <n v="4.7619047620000003"/>
    <x v="589"/>
    <n v="9.8000000000000007"/>
  </r>
  <r>
    <s v="880-35-0356"/>
    <s v="A"/>
    <s v="Yangon"/>
    <x v="0"/>
    <x v="0"/>
    <x v="3"/>
    <x v="577"/>
    <x v="6"/>
    <n v="11.28"/>
    <n v="236.88"/>
    <d v="2019-02-05T00:00:00"/>
    <d v="1899-12-30T11:51:00"/>
    <s v="Ewallet"/>
    <n v="225.6"/>
    <n v="4.7619047620000003"/>
    <x v="590"/>
    <n v="4.8"/>
  </r>
  <r>
    <s v="585-11-6748"/>
    <s v="B"/>
    <s v="Mandalay"/>
    <x v="0"/>
    <x v="1"/>
    <x v="3"/>
    <x v="578"/>
    <x v="6"/>
    <n v="14.52"/>
    <n v="304.92"/>
    <d v="2019-03-15T00:00:00"/>
    <d v="1899-12-30T13:05:00"/>
    <s v="Cash"/>
    <n v="290.39999999999998"/>
    <n v="4.7619047620000003"/>
    <x v="591"/>
    <n v="5.3"/>
  </r>
  <r>
    <s v="470-31-3286"/>
    <s v="B"/>
    <s v="Mandalay"/>
    <x v="1"/>
    <x v="1"/>
    <x v="0"/>
    <x v="579"/>
    <x v="6"/>
    <n v="2.2229999999999999"/>
    <n v="46.683"/>
    <d v="2019-03-01T00:00:00"/>
    <d v="1899-12-30T11:30:00"/>
    <s v="Credit card"/>
    <n v="44.46"/>
    <n v="4.7619047620000003"/>
    <x v="592"/>
    <n v="8.6999999999999993"/>
  </r>
  <r>
    <s v="152-68-2907"/>
    <s v="A"/>
    <s v="Yangon"/>
    <x v="1"/>
    <x v="1"/>
    <x v="4"/>
    <x v="580"/>
    <x v="6"/>
    <n v="7.83"/>
    <n v="164.43"/>
    <d v="2019-02-15T00:00:00"/>
    <d v="1899-12-30T13:30:00"/>
    <s v="Credit card"/>
    <n v="156.6"/>
    <n v="4.7619047620000003"/>
    <x v="593"/>
    <n v="9.5"/>
  </r>
  <r>
    <s v="123-35-4896"/>
    <s v="C"/>
    <s v="Naypyidaw"/>
    <x v="1"/>
    <x v="0"/>
    <x v="3"/>
    <x v="581"/>
    <x v="9"/>
    <n v="20.997"/>
    <n v="440.93700000000001"/>
    <d v="2019-02-17T00:00:00"/>
    <d v="1899-12-30T19:11:00"/>
    <s v="Ewallet"/>
    <n v="419.94"/>
    <n v="4.7619047620000003"/>
    <x v="594"/>
    <n v="5.3"/>
  </r>
  <r>
    <s v="258-69-7810"/>
    <s v="C"/>
    <s v="Naypyidaw"/>
    <x v="1"/>
    <x v="0"/>
    <x v="5"/>
    <x v="582"/>
    <x v="1"/>
    <n v="9.2125000000000004"/>
    <n v="193.46250000000001"/>
    <d v="2019-01-26T00:00:00"/>
    <d v="1899-12-30T18:53:00"/>
    <s v="Cash"/>
    <n v="184.25"/>
    <n v="4.7619047620000003"/>
    <x v="595"/>
    <n v="9.1999999999999993"/>
  </r>
  <r>
    <s v="334-64-2006"/>
    <s v="A"/>
    <s v="Yangon"/>
    <x v="0"/>
    <x v="0"/>
    <x v="2"/>
    <x v="583"/>
    <x v="5"/>
    <n v="7.032"/>
    <n v="147.672"/>
    <d v="2019-03-24T00:00:00"/>
    <d v="1899-12-30T14:22:00"/>
    <s v="Ewallet"/>
    <n v="140.63999999999999"/>
    <n v="4.7619047620000003"/>
    <x v="596"/>
    <n v="9.6"/>
  </r>
  <r>
    <s v="219-61-4139"/>
    <s v="C"/>
    <s v="Naypyidaw"/>
    <x v="1"/>
    <x v="1"/>
    <x v="1"/>
    <x v="584"/>
    <x v="8"/>
    <n v="4.1539999999999999"/>
    <n v="87.233999999999995"/>
    <d v="2019-01-23T00:00:00"/>
    <d v="1899-12-30T17:16:00"/>
    <s v="Ewallet"/>
    <n v="83.08"/>
    <n v="4.7619047620000003"/>
    <x v="451"/>
    <n v="6.4"/>
  </r>
  <r>
    <s v="881-41-7302"/>
    <s v="C"/>
    <s v="Naypyidaw"/>
    <x v="1"/>
    <x v="0"/>
    <x v="5"/>
    <x v="585"/>
    <x v="8"/>
    <n v="3.2494999999999998"/>
    <n v="68.239500000000007"/>
    <d v="2019-01-26T00:00:00"/>
    <d v="1899-12-30T10:06:00"/>
    <s v="Credit card"/>
    <n v="64.989999999999995"/>
    <n v="4.7619047620000003"/>
    <x v="597"/>
    <n v="4.5"/>
  </r>
  <r>
    <s v="373-09-4567"/>
    <s v="C"/>
    <s v="Naypyidaw"/>
    <x v="1"/>
    <x v="1"/>
    <x v="4"/>
    <x v="586"/>
    <x v="4"/>
    <n v="38.78"/>
    <n v="814.38"/>
    <d v="2019-03-14T00:00:00"/>
    <d v="1899-12-30T20:35:00"/>
    <s v="Ewallet"/>
    <n v="775.6"/>
    <n v="4.7619047620000003"/>
    <x v="598"/>
    <n v="6.9"/>
  </r>
  <r>
    <s v="642-30-6693"/>
    <s v="B"/>
    <s v="Mandalay"/>
    <x v="1"/>
    <x v="0"/>
    <x v="3"/>
    <x v="587"/>
    <x v="3"/>
    <n v="16.353000000000002"/>
    <n v="343.41300000000001"/>
    <d v="2019-03-17T00:00:00"/>
    <d v="1899-12-30T13:54:00"/>
    <s v="Ewallet"/>
    <n v="327.06"/>
    <n v="4.7619047620000003"/>
    <x v="599"/>
    <n v="7.8"/>
  </r>
  <r>
    <s v="484-22-8230"/>
    <s v="C"/>
    <s v="Naypyidaw"/>
    <x v="0"/>
    <x v="0"/>
    <x v="5"/>
    <x v="588"/>
    <x v="0"/>
    <n v="18.1615"/>
    <n v="381.39150000000001"/>
    <d v="2019-01-08T00:00:00"/>
    <d v="1899-12-30T20:08:00"/>
    <s v="Cash"/>
    <n v="363.23"/>
    <n v="4.7619047620000003"/>
    <x v="600"/>
    <n v="4.5"/>
  </r>
  <r>
    <s v="830-58-2383"/>
    <s v="B"/>
    <s v="Mandalay"/>
    <x v="1"/>
    <x v="1"/>
    <x v="2"/>
    <x v="589"/>
    <x v="7"/>
    <n v="6.35"/>
    <n v="133.35"/>
    <d v="2019-02-08T00:00:00"/>
    <d v="1899-12-30T15:26:00"/>
    <s v="Cash"/>
    <n v="127"/>
    <n v="4.7619047620000003"/>
    <x v="601"/>
    <n v="8.6"/>
  </r>
  <r>
    <s v="559-98-9873"/>
    <s v="A"/>
    <s v="Yangon"/>
    <x v="0"/>
    <x v="0"/>
    <x v="5"/>
    <x v="590"/>
    <x v="0"/>
    <n v="18.7775"/>
    <n v="394.32749999999999"/>
    <d v="2019-02-10T00:00:00"/>
    <d v="1899-12-30T12:56:00"/>
    <s v="Ewallet"/>
    <n v="375.55"/>
    <n v="4.7619047620000003"/>
    <x v="602"/>
    <n v="5.2"/>
  </r>
  <r>
    <s v="544-32-5024"/>
    <s v="C"/>
    <s v="Naypyidaw"/>
    <x v="0"/>
    <x v="0"/>
    <x v="4"/>
    <x v="591"/>
    <x v="7"/>
    <n v="9.9580000000000002"/>
    <n v="209.11799999999999"/>
    <d v="2019-03-28T00:00:00"/>
    <d v="1899-12-30T19:16:00"/>
    <s v="Credit card"/>
    <n v="199.16"/>
    <n v="4.7619047620000003"/>
    <x v="603"/>
    <n v="6.4"/>
  </r>
  <r>
    <s v="318-12-0304"/>
    <s v="A"/>
    <s v="Yangon"/>
    <x v="1"/>
    <x v="1"/>
    <x v="5"/>
    <x v="59"/>
    <x v="8"/>
    <n v="1.5305"/>
    <n v="32.140500000000003"/>
    <d v="2019-01-23T00:00:00"/>
    <d v="1899-12-30T12:20:00"/>
    <s v="Ewallet"/>
    <n v="30.61"/>
    <n v="4.7619047620000003"/>
    <x v="604"/>
    <n v="5.2"/>
  </r>
  <r>
    <s v="349-97-8902"/>
    <s v="B"/>
    <s v="Mandalay"/>
    <x v="0"/>
    <x v="1"/>
    <x v="4"/>
    <x v="592"/>
    <x v="5"/>
    <n v="5.7889999999999997"/>
    <n v="121.569"/>
    <d v="2019-01-17T00:00:00"/>
    <d v="1899-12-30T10:37:00"/>
    <s v="Ewallet"/>
    <n v="115.78"/>
    <n v="4.7619047620000003"/>
    <x v="605"/>
    <n v="8.9"/>
  </r>
  <r>
    <s v="421-95-9805"/>
    <s v="A"/>
    <s v="Yangon"/>
    <x v="1"/>
    <x v="0"/>
    <x v="1"/>
    <x v="593"/>
    <x v="8"/>
    <n v="1.448"/>
    <n v="30.408000000000001"/>
    <d v="2019-02-07T00:00:00"/>
    <d v="1899-12-30T10:18:00"/>
    <s v="Credit card"/>
    <n v="28.96"/>
    <n v="4.7619047620000003"/>
    <x v="606"/>
    <n v="6.2"/>
  </r>
  <r>
    <s v="277-35-5865"/>
    <s v="C"/>
    <s v="Naypyidaw"/>
    <x v="0"/>
    <x v="0"/>
    <x v="4"/>
    <x v="594"/>
    <x v="9"/>
    <n v="44.536499999999997"/>
    <n v="935.26649999999995"/>
    <d v="2019-03-09T00:00:00"/>
    <d v="1899-12-30T11:23:00"/>
    <s v="Cash"/>
    <n v="890.73"/>
    <n v="4.7619047620000003"/>
    <x v="607"/>
    <n v="6.7"/>
  </r>
  <r>
    <s v="789-23-8625"/>
    <s v="B"/>
    <s v="Mandalay"/>
    <x v="0"/>
    <x v="1"/>
    <x v="5"/>
    <x v="595"/>
    <x v="6"/>
    <n v="13.983000000000001"/>
    <n v="293.64299999999997"/>
    <d v="2019-01-24T00:00:00"/>
    <d v="1899-12-30T11:45:00"/>
    <s v="Cash"/>
    <n v="279.66000000000003"/>
    <n v="4.7619047620000003"/>
    <x v="608"/>
    <n v="7.2"/>
  </r>
  <r>
    <s v="284-54-4231"/>
    <s v="C"/>
    <s v="Naypyidaw"/>
    <x v="0"/>
    <x v="1"/>
    <x v="3"/>
    <x v="596"/>
    <x v="8"/>
    <n v="4.0465"/>
    <n v="84.976500000000001"/>
    <d v="2019-01-19T00:00:00"/>
    <d v="1899-12-30T16:08:00"/>
    <s v="Credit card"/>
    <n v="80.930000000000007"/>
    <n v="4.7619047620000003"/>
    <x v="609"/>
    <n v="9"/>
  </r>
  <r>
    <s v="443-59-0061"/>
    <s v="A"/>
    <s v="Yangon"/>
    <x v="0"/>
    <x v="1"/>
    <x v="4"/>
    <x v="597"/>
    <x v="4"/>
    <n v="33.725000000000001"/>
    <n v="708.22500000000002"/>
    <d v="2019-02-03T00:00:00"/>
    <d v="1899-12-30T11:25:00"/>
    <s v="Ewallet"/>
    <n v="674.5"/>
    <n v="4.7619047620000003"/>
    <x v="610"/>
    <n v="4.2"/>
  </r>
  <r>
    <s v="509-29-3912"/>
    <s v="A"/>
    <s v="Yangon"/>
    <x v="0"/>
    <x v="0"/>
    <x v="3"/>
    <x v="598"/>
    <x v="9"/>
    <n v="17.423999999999999"/>
    <n v="365.904"/>
    <d v="2019-03-20T00:00:00"/>
    <d v="1899-12-30T12:24:00"/>
    <s v="Ewallet"/>
    <n v="348.48"/>
    <n v="4.7619047620000003"/>
    <x v="611"/>
    <n v="4.2"/>
  </r>
  <r>
    <s v="327-40-9673"/>
    <s v="B"/>
    <s v="Mandalay"/>
    <x v="0"/>
    <x v="1"/>
    <x v="3"/>
    <x v="599"/>
    <x v="3"/>
    <n v="21.78"/>
    <n v="457.38"/>
    <d v="2019-01-13T00:00:00"/>
    <d v="1899-12-30T19:51:00"/>
    <s v="Cash"/>
    <n v="435.6"/>
    <n v="4.7619047620000003"/>
    <x v="612"/>
    <n v="6.9"/>
  </r>
  <r>
    <s v="840-19-2096"/>
    <s v="C"/>
    <s v="Naypyidaw"/>
    <x v="0"/>
    <x v="1"/>
    <x v="1"/>
    <x v="600"/>
    <x v="1"/>
    <n v="21.977499999999999"/>
    <n v="461.52749999999997"/>
    <d v="2019-03-14T00:00:00"/>
    <d v="1899-12-30T18:10:00"/>
    <s v="Ewallet"/>
    <n v="439.55"/>
    <n v="4.7619047620000003"/>
    <x v="613"/>
    <n v="4.4000000000000004"/>
  </r>
  <r>
    <s v="828-46-6863"/>
    <s v="A"/>
    <s v="Yangon"/>
    <x v="0"/>
    <x v="1"/>
    <x v="4"/>
    <x v="601"/>
    <x v="3"/>
    <n v="29.559000000000001"/>
    <n v="620.73900000000003"/>
    <d v="2019-01-23T00:00:00"/>
    <d v="1899-12-30T11:22:00"/>
    <s v="Credit card"/>
    <n v="591.17999999999995"/>
    <n v="4.7619047620000003"/>
    <x v="614"/>
    <n v="4"/>
  </r>
  <r>
    <s v="641-96-3695"/>
    <s v="C"/>
    <s v="Naypyidaw"/>
    <x v="0"/>
    <x v="0"/>
    <x v="5"/>
    <x v="602"/>
    <x v="3"/>
    <n v="13.038"/>
    <n v="273.798"/>
    <d v="2019-02-07T00:00:00"/>
    <d v="1899-12-30T17:55:00"/>
    <s v="Ewallet"/>
    <n v="260.76"/>
    <n v="4.7619047620000003"/>
    <x v="615"/>
    <n v="8.5"/>
  </r>
  <r>
    <s v="420-97-3340"/>
    <s v="A"/>
    <s v="Yangon"/>
    <x v="1"/>
    <x v="0"/>
    <x v="4"/>
    <x v="603"/>
    <x v="6"/>
    <n v="10.752000000000001"/>
    <n v="225.792"/>
    <d v="2019-03-28T00:00:00"/>
    <d v="1899-12-30T15:30:00"/>
    <s v="Credit card"/>
    <n v="215.04"/>
    <n v="4.7619047620000003"/>
    <x v="616"/>
    <n v="9.1999999999999993"/>
  </r>
  <r>
    <s v="436-54-4512"/>
    <s v="A"/>
    <s v="Yangon"/>
    <x v="0"/>
    <x v="0"/>
    <x v="4"/>
    <x v="604"/>
    <x v="8"/>
    <n v="4.5804999999999998"/>
    <n v="96.1905"/>
    <d v="2019-03-20T00:00:00"/>
    <d v="1899-12-30T19:44:00"/>
    <s v="Cash"/>
    <n v="91.61"/>
    <n v="4.7619047620000003"/>
    <x v="617"/>
    <n v="9.8000000000000007"/>
  </r>
  <r>
    <s v="670-79-6321"/>
    <s v="B"/>
    <s v="Mandalay"/>
    <x v="0"/>
    <x v="0"/>
    <x v="2"/>
    <x v="605"/>
    <x v="0"/>
    <n v="33.106499999999997"/>
    <n v="695.23649999999998"/>
    <d v="2019-01-17T00:00:00"/>
    <d v="1899-12-30T15:27:00"/>
    <s v="Credit card"/>
    <n v="662.13"/>
    <n v="4.7619047620000003"/>
    <x v="618"/>
    <n v="4.9000000000000004"/>
  </r>
  <r>
    <s v="852-62-7105"/>
    <s v="B"/>
    <s v="Mandalay"/>
    <x v="1"/>
    <x v="0"/>
    <x v="5"/>
    <x v="606"/>
    <x v="4"/>
    <n v="41.625"/>
    <n v="874.125"/>
    <d v="2019-01-12T00:00:00"/>
    <d v="1899-12-30T11:25:00"/>
    <s v="Credit card"/>
    <n v="832.5"/>
    <n v="4.7619047620000003"/>
    <x v="619"/>
    <n v="4.4000000000000004"/>
  </r>
  <r>
    <s v="598-06-7312"/>
    <s v="B"/>
    <s v="Mandalay"/>
    <x v="0"/>
    <x v="1"/>
    <x v="5"/>
    <x v="607"/>
    <x v="8"/>
    <n v="4.5674999999999999"/>
    <n v="95.917500000000004"/>
    <d v="2019-02-16T00:00:00"/>
    <d v="1899-12-30T15:42:00"/>
    <s v="Cash"/>
    <n v="91.35"/>
    <n v="4.7619047620000003"/>
    <x v="620"/>
    <n v="6.8"/>
  </r>
  <r>
    <s v="135-13-8269"/>
    <s v="B"/>
    <s v="Mandalay"/>
    <x v="0"/>
    <x v="0"/>
    <x v="4"/>
    <x v="608"/>
    <x v="5"/>
    <n v="7.8879999999999999"/>
    <n v="165.648"/>
    <d v="2019-01-26T00:00:00"/>
    <d v="1899-12-30T16:04:00"/>
    <s v="Cash"/>
    <n v="157.76"/>
    <n v="4.7619047620000003"/>
    <x v="621"/>
    <n v="9.1"/>
  </r>
  <r>
    <s v="816-57-2053"/>
    <s v="A"/>
    <s v="Yangon"/>
    <x v="1"/>
    <x v="1"/>
    <x v="3"/>
    <x v="609"/>
    <x v="5"/>
    <n v="6.0869999999999997"/>
    <n v="127.827"/>
    <d v="2019-03-09T00:00:00"/>
    <d v="1899-12-30T12:37:00"/>
    <s v="Ewallet"/>
    <n v="121.74"/>
    <n v="4.7619047620000003"/>
    <x v="622"/>
    <n v="8.6999999999999993"/>
  </r>
  <r>
    <s v="628-90-8624"/>
    <s v="B"/>
    <s v="Mandalay"/>
    <x v="0"/>
    <x v="1"/>
    <x v="0"/>
    <x v="610"/>
    <x v="4"/>
    <n v="41.29"/>
    <n v="867.09"/>
    <d v="2019-03-14T00:00:00"/>
    <d v="1899-12-30T14:41:00"/>
    <s v="Cash"/>
    <n v="825.8"/>
    <n v="4.7619047620000003"/>
    <x v="623"/>
    <n v="5"/>
  </r>
  <r>
    <s v="856-66-2701"/>
    <s v="A"/>
    <s v="Yangon"/>
    <x v="0"/>
    <x v="1"/>
    <x v="2"/>
    <x v="611"/>
    <x v="6"/>
    <n v="7.9950000000000001"/>
    <n v="167.89500000000001"/>
    <d v="2019-01-25T00:00:00"/>
    <d v="1899-12-30T14:19:00"/>
    <s v="Ewallet"/>
    <n v="159.9"/>
    <n v="4.7619047620000003"/>
    <x v="624"/>
    <n v="7.5"/>
  </r>
  <r>
    <s v="308-39-1707"/>
    <s v="A"/>
    <s v="Yangon"/>
    <x v="1"/>
    <x v="0"/>
    <x v="5"/>
    <x v="612"/>
    <x v="8"/>
    <n v="0.60450000000000004"/>
    <n v="12.6945"/>
    <d v="2019-01-26T00:00:00"/>
    <d v="1899-12-30T18:19:00"/>
    <s v="Credit card"/>
    <n v="12.09"/>
    <n v="4.7619047620000003"/>
    <x v="625"/>
    <n v="8.1999999999999993"/>
  </r>
  <r>
    <s v="149-61-1929"/>
    <s v="A"/>
    <s v="Yangon"/>
    <x v="1"/>
    <x v="1"/>
    <x v="3"/>
    <x v="613"/>
    <x v="4"/>
    <n v="32.094999999999999"/>
    <n v="673.995"/>
    <d v="2019-01-19T00:00:00"/>
    <d v="1899-12-30T14:08:00"/>
    <s v="Credit card"/>
    <n v="641.9"/>
    <n v="4.7619047620000003"/>
    <x v="626"/>
    <n v="6.7"/>
  </r>
  <r>
    <s v="655-07-2265"/>
    <s v="A"/>
    <s v="Yangon"/>
    <x v="1"/>
    <x v="1"/>
    <x v="1"/>
    <x v="77"/>
    <x v="6"/>
    <n v="11.746499999999999"/>
    <n v="246.6765"/>
    <d v="2019-03-05T00:00:00"/>
    <d v="1899-12-30T16:38:00"/>
    <s v="Ewallet"/>
    <n v="234.93"/>
    <n v="4.7619047620000003"/>
    <x v="627"/>
    <n v="5.4"/>
  </r>
  <r>
    <s v="589-02-8023"/>
    <s v="A"/>
    <s v="Yangon"/>
    <x v="0"/>
    <x v="1"/>
    <x v="4"/>
    <x v="461"/>
    <x v="5"/>
    <n v="8.3770000000000007"/>
    <n v="175.917"/>
    <d v="2019-01-15T00:00:00"/>
    <d v="1899-12-30T10:54:00"/>
    <s v="Credit card"/>
    <n v="167.54"/>
    <n v="4.7619047620000003"/>
    <x v="628"/>
    <n v="7"/>
  </r>
  <r>
    <s v="420-04-7590"/>
    <s v="B"/>
    <s v="Mandalay"/>
    <x v="1"/>
    <x v="1"/>
    <x v="2"/>
    <x v="614"/>
    <x v="6"/>
    <n v="14.955"/>
    <n v="314.05500000000001"/>
    <d v="2019-03-18T00:00:00"/>
    <d v="1899-12-30T11:29:00"/>
    <s v="Ewallet"/>
    <n v="299.10000000000002"/>
    <n v="4.7619047620000003"/>
    <x v="629"/>
    <n v="4.7"/>
  </r>
  <r>
    <s v="182-88-2763"/>
    <s v="B"/>
    <s v="Mandalay"/>
    <x v="0"/>
    <x v="1"/>
    <x v="4"/>
    <x v="615"/>
    <x v="6"/>
    <n v="11.986499999999999"/>
    <n v="251.7165"/>
    <d v="2019-03-20T00:00:00"/>
    <d v="1899-12-30T19:28:00"/>
    <s v="Credit card"/>
    <n v="239.73"/>
    <n v="4.7619047620000003"/>
    <x v="630"/>
    <n v="5"/>
  </r>
  <r>
    <s v="188-55-0967"/>
    <s v="B"/>
    <s v="Mandalay"/>
    <x v="0"/>
    <x v="1"/>
    <x v="0"/>
    <x v="616"/>
    <x v="4"/>
    <n v="33.234999999999999"/>
    <n v="697.93499999999995"/>
    <d v="2019-01-15T00:00:00"/>
    <d v="1899-12-30T15:01:00"/>
    <s v="Credit card"/>
    <n v="664.7"/>
    <n v="4.7619047620000003"/>
    <x v="631"/>
    <n v="5"/>
  </r>
  <r>
    <s v="610-46-4100"/>
    <s v="A"/>
    <s v="Yangon"/>
    <x v="1"/>
    <x v="1"/>
    <x v="0"/>
    <x v="617"/>
    <x v="0"/>
    <n v="10.1325"/>
    <n v="212.7825"/>
    <d v="2019-03-03T00:00:00"/>
    <d v="1899-12-30T20:31:00"/>
    <s v="Credit card"/>
    <n v="202.65"/>
    <n v="4.7619047620000003"/>
    <x v="632"/>
    <n v="6"/>
  </r>
  <r>
    <s v="318-81-2368"/>
    <s v="C"/>
    <s v="Naypyidaw"/>
    <x v="1"/>
    <x v="0"/>
    <x v="1"/>
    <x v="618"/>
    <x v="8"/>
    <n v="2.31"/>
    <n v="48.51"/>
    <d v="2019-03-19T00:00:00"/>
    <d v="1899-12-30T12:16:00"/>
    <s v="Cash"/>
    <n v="46.2"/>
    <n v="4.7619047620000003"/>
    <x v="633"/>
    <n v="6.3"/>
  </r>
  <r>
    <s v="364-33-8584"/>
    <s v="B"/>
    <s v="Mandalay"/>
    <x v="0"/>
    <x v="0"/>
    <x v="4"/>
    <x v="619"/>
    <x v="1"/>
    <n v="4.4074999999999998"/>
    <n v="92.557500000000005"/>
    <d v="2019-03-08T00:00:00"/>
    <d v="1899-12-30T15:27:00"/>
    <s v="Cash"/>
    <n v="88.15"/>
    <n v="4.7619047620000003"/>
    <x v="634"/>
    <n v="8.5"/>
  </r>
  <r>
    <s v="665-63-9737"/>
    <s v="B"/>
    <s v="Mandalay"/>
    <x v="1"/>
    <x v="1"/>
    <x v="5"/>
    <x v="620"/>
    <x v="6"/>
    <n v="7.8630000000000004"/>
    <n v="165.12299999999999"/>
    <d v="2019-02-27T00:00:00"/>
    <d v="1899-12-30T17:36:00"/>
    <s v="Ewallet"/>
    <n v="157.26"/>
    <n v="4.7619047620000003"/>
    <x v="635"/>
    <n v="7.5"/>
  </r>
  <r>
    <s v="695-09-5146"/>
    <s v="B"/>
    <s v="Mandalay"/>
    <x v="0"/>
    <x v="0"/>
    <x v="4"/>
    <x v="621"/>
    <x v="6"/>
    <n v="14.8185"/>
    <n v="311.18849999999998"/>
    <d v="2019-02-23T00:00:00"/>
    <d v="1899-12-30T20:00:00"/>
    <s v="Ewallet"/>
    <n v="296.37"/>
    <n v="4.7619047620000003"/>
    <x v="636"/>
    <n v="6.4"/>
  </r>
  <r>
    <s v="155-45-3814"/>
    <s v="C"/>
    <s v="Naypyidaw"/>
    <x v="0"/>
    <x v="0"/>
    <x v="1"/>
    <x v="622"/>
    <x v="2"/>
    <n v="35.42"/>
    <n v="743.82"/>
    <d v="2019-03-19T00:00:00"/>
    <d v="1899-12-30T15:29:00"/>
    <s v="Ewallet"/>
    <n v="708.4"/>
    <n v="4.7619047620000003"/>
    <x v="637"/>
    <n v="4.7"/>
  </r>
  <r>
    <s v="794-32-2436"/>
    <s v="B"/>
    <s v="Mandalay"/>
    <x v="0"/>
    <x v="1"/>
    <x v="1"/>
    <x v="623"/>
    <x v="5"/>
    <n v="5.5670000000000002"/>
    <n v="116.907"/>
    <d v="2019-03-27T00:00:00"/>
    <d v="1899-12-30T15:08:00"/>
    <s v="Ewallet"/>
    <n v="111.34"/>
    <n v="4.7619047620000003"/>
    <x v="638"/>
    <n v="6"/>
  </r>
  <r>
    <s v="131-15-8856"/>
    <s v="C"/>
    <s v="Naypyidaw"/>
    <x v="0"/>
    <x v="0"/>
    <x v="4"/>
    <x v="624"/>
    <x v="2"/>
    <n v="29.007999999999999"/>
    <n v="609.16800000000001"/>
    <d v="2019-03-30T00:00:00"/>
    <d v="1899-12-30T19:26:00"/>
    <s v="Credit card"/>
    <n v="580.16"/>
    <n v="4.7619047620000003"/>
    <x v="639"/>
    <n v="4"/>
  </r>
  <r>
    <s v="273-84-2164"/>
    <s v="C"/>
    <s v="Naypyidaw"/>
    <x v="0"/>
    <x v="1"/>
    <x v="1"/>
    <x v="625"/>
    <x v="1"/>
    <n v="3.0125000000000002"/>
    <n v="63.262500000000003"/>
    <d v="2019-02-16T00:00:00"/>
    <d v="1899-12-30T15:53:00"/>
    <s v="Ewallet"/>
    <n v="60.25"/>
    <n v="4.7619047620000003"/>
    <x v="640"/>
    <n v="5.5"/>
  </r>
  <r>
    <s v="706-36-6154"/>
    <s v="A"/>
    <s v="Yangon"/>
    <x v="0"/>
    <x v="1"/>
    <x v="2"/>
    <x v="626"/>
    <x v="9"/>
    <n v="8.7119999999999997"/>
    <n v="182.952"/>
    <d v="2019-01-18T00:00:00"/>
    <d v="1899-12-30T18:43:00"/>
    <s v="Ewallet"/>
    <n v="174.24"/>
    <n v="4.7619047620000003"/>
    <x v="641"/>
    <n v="8.6999999999999993"/>
  </r>
  <r>
    <s v="778-89-7974"/>
    <s v="C"/>
    <s v="Naypyidaw"/>
    <x v="1"/>
    <x v="1"/>
    <x v="0"/>
    <x v="627"/>
    <x v="3"/>
    <n v="21.062999999999999"/>
    <n v="442.32299999999998"/>
    <d v="2019-03-30T00:00:00"/>
    <d v="1899-12-30T14:58:00"/>
    <s v="Cash"/>
    <n v="421.26"/>
    <n v="4.7619047620000003"/>
    <x v="642"/>
    <n v="7.4"/>
  </r>
  <r>
    <s v="574-31-8277"/>
    <s v="B"/>
    <s v="Mandalay"/>
    <x v="0"/>
    <x v="1"/>
    <x v="5"/>
    <x v="628"/>
    <x v="8"/>
    <n v="1.6815"/>
    <n v="35.311500000000002"/>
    <d v="2019-03-20T00:00:00"/>
    <d v="1899-12-30T19:55:00"/>
    <s v="Cash"/>
    <n v="33.630000000000003"/>
    <n v="4.7619047620000003"/>
    <x v="643"/>
    <n v="5.6"/>
  </r>
  <r>
    <s v="859-71-0933"/>
    <s v="C"/>
    <s v="Naypyidaw"/>
    <x v="0"/>
    <x v="0"/>
    <x v="3"/>
    <x v="629"/>
    <x v="5"/>
    <n v="1.5489999999999999"/>
    <n v="32.529000000000003"/>
    <d v="2019-01-16T00:00:00"/>
    <d v="1899-12-30T15:10:00"/>
    <s v="Cash"/>
    <n v="30.98"/>
    <n v="4.7619047620000003"/>
    <x v="644"/>
    <n v="6.3"/>
  </r>
  <r>
    <s v="740-11-5257"/>
    <s v="C"/>
    <s v="Naypyidaw"/>
    <x v="1"/>
    <x v="1"/>
    <x v="1"/>
    <x v="60"/>
    <x v="4"/>
    <n v="12.37"/>
    <n v="259.77"/>
    <d v="2019-02-24T00:00:00"/>
    <d v="1899-12-30T16:44:00"/>
    <s v="Cash"/>
    <n v="247.4"/>
    <n v="4.7619047620000003"/>
    <x v="645"/>
    <n v="7.1"/>
  </r>
  <r>
    <s v="369-82-2676"/>
    <s v="B"/>
    <s v="Mandalay"/>
    <x v="1"/>
    <x v="1"/>
    <x v="1"/>
    <x v="630"/>
    <x v="1"/>
    <n v="18.914999999999999"/>
    <n v="397.21499999999997"/>
    <d v="2019-01-15T00:00:00"/>
    <d v="1899-12-30T18:22:00"/>
    <s v="Ewallet"/>
    <n v="378.3"/>
    <n v="4.7619047620000003"/>
    <x v="646"/>
    <n v="7.8"/>
  </r>
  <r>
    <s v="563-47-4072"/>
    <s v="B"/>
    <s v="Mandalay"/>
    <x v="1"/>
    <x v="0"/>
    <x v="0"/>
    <x v="631"/>
    <x v="3"/>
    <n v="16.742999999999999"/>
    <n v="351.60300000000001"/>
    <d v="2019-01-22T00:00:00"/>
    <d v="1899-12-30T11:52:00"/>
    <s v="Cash"/>
    <n v="334.86"/>
    <n v="4.7619047620000003"/>
    <x v="647"/>
    <n v="9.9"/>
  </r>
  <r>
    <s v="742-04-5161"/>
    <s v="A"/>
    <s v="Yangon"/>
    <x v="0"/>
    <x v="1"/>
    <x v="2"/>
    <x v="632"/>
    <x v="4"/>
    <n v="36.39"/>
    <n v="764.19"/>
    <d v="2019-02-03T00:00:00"/>
    <d v="1899-12-30T17:24:00"/>
    <s v="Cash"/>
    <n v="727.8"/>
    <n v="4.7619047620000003"/>
    <x v="648"/>
    <n v="7.3"/>
  </r>
  <r>
    <s v="149-15-7606"/>
    <s v="B"/>
    <s v="Mandalay"/>
    <x v="0"/>
    <x v="1"/>
    <x v="3"/>
    <x v="633"/>
    <x v="9"/>
    <n v="16.794"/>
    <n v="352.67399999999998"/>
    <d v="2019-03-06T00:00:00"/>
    <d v="1899-12-30T15:31:00"/>
    <s v="Ewallet"/>
    <n v="335.88"/>
    <n v="4.7619047620000003"/>
    <x v="649"/>
    <n v="5.0999999999999996"/>
  </r>
  <r>
    <s v="133-77-3154"/>
    <s v="B"/>
    <s v="Mandalay"/>
    <x v="0"/>
    <x v="1"/>
    <x v="5"/>
    <x v="634"/>
    <x v="7"/>
    <n v="12.036"/>
    <n v="252.756"/>
    <d v="2019-02-16T00:00:00"/>
    <d v="1899-12-30T18:04:00"/>
    <s v="Credit card"/>
    <n v="240.72"/>
    <n v="4.7619047620000003"/>
    <x v="650"/>
    <n v="9.4"/>
  </r>
  <r>
    <s v="169-52-4504"/>
    <s v="A"/>
    <s v="Yangon"/>
    <x v="1"/>
    <x v="0"/>
    <x v="1"/>
    <x v="635"/>
    <x v="6"/>
    <n v="2.3534999999999999"/>
    <n v="49.423499999999997"/>
    <d v="2019-03-14T00:00:00"/>
    <d v="1899-12-30T14:13:00"/>
    <s v="Credit card"/>
    <n v="47.07"/>
    <n v="4.7619047620000003"/>
    <x v="651"/>
    <n v="5.8"/>
  </r>
  <r>
    <s v="250-81-7186"/>
    <s v="C"/>
    <s v="Naypyidaw"/>
    <x v="1"/>
    <x v="0"/>
    <x v="1"/>
    <x v="374"/>
    <x v="8"/>
    <n v="4.9844999999999997"/>
    <n v="104.67449999999999"/>
    <d v="2019-02-27T00:00:00"/>
    <d v="1899-12-30T10:23:00"/>
    <s v="Credit card"/>
    <n v="99.69"/>
    <n v="4.7619047620000003"/>
    <x v="652"/>
    <n v="8"/>
  </r>
  <r>
    <s v="562-12-5430"/>
    <s v="A"/>
    <s v="Yangon"/>
    <x v="0"/>
    <x v="0"/>
    <x v="5"/>
    <x v="636"/>
    <x v="6"/>
    <n v="13.2225"/>
    <n v="277.67250000000001"/>
    <d v="2019-01-18T00:00:00"/>
    <d v="1899-12-30T10:11:00"/>
    <s v="Ewallet"/>
    <n v="264.45"/>
    <n v="4.7619047620000003"/>
    <x v="653"/>
    <n v="7.9"/>
  </r>
  <r>
    <s v="816-72-8853"/>
    <s v="A"/>
    <s v="Yangon"/>
    <x v="0"/>
    <x v="0"/>
    <x v="3"/>
    <x v="637"/>
    <x v="1"/>
    <n v="6.9824999999999999"/>
    <n v="146.63249999999999"/>
    <d v="2019-01-29T00:00:00"/>
    <d v="1899-12-30T15:48:00"/>
    <s v="Cash"/>
    <n v="139.65"/>
    <n v="4.7619047620000003"/>
    <x v="654"/>
    <n v="5.9"/>
  </r>
  <r>
    <s v="491-38-3499"/>
    <s v="A"/>
    <s v="Yangon"/>
    <x v="0"/>
    <x v="1"/>
    <x v="5"/>
    <x v="638"/>
    <x v="8"/>
    <n v="2.7725"/>
    <n v="58.222499999999997"/>
    <d v="2019-02-26T00:00:00"/>
    <d v="1899-12-30T17:46:00"/>
    <s v="Credit card"/>
    <n v="55.45"/>
    <n v="4.7619047620000003"/>
    <x v="655"/>
    <n v="4.9000000000000004"/>
  </r>
  <r>
    <s v="322-02-2271"/>
    <s v="B"/>
    <s v="Mandalay"/>
    <x v="1"/>
    <x v="0"/>
    <x v="3"/>
    <x v="639"/>
    <x v="6"/>
    <n v="6.4455"/>
    <n v="135.35550000000001"/>
    <d v="2019-02-03T00:00:00"/>
    <d v="1899-12-30T11:46:00"/>
    <s v="Cash"/>
    <n v="128.91"/>
    <n v="4.7619047620000003"/>
    <x v="656"/>
    <n v="9.3000000000000007"/>
  </r>
  <r>
    <s v="842-29-4695"/>
    <s v="C"/>
    <s v="Naypyidaw"/>
    <x v="0"/>
    <x v="1"/>
    <x v="3"/>
    <x v="640"/>
    <x v="0"/>
    <n v="5.9989999999999997"/>
    <n v="125.979"/>
    <d v="2019-01-16T00:00:00"/>
    <d v="1899-12-30T12:07:00"/>
    <s v="Credit card"/>
    <n v="119.98"/>
    <n v="4.7619047620000003"/>
    <x v="657"/>
    <n v="7.9"/>
  </r>
  <r>
    <s v="725-67-2480"/>
    <s v="B"/>
    <s v="Mandalay"/>
    <x v="0"/>
    <x v="0"/>
    <x v="5"/>
    <x v="641"/>
    <x v="3"/>
    <n v="17.625"/>
    <n v="370.125"/>
    <d v="2019-03-24T00:00:00"/>
    <d v="1899-12-30T18:14:00"/>
    <s v="Credit card"/>
    <n v="352.5"/>
    <n v="4.7619047620000003"/>
    <x v="658"/>
    <n v="5.9"/>
  </r>
  <r>
    <s v="641-51-2661"/>
    <s v="C"/>
    <s v="Naypyidaw"/>
    <x v="0"/>
    <x v="0"/>
    <x v="4"/>
    <x v="642"/>
    <x v="4"/>
    <n v="43.55"/>
    <n v="914.55"/>
    <d v="2019-02-12T00:00:00"/>
    <d v="1899-12-30T14:45:00"/>
    <s v="Credit card"/>
    <n v="871"/>
    <n v="4.7619047620000003"/>
    <x v="659"/>
    <n v="9.9"/>
  </r>
  <r>
    <s v="714-02-3114"/>
    <s v="C"/>
    <s v="Naypyidaw"/>
    <x v="1"/>
    <x v="0"/>
    <x v="3"/>
    <x v="643"/>
    <x v="5"/>
    <n v="9.8800000000000008"/>
    <n v="207.48"/>
    <d v="2019-02-21T00:00:00"/>
    <d v="1899-12-30T11:39:00"/>
    <s v="Cash"/>
    <n v="197.6"/>
    <n v="4.7619047620000003"/>
    <x v="660"/>
    <n v="7.7"/>
  </r>
  <r>
    <s v="518-17-2983"/>
    <s v="A"/>
    <s v="Yangon"/>
    <x v="1"/>
    <x v="0"/>
    <x v="5"/>
    <x v="644"/>
    <x v="7"/>
    <n v="9.7260000000000009"/>
    <n v="204.24600000000001"/>
    <d v="2019-02-04T00:00:00"/>
    <d v="1899-12-30T15:44:00"/>
    <s v="Ewallet"/>
    <n v="194.52"/>
    <n v="4.7619047620000003"/>
    <x v="661"/>
    <n v="7.6"/>
  </r>
  <r>
    <s v="779-42-2410"/>
    <s v="B"/>
    <s v="Mandalay"/>
    <x v="0"/>
    <x v="1"/>
    <x v="4"/>
    <x v="645"/>
    <x v="6"/>
    <n v="8.6609999999999996"/>
    <n v="181.881"/>
    <d v="2019-02-20T00:00:00"/>
    <d v="1899-12-30T13:06:00"/>
    <s v="Ewallet"/>
    <n v="173.22"/>
    <n v="4.7619047620000003"/>
    <x v="662"/>
    <n v="7.7"/>
  </r>
  <r>
    <s v="190-14-3147"/>
    <s v="B"/>
    <s v="Mandalay"/>
    <x v="1"/>
    <x v="0"/>
    <x v="0"/>
    <x v="646"/>
    <x v="7"/>
    <n v="3.5939999999999999"/>
    <n v="75.474000000000004"/>
    <d v="2019-02-23T00:00:00"/>
    <d v="1899-12-30T20:43:00"/>
    <s v="Ewallet"/>
    <n v="71.88"/>
    <n v="4.7619047620000003"/>
    <x v="663"/>
    <n v="6.4"/>
  </r>
  <r>
    <s v="408-66-6712"/>
    <s v="C"/>
    <s v="Naypyidaw"/>
    <x v="0"/>
    <x v="0"/>
    <x v="0"/>
    <x v="647"/>
    <x v="3"/>
    <n v="14.313000000000001"/>
    <n v="300.57299999999998"/>
    <d v="2019-02-16T00:00:00"/>
    <d v="1899-12-30T14:19:00"/>
    <s v="Ewallet"/>
    <n v="286.26"/>
    <n v="4.7619047620000003"/>
    <x v="664"/>
    <n v="4.4000000000000004"/>
  </r>
  <r>
    <s v="679-22-6530"/>
    <s v="B"/>
    <s v="Mandalay"/>
    <x v="1"/>
    <x v="0"/>
    <x v="3"/>
    <x v="648"/>
    <x v="5"/>
    <n v="4.0620000000000003"/>
    <n v="85.302000000000007"/>
    <d v="2019-01-17T00:00:00"/>
    <d v="1899-12-30T10:01:00"/>
    <s v="Credit card"/>
    <n v="81.239999999999995"/>
    <n v="4.7619047620000003"/>
    <x v="665"/>
    <n v="4.0999999999999996"/>
  </r>
  <r>
    <s v="588-47-8641"/>
    <s v="A"/>
    <s v="Yangon"/>
    <x v="0"/>
    <x v="1"/>
    <x v="5"/>
    <x v="649"/>
    <x v="4"/>
    <n v="28.02"/>
    <n v="588.41999999999996"/>
    <d v="2019-01-14T00:00:00"/>
    <d v="1899-12-30T19:30:00"/>
    <s v="Ewallet"/>
    <n v="560.4"/>
    <n v="4.7619047620000003"/>
    <x v="666"/>
    <n v="4.4000000000000004"/>
  </r>
  <r>
    <s v="642-61-4706"/>
    <s v="B"/>
    <s v="Mandalay"/>
    <x v="0"/>
    <x v="1"/>
    <x v="4"/>
    <x v="650"/>
    <x v="5"/>
    <n v="9.34"/>
    <n v="196.14"/>
    <d v="2019-03-30T00:00:00"/>
    <d v="1899-12-30T16:34:00"/>
    <s v="Cash"/>
    <n v="186.8"/>
    <n v="4.7619047620000003"/>
    <x v="667"/>
    <n v="5.5"/>
  </r>
  <r>
    <s v="576-31-4774"/>
    <s v="B"/>
    <s v="Mandalay"/>
    <x v="1"/>
    <x v="0"/>
    <x v="0"/>
    <x v="651"/>
    <x v="6"/>
    <n v="11.0115"/>
    <n v="231.2415"/>
    <d v="2019-03-02T00:00:00"/>
    <d v="1899-12-30T13:10:00"/>
    <s v="Ewallet"/>
    <n v="220.23"/>
    <n v="4.7619047620000003"/>
    <x v="668"/>
    <n v="4"/>
  </r>
  <r>
    <s v="556-41-6224"/>
    <s v="C"/>
    <s v="Naypyidaw"/>
    <x v="1"/>
    <x v="1"/>
    <x v="0"/>
    <x v="652"/>
    <x v="2"/>
    <n v="13.456"/>
    <n v="282.57600000000002"/>
    <d v="2019-02-15T00:00:00"/>
    <d v="1899-12-30T17:10:00"/>
    <s v="Credit card"/>
    <n v="269.12"/>
    <n v="4.7619047620000003"/>
    <x v="669"/>
    <n v="9.3000000000000007"/>
  </r>
  <r>
    <s v="811-03-8790"/>
    <s v="A"/>
    <s v="Yangon"/>
    <x v="1"/>
    <x v="0"/>
    <x v="1"/>
    <x v="653"/>
    <x v="4"/>
    <n v="22.74"/>
    <n v="477.54"/>
    <d v="2019-03-01T00:00:00"/>
    <d v="1899-12-30T10:22:00"/>
    <s v="Credit card"/>
    <n v="454.8"/>
    <n v="4.7619047620000003"/>
    <x v="670"/>
    <n v="4.8"/>
  </r>
  <r>
    <s v="242-11-3142"/>
    <s v="B"/>
    <s v="Mandalay"/>
    <x v="0"/>
    <x v="1"/>
    <x v="5"/>
    <x v="461"/>
    <x v="5"/>
    <n v="8.3770000000000007"/>
    <n v="175.917"/>
    <d v="2019-02-24T00:00:00"/>
    <d v="1899-12-30T19:57:00"/>
    <s v="Cash"/>
    <n v="167.54"/>
    <n v="4.7619047620000003"/>
    <x v="628"/>
    <n v="4.5999999999999996"/>
  </r>
  <r>
    <s v="752-23-3760"/>
    <s v="B"/>
    <s v="Mandalay"/>
    <x v="0"/>
    <x v="0"/>
    <x v="3"/>
    <x v="654"/>
    <x v="0"/>
    <n v="22.428000000000001"/>
    <n v="470.988"/>
    <d v="2019-02-19T00:00:00"/>
    <d v="1899-12-30T19:29:00"/>
    <s v="Credit card"/>
    <n v="448.56"/>
    <n v="4.7619047620000003"/>
    <x v="671"/>
    <n v="7.3"/>
  </r>
  <r>
    <s v="274-05-5470"/>
    <s v="A"/>
    <s v="Yangon"/>
    <x v="0"/>
    <x v="0"/>
    <x v="4"/>
    <x v="655"/>
    <x v="7"/>
    <n v="14.694000000000001"/>
    <n v="308.57400000000001"/>
    <d v="2019-02-23T00:00:00"/>
    <d v="1899-12-30T18:30:00"/>
    <s v="Cash"/>
    <n v="293.88"/>
    <n v="4.7619047620000003"/>
    <x v="672"/>
    <n v="6"/>
  </r>
  <r>
    <s v="648-94-3045"/>
    <s v="C"/>
    <s v="Naypyidaw"/>
    <x v="1"/>
    <x v="1"/>
    <x v="0"/>
    <x v="656"/>
    <x v="4"/>
    <n v="29.475000000000001"/>
    <n v="618.97500000000002"/>
    <d v="2019-02-07T00:00:00"/>
    <d v="1899-12-30T14:27:00"/>
    <s v="Ewallet"/>
    <n v="589.5"/>
    <n v="4.7619047620000003"/>
    <x v="673"/>
    <n v="8.1"/>
  </r>
  <r>
    <s v="130-67-4723"/>
    <s v="A"/>
    <s v="Yangon"/>
    <x v="0"/>
    <x v="1"/>
    <x v="4"/>
    <x v="495"/>
    <x v="3"/>
    <n v="14.55"/>
    <n v="305.55"/>
    <d v="2019-01-11T00:00:00"/>
    <d v="1899-12-30T13:57:00"/>
    <s v="Ewallet"/>
    <n v="291"/>
    <n v="4.7619047620000003"/>
    <x v="674"/>
    <n v="9.4"/>
  </r>
  <r>
    <s v="528-87-5606"/>
    <s v="B"/>
    <s v="Mandalay"/>
    <x v="0"/>
    <x v="0"/>
    <x v="1"/>
    <x v="657"/>
    <x v="8"/>
    <n v="1.974"/>
    <n v="41.454000000000001"/>
    <d v="2019-02-12T00:00:00"/>
    <d v="1899-12-30T19:43:00"/>
    <s v="Cash"/>
    <n v="39.479999999999997"/>
    <n v="4.7619047620000003"/>
    <x v="675"/>
    <n v="6.5"/>
  </r>
  <r>
    <s v="320-85-2052"/>
    <s v="B"/>
    <s v="Mandalay"/>
    <x v="1"/>
    <x v="0"/>
    <x v="3"/>
    <x v="658"/>
    <x v="8"/>
    <n v="1.7404999999999999"/>
    <n v="36.5505"/>
    <d v="2019-01-14T00:00:00"/>
    <d v="1899-12-30T10:11:00"/>
    <s v="Credit card"/>
    <n v="34.81"/>
    <n v="4.7619047620000003"/>
    <x v="676"/>
    <n v="7"/>
  </r>
  <r>
    <s v="370-96-0655"/>
    <s v="C"/>
    <s v="Naypyidaw"/>
    <x v="1"/>
    <x v="0"/>
    <x v="5"/>
    <x v="659"/>
    <x v="3"/>
    <n v="14.795999999999999"/>
    <n v="310.71600000000001"/>
    <d v="2019-01-09T00:00:00"/>
    <d v="1899-12-30T13:46:00"/>
    <s v="Ewallet"/>
    <n v="295.92"/>
    <n v="4.7619047620000003"/>
    <x v="677"/>
    <n v="7.1"/>
  </r>
  <r>
    <s v="105-10-6182"/>
    <s v="A"/>
    <s v="Yangon"/>
    <x v="0"/>
    <x v="1"/>
    <x v="5"/>
    <x v="660"/>
    <x v="5"/>
    <n v="2.1480000000000001"/>
    <n v="45.107999999999997"/>
    <d v="2019-02-27T00:00:00"/>
    <d v="1899-12-30T12:22:00"/>
    <s v="Ewallet"/>
    <n v="42.96"/>
    <n v="4.7619047620000003"/>
    <x v="678"/>
    <n v="6.6"/>
  </r>
  <r>
    <s v="510-79-0415"/>
    <s v="B"/>
    <s v="Mandalay"/>
    <x v="0"/>
    <x v="0"/>
    <x v="3"/>
    <x v="661"/>
    <x v="3"/>
    <n v="6.9240000000000004"/>
    <n v="145.404"/>
    <d v="2019-01-24T00:00:00"/>
    <d v="1899-12-30T19:20:00"/>
    <s v="Ewallet"/>
    <n v="138.47999999999999"/>
    <n v="4.7619047620000003"/>
    <x v="679"/>
    <n v="4.9000000000000004"/>
  </r>
  <r>
    <s v="241-96-5076"/>
    <s v="B"/>
    <s v="Mandalay"/>
    <x v="0"/>
    <x v="0"/>
    <x v="2"/>
    <x v="662"/>
    <x v="5"/>
    <n v="4.91"/>
    <n v="103.11"/>
    <d v="2019-01-08T00:00:00"/>
    <d v="1899-12-30T12:58:00"/>
    <s v="Credit card"/>
    <n v="98.2"/>
    <n v="4.7619047620000003"/>
    <x v="680"/>
    <n v="6.4"/>
  </r>
  <r>
    <s v="767-97-4650"/>
    <s v="B"/>
    <s v="Mandalay"/>
    <x v="0"/>
    <x v="0"/>
    <x v="3"/>
    <x v="663"/>
    <x v="5"/>
    <n v="6.4829999999999997"/>
    <n v="136.143"/>
    <d v="2019-01-08T00:00:00"/>
    <d v="1899-12-30T11:59:00"/>
    <s v="Credit card"/>
    <n v="129.66"/>
    <n v="4.7619047620000003"/>
    <x v="681"/>
    <n v="8"/>
  </r>
  <r>
    <s v="648-83-1321"/>
    <s v="A"/>
    <s v="Yangon"/>
    <x v="0"/>
    <x v="1"/>
    <x v="2"/>
    <x v="664"/>
    <x v="4"/>
    <n v="31.78"/>
    <n v="667.38"/>
    <d v="2019-01-16T00:00:00"/>
    <d v="1899-12-30T17:59:00"/>
    <s v="Cash"/>
    <n v="635.6"/>
    <n v="4.7619047620000003"/>
    <x v="682"/>
    <n v="4.3"/>
  </r>
  <r>
    <s v="173-57-2300"/>
    <s v="C"/>
    <s v="Naypyidaw"/>
    <x v="0"/>
    <x v="1"/>
    <x v="3"/>
    <x v="665"/>
    <x v="5"/>
    <n v="7.2880000000000003"/>
    <n v="153.048"/>
    <d v="2019-03-13T00:00:00"/>
    <d v="1899-12-30T12:51:00"/>
    <s v="Cash"/>
    <n v="145.76"/>
    <n v="4.7619047620000003"/>
    <x v="683"/>
    <n v="6.1"/>
  </r>
  <r>
    <s v="305-03-2383"/>
    <s v="A"/>
    <s v="Yangon"/>
    <x v="1"/>
    <x v="0"/>
    <x v="4"/>
    <x v="666"/>
    <x v="6"/>
    <n v="10.065"/>
    <n v="211.36500000000001"/>
    <d v="2019-02-15T00:00:00"/>
    <d v="1899-12-30T10:36:00"/>
    <s v="Cash"/>
    <n v="201.3"/>
    <n v="4.7619047620000003"/>
    <x v="684"/>
    <n v="7.5"/>
  </r>
  <r>
    <s v="394-55-6384"/>
    <s v="C"/>
    <s v="Naypyidaw"/>
    <x v="0"/>
    <x v="0"/>
    <x v="3"/>
    <x v="667"/>
    <x v="9"/>
    <n v="31.5855"/>
    <n v="663.29549999999995"/>
    <d v="2019-01-25T00:00:00"/>
    <d v="1899-12-30T13:38:00"/>
    <s v="Cash"/>
    <n v="631.71"/>
    <n v="4.7619047620000003"/>
    <x v="685"/>
    <n v="6.7"/>
  </r>
  <r>
    <s v="266-20-6657"/>
    <s v="C"/>
    <s v="Naypyidaw"/>
    <x v="0"/>
    <x v="1"/>
    <x v="4"/>
    <x v="668"/>
    <x v="0"/>
    <n v="19.263999999999999"/>
    <n v="404.54399999999998"/>
    <d v="2019-03-12T00:00:00"/>
    <d v="1899-12-30T19:39:00"/>
    <s v="Ewallet"/>
    <n v="385.28"/>
    <n v="4.7619047620000003"/>
    <x v="686"/>
    <n v="5.2"/>
  </r>
  <r>
    <s v="689-05-1884"/>
    <s v="A"/>
    <s v="Yangon"/>
    <x v="0"/>
    <x v="1"/>
    <x v="0"/>
    <x v="644"/>
    <x v="4"/>
    <n v="24.315000000000001"/>
    <n v="510.61500000000001"/>
    <d v="2019-03-04T00:00:00"/>
    <d v="1899-12-30T12:44:00"/>
    <s v="Cash"/>
    <n v="486.3"/>
    <n v="4.7619047620000003"/>
    <x v="687"/>
    <n v="8.8000000000000007"/>
  </r>
  <r>
    <s v="196-01-2849"/>
    <s v="C"/>
    <s v="Naypyidaw"/>
    <x v="0"/>
    <x v="0"/>
    <x v="5"/>
    <x v="669"/>
    <x v="0"/>
    <n v="25.683"/>
    <n v="539.34299999999996"/>
    <d v="2019-02-10T00:00:00"/>
    <d v="1899-12-30T13:56:00"/>
    <s v="Cash"/>
    <n v="513.66"/>
    <n v="4.7619047620000003"/>
    <x v="688"/>
    <n v="9.5"/>
  </r>
  <r>
    <s v="372-62-5264"/>
    <s v="C"/>
    <s v="Naypyidaw"/>
    <x v="1"/>
    <x v="0"/>
    <x v="4"/>
    <x v="670"/>
    <x v="9"/>
    <n v="23.67"/>
    <n v="497.07"/>
    <d v="2019-01-16T00:00:00"/>
    <d v="1899-12-30T14:42:00"/>
    <s v="Cash"/>
    <n v="473.4"/>
    <n v="4.7619047620000003"/>
    <x v="689"/>
    <n v="7.6"/>
  </r>
  <r>
    <s v="800-09-8606"/>
    <s v="A"/>
    <s v="Yangon"/>
    <x v="0"/>
    <x v="0"/>
    <x v="2"/>
    <x v="671"/>
    <x v="1"/>
    <n v="21.842500000000001"/>
    <n v="458.6925"/>
    <d v="2019-01-29T00:00:00"/>
    <d v="1899-12-30T19:45:00"/>
    <s v="Cash"/>
    <n v="436.85"/>
    <n v="4.7619047620000003"/>
    <x v="690"/>
    <n v="6.6"/>
  </r>
  <r>
    <s v="182-52-7000"/>
    <s v="A"/>
    <s v="Yangon"/>
    <x v="0"/>
    <x v="0"/>
    <x v="3"/>
    <x v="672"/>
    <x v="7"/>
    <n v="5.4080000000000004"/>
    <n v="113.568"/>
    <d v="2019-01-01T00:00:00"/>
    <d v="1899-12-30T20:26:00"/>
    <s v="Ewallet"/>
    <n v="108.16"/>
    <n v="4.7619047620000003"/>
    <x v="691"/>
    <n v="6.9"/>
  </r>
  <r>
    <s v="826-58-8051"/>
    <s v="B"/>
    <s v="Mandalay"/>
    <x v="1"/>
    <x v="1"/>
    <x v="2"/>
    <x v="673"/>
    <x v="7"/>
    <n v="12.438000000000001"/>
    <n v="261.19799999999998"/>
    <d v="2019-01-06T00:00:00"/>
    <d v="1899-12-30T19:46:00"/>
    <s v="Ewallet"/>
    <n v="248.76"/>
    <n v="4.7619047620000003"/>
    <x v="692"/>
    <n v="4.3"/>
  </r>
  <r>
    <s v="868-06-0466"/>
    <s v="A"/>
    <s v="Yangon"/>
    <x v="0"/>
    <x v="1"/>
    <x v="1"/>
    <x v="674"/>
    <x v="9"/>
    <n v="31.311"/>
    <n v="657.53099999999995"/>
    <d v="2019-02-19T00:00:00"/>
    <d v="1899-12-30T19:38:00"/>
    <s v="Credit card"/>
    <n v="626.22"/>
    <n v="4.7619047620000003"/>
    <x v="693"/>
    <n v="7.8"/>
  </r>
  <r>
    <s v="751-41-9720"/>
    <s v="C"/>
    <s v="Naypyidaw"/>
    <x v="1"/>
    <x v="1"/>
    <x v="2"/>
    <x v="675"/>
    <x v="4"/>
    <n v="48.75"/>
    <n v="1023.75"/>
    <d v="2019-01-12T00:00:00"/>
    <d v="1899-12-30T16:18:00"/>
    <s v="Ewallet"/>
    <n v="975"/>
    <n v="4.7619047620000003"/>
    <x v="694"/>
    <n v="8"/>
  </r>
  <r>
    <s v="626-43-7888"/>
    <s v="C"/>
    <s v="Naypyidaw"/>
    <x v="1"/>
    <x v="0"/>
    <x v="5"/>
    <x v="676"/>
    <x v="2"/>
    <n v="24.164000000000001"/>
    <n v="507.44400000000002"/>
    <d v="2019-02-07T00:00:00"/>
    <d v="1899-12-30T12:23:00"/>
    <s v="Ewallet"/>
    <n v="483.28"/>
    <n v="4.7619047620000003"/>
    <x v="695"/>
    <n v="9.6"/>
  </r>
  <r>
    <s v="176-64-7711"/>
    <s v="B"/>
    <s v="Mandalay"/>
    <x v="1"/>
    <x v="1"/>
    <x v="4"/>
    <x v="379"/>
    <x v="6"/>
    <n v="4.8479999999999999"/>
    <n v="101.80800000000001"/>
    <d v="2019-03-27T00:00:00"/>
    <d v="1899-12-30T19:11:00"/>
    <s v="Credit card"/>
    <n v="96.96"/>
    <n v="4.7619047620000003"/>
    <x v="696"/>
    <n v="4.3"/>
  </r>
  <r>
    <s v="191-29-0321"/>
    <s v="B"/>
    <s v="Mandalay"/>
    <x v="0"/>
    <x v="0"/>
    <x v="5"/>
    <x v="677"/>
    <x v="4"/>
    <n v="9.8849999999999998"/>
    <n v="207.58500000000001"/>
    <d v="2019-02-27T00:00:00"/>
    <d v="1899-12-30T18:57:00"/>
    <s v="Credit card"/>
    <n v="197.7"/>
    <n v="4.7619047620000003"/>
    <x v="697"/>
    <n v="5"/>
  </r>
  <r>
    <s v="729-06-2010"/>
    <s v="B"/>
    <s v="Mandalay"/>
    <x v="0"/>
    <x v="1"/>
    <x v="0"/>
    <x v="678"/>
    <x v="9"/>
    <n v="36.211500000000001"/>
    <n v="760.44150000000002"/>
    <d v="2019-01-06T00:00:00"/>
    <d v="1899-12-30T11:18:00"/>
    <s v="Cash"/>
    <n v="724.23"/>
    <n v="4.7619047620000003"/>
    <x v="698"/>
    <n v="9.1999999999999993"/>
  </r>
  <r>
    <s v="640-48-5028"/>
    <s v="B"/>
    <s v="Mandalay"/>
    <x v="0"/>
    <x v="0"/>
    <x v="2"/>
    <x v="679"/>
    <x v="9"/>
    <n v="39.775500000000001"/>
    <n v="835.28549999999996"/>
    <d v="2019-03-02T00:00:00"/>
    <d v="1899-12-30T12:40:00"/>
    <s v="Cash"/>
    <n v="795.51"/>
    <n v="4.7619047620000003"/>
    <x v="699"/>
    <n v="6.3"/>
  </r>
  <r>
    <s v="186-79-9562"/>
    <s v="B"/>
    <s v="Mandalay"/>
    <x v="1"/>
    <x v="1"/>
    <x v="0"/>
    <x v="680"/>
    <x v="0"/>
    <n v="25.119499999999999"/>
    <n v="527.5095"/>
    <d v="2019-03-29T00:00:00"/>
    <d v="1899-12-30T14:06:00"/>
    <s v="Cash"/>
    <n v="502.39"/>
    <n v="4.7619047620000003"/>
    <x v="700"/>
    <n v="8.9"/>
  </r>
  <r>
    <s v="834-45-5519"/>
    <s v="B"/>
    <s v="Mandalay"/>
    <x v="1"/>
    <x v="0"/>
    <x v="1"/>
    <x v="681"/>
    <x v="7"/>
    <n v="8.6"/>
    <n v="180.6"/>
    <d v="2019-01-31T00:00:00"/>
    <d v="1899-12-30T20:48:00"/>
    <s v="Ewallet"/>
    <n v="172"/>
    <n v="4.7619047620000003"/>
    <x v="701"/>
    <n v="7.6"/>
  </r>
  <r>
    <s v="162-65-8559"/>
    <s v="C"/>
    <s v="Naypyidaw"/>
    <x v="0"/>
    <x v="1"/>
    <x v="4"/>
    <x v="682"/>
    <x v="8"/>
    <n v="3.4489999999999998"/>
    <n v="72.429000000000002"/>
    <d v="2019-01-21T00:00:00"/>
    <d v="1899-12-30T20:13:00"/>
    <s v="Cash"/>
    <n v="68.98"/>
    <n v="4.7619047620000003"/>
    <x v="702"/>
    <n v="4.8"/>
  </r>
  <r>
    <s v="760-27-5490"/>
    <s v="C"/>
    <s v="Naypyidaw"/>
    <x v="1"/>
    <x v="1"/>
    <x v="5"/>
    <x v="683"/>
    <x v="2"/>
    <n v="6.2480000000000002"/>
    <n v="131.208"/>
    <d v="2019-01-20T00:00:00"/>
    <d v="1899-12-30T20:37:00"/>
    <s v="Ewallet"/>
    <n v="124.96"/>
    <n v="4.7619047620000003"/>
    <x v="703"/>
    <n v="9.1"/>
  </r>
  <r>
    <s v="445-30-9252"/>
    <s v="A"/>
    <s v="Yangon"/>
    <x v="1"/>
    <x v="1"/>
    <x v="3"/>
    <x v="684"/>
    <x v="6"/>
    <n v="3.855"/>
    <n v="80.954999999999998"/>
    <d v="2019-01-17T00:00:00"/>
    <d v="1899-12-30T17:59:00"/>
    <s v="Ewallet"/>
    <n v="77.099999999999994"/>
    <n v="4.7619047620000003"/>
    <x v="704"/>
    <n v="6.1"/>
  </r>
  <r>
    <s v="786-94-2700"/>
    <s v="A"/>
    <s v="Yangon"/>
    <x v="0"/>
    <x v="1"/>
    <x v="4"/>
    <x v="685"/>
    <x v="3"/>
    <n v="24.186"/>
    <n v="507.90600000000001"/>
    <d v="2019-02-28T00:00:00"/>
    <d v="1899-12-30T20:18:00"/>
    <s v="Cash"/>
    <n v="483.72"/>
    <n v="4.7619047620000003"/>
    <x v="705"/>
    <n v="9.1"/>
  </r>
  <r>
    <s v="728-88-7867"/>
    <s v="C"/>
    <s v="Naypyidaw"/>
    <x v="0"/>
    <x v="0"/>
    <x v="2"/>
    <x v="686"/>
    <x v="7"/>
    <n v="15.106"/>
    <n v="317.226"/>
    <d v="2019-03-19T00:00:00"/>
    <d v="1899-12-30T15:52:00"/>
    <s v="Ewallet"/>
    <n v="302.12"/>
    <n v="4.7619047620000003"/>
    <x v="706"/>
    <n v="8.3000000000000007"/>
  </r>
  <r>
    <s v="183-21-3799"/>
    <s v="C"/>
    <s v="Naypyidaw"/>
    <x v="1"/>
    <x v="0"/>
    <x v="1"/>
    <x v="687"/>
    <x v="9"/>
    <n v="34.933500000000002"/>
    <n v="733.60350000000005"/>
    <d v="2019-02-19T00:00:00"/>
    <d v="1899-12-30T15:14:00"/>
    <s v="Ewallet"/>
    <n v="698.67"/>
    <n v="4.7619047620000003"/>
    <x v="707"/>
    <n v="7.2"/>
  </r>
  <r>
    <s v="268-20-3585"/>
    <s v="C"/>
    <s v="Naypyidaw"/>
    <x v="1"/>
    <x v="0"/>
    <x v="0"/>
    <x v="688"/>
    <x v="9"/>
    <n v="6.2324999999999999"/>
    <n v="130.88249999999999"/>
    <d v="2019-02-04T00:00:00"/>
    <d v="1899-12-30T12:50:00"/>
    <s v="Ewallet"/>
    <n v="124.65"/>
    <n v="4.7619047620000003"/>
    <x v="708"/>
    <n v="6"/>
  </r>
  <r>
    <s v="735-32-9839"/>
    <s v="C"/>
    <s v="Naypyidaw"/>
    <x v="0"/>
    <x v="1"/>
    <x v="5"/>
    <x v="43"/>
    <x v="2"/>
    <n v="39.479999999999997"/>
    <n v="829.08"/>
    <d v="2019-01-31T00:00:00"/>
    <d v="1899-12-30T10:36:00"/>
    <s v="Ewallet"/>
    <n v="789.6"/>
    <n v="4.7619047620000003"/>
    <x v="43"/>
    <n v="8.5"/>
  </r>
  <r>
    <s v="258-92-7466"/>
    <s v="A"/>
    <s v="Yangon"/>
    <x v="1"/>
    <x v="0"/>
    <x v="0"/>
    <x v="689"/>
    <x v="1"/>
    <n v="8.92"/>
    <n v="187.32"/>
    <d v="2019-02-06T00:00:00"/>
    <d v="1899-12-30T18:33:00"/>
    <s v="Credit card"/>
    <n v="178.4"/>
    <n v="4.7619047620000003"/>
    <x v="709"/>
    <n v="6.6"/>
  </r>
  <r>
    <s v="857-16-3520"/>
    <s v="A"/>
    <s v="Yangon"/>
    <x v="0"/>
    <x v="0"/>
    <x v="5"/>
    <x v="690"/>
    <x v="0"/>
    <n v="25.010999999999999"/>
    <n v="525.23099999999999"/>
    <d v="2019-03-28T00:00:00"/>
    <d v="1899-12-30T16:06:00"/>
    <s v="Ewallet"/>
    <n v="500.22"/>
    <n v="4.7619047620000003"/>
    <x v="710"/>
    <n v="4.5"/>
  </r>
  <r>
    <s v="482-17-1179"/>
    <s v="A"/>
    <s v="Yangon"/>
    <x v="0"/>
    <x v="1"/>
    <x v="1"/>
    <x v="691"/>
    <x v="6"/>
    <n v="1.7909999999999999"/>
    <n v="37.610999999999997"/>
    <d v="2019-01-19T00:00:00"/>
    <d v="1899-12-30T12:47:00"/>
    <s v="Credit card"/>
    <n v="35.82"/>
    <n v="4.7619047620000003"/>
    <x v="711"/>
    <n v="8.1"/>
  </r>
  <r>
    <s v="788-21-5741"/>
    <s v="A"/>
    <s v="Yangon"/>
    <x v="1"/>
    <x v="1"/>
    <x v="5"/>
    <x v="408"/>
    <x v="6"/>
    <n v="6.8070000000000004"/>
    <n v="142.947"/>
    <d v="2019-02-17T00:00:00"/>
    <d v="1899-12-30T13:34:00"/>
    <s v="Credit card"/>
    <n v="136.13999999999999"/>
    <n v="4.7619047620000003"/>
    <x v="712"/>
    <n v="7.2"/>
  </r>
  <r>
    <s v="821-14-9046"/>
    <s v="B"/>
    <s v="Mandalay"/>
    <x v="0"/>
    <x v="0"/>
    <x v="5"/>
    <x v="692"/>
    <x v="3"/>
    <n v="5.2439999999999998"/>
    <n v="110.124"/>
    <d v="2019-01-18T00:00:00"/>
    <d v="1899-12-30T15:04:00"/>
    <s v="Credit card"/>
    <n v="104.88"/>
    <n v="4.7619047620000003"/>
    <x v="713"/>
    <n v="6.1"/>
  </r>
  <r>
    <s v="418-05-0656"/>
    <s v="B"/>
    <s v="Mandalay"/>
    <x v="1"/>
    <x v="0"/>
    <x v="5"/>
    <x v="693"/>
    <x v="0"/>
    <n v="8.9459999999999997"/>
    <n v="187.86600000000001"/>
    <d v="2019-02-02T00:00:00"/>
    <d v="1899-12-30T20:42:00"/>
    <s v="Cash"/>
    <n v="178.92"/>
    <n v="4.7619047620000003"/>
    <x v="714"/>
    <n v="7.1"/>
  </r>
  <r>
    <s v="678-79-0726"/>
    <s v="C"/>
    <s v="Naypyidaw"/>
    <x v="0"/>
    <x v="0"/>
    <x v="3"/>
    <x v="694"/>
    <x v="9"/>
    <n v="40.783499999999997"/>
    <n v="856.45349999999996"/>
    <d v="2019-01-18T00:00:00"/>
    <d v="1899-12-30T15:28:00"/>
    <s v="Cash"/>
    <n v="815.67"/>
    <n v="4.7619047620000003"/>
    <x v="715"/>
    <n v="5.0999999999999996"/>
  </r>
  <r>
    <s v="776-68-1096"/>
    <s v="B"/>
    <s v="Mandalay"/>
    <x v="1"/>
    <x v="1"/>
    <x v="2"/>
    <x v="695"/>
    <x v="6"/>
    <n v="6.6180000000000003"/>
    <n v="138.97800000000001"/>
    <d v="2019-03-18T00:00:00"/>
    <d v="1899-12-30T13:45:00"/>
    <s v="Credit card"/>
    <n v="132.36000000000001"/>
    <n v="4.7619047620000003"/>
    <x v="716"/>
    <n v="7.9"/>
  </r>
  <r>
    <s v="592-46-1692"/>
    <s v="C"/>
    <s v="Naypyidaw"/>
    <x v="0"/>
    <x v="0"/>
    <x v="4"/>
    <x v="696"/>
    <x v="0"/>
    <n v="12.8695"/>
    <n v="270.2595"/>
    <d v="2019-01-11T00:00:00"/>
    <d v="1899-12-30T20:10:00"/>
    <s v="Cash"/>
    <n v="257.39"/>
    <n v="4.7619047620000003"/>
    <x v="717"/>
    <n v="7.4"/>
  </r>
  <r>
    <s v="434-35-9162"/>
    <s v="B"/>
    <s v="Mandalay"/>
    <x v="0"/>
    <x v="1"/>
    <x v="4"/>
    <x v="697"/>
    <x v="7"/>
    <n v="4.6680000000000001"/>
    <n v="98.028000000000006"/>
    <d v="2019-02-04T00:00:00"/>
    <d v="1899-12-30T18:53:00"/>
    <s v="Ewallet"/>
    <n v="93.36"/>
    <n v="4.7619047620000003"/>
    <x v="718"/>
    <n v="7.4"/>
  </r>
  <r>
    <s v="149-14-0304"/>
    <s v="C"/>
    <s v="Naypyidaw"/>
    <x v="0"/>
    <x v="0"/>
    <x v="0"/>
    <x v="698"/>
    <x v="2"/>
    <n v="11.4"/>
    <n v="239.4"/>
    <d v="2019-02-06T00:00:00"/>
    <d v="1899-12-30T14:24:00"/>
    <s v="Cash"/>
    <n v="228"/>
    <n v="4.7619047620000003"/>
    <x v="719"/>
    <n v="6.6"/>
  </r>
  <r>
    <s v="442-44-6497"/>
    <s v="C"/>
    <s v="Naypyidaw"/>
    <x v="0"/>
    <x v="1"/>
    <x v="2"/>
    <x v="699"/>
    <x v="6"/>
    <n v="8.3354999999999997"/>
    <n v="175.0455"/>
    <d v="2019-01-08T00:00:00"/>
    <d v="1899-12-30T11:42:00"/>
    <s v="Credit card"/>
    <n v="166.71"/>
    <n v="4.7619047620000003"/>
    <x v="720"/>
    <n v="5.9"/>
  </r>
  <r>
    <s v="174-64-0215"/>
    <s v="B"/>
    <s v="Mandalay"/>
    <x v="1"/>
    <x v="1"/>
    <x v="3"/>
    <x v="700"/>
    <x v="4"/>
    <n v="34.869999999999997"/>
    <n v="732.27"/>
    <d v="2019-03-05T00:00:00"/>
    <d v="1899-12-30T17:49:00"/>
    <s v="Credit card"/>
    <n v="697.4"/>
    <n v="4.7619047620000003"/>
    <x v="721"/>
    <n v="8.9"/>
  </r>
  <r>
    <s v="210-74-9613"/>
    <s v="C"/>
    <s v="Naypyidaw"/>
    <x v="1"/>
    <x v="1"/>
    <x v="5"/>
    <x v="701"/>
    <x v="7"/>
    <n v="19.452000000000002"/>
    <n v="408.49200000000002"/>
    <d v="2019-03-16T00:00:00"/>
    <d v="1899-12-30T15:33:00"/>
    <s v="Ewallet"/>
    <n v="389.04"/>
    <n v="4.7619047620000003"/>
    <x v="722"/>
    <n v="6.8"/>
  </r>
  <r>
    <s v="299-29-0180"/>
    <s v="B"/>
    <s v="Mandalay"/>
    <x v="0"/>
    <x v="0"/>
    <x v="2"/>
    <x v="702"/>
    <x v="0"/>
    <n v="18.263000000000002"/>
    <n v="383.52300000000002"/>
    <d v="2019-03-09T00:00:00"/>
    <d v="1899-12-30T10:54:00"/>
    <s v="Cash"/>
    <n v="365.26"/>
    <n v="4.7619047620000003"/>
    <x v="723"/>
    <n v="9.3000000000000007"/>
  </r>
  <r>
    <s v="247-11-2470"/>
    <s v="A"/>
    <s v="Yangon"/>
    <x v="0"/>
    <x v="0"/>
    <x v="5"/>
    <x v="703"/>
    <x v="7"/>
    <n v="4.4640000000000004"/>
    <n v="93.744"/>
    <d v="2019-03-01T00:00:00"/>
    <d v="1899-12-30T16:23:00"/>
    <s v="Credit card"/>
    <n v="89.28"/>
    <n v="4.7619047620000003"/>
    <x v="724"/>
    <n v="4.4000000000000004"/>
  </r>
  <r>
    <s v="635-28-5728"/>
    <s v="A"/>
    <s v="Yangon"/>
    <x v="1"/>
    <x v="1"/>
    <x v="0"/>
    <x v="704"/>
    <x v="6"/>
    <n v="8.4"/>
    <n v="176.4"/>
    <d v="2019-02-28T00:00:00"/>
    <d v="1899-12-30T19:33:00"/>
    <s v="Ewallet"/>
    <n v="168"/>
    <n v="4.7619047620000003"/>
    <x v="725"/>
    <n v="4.8"/>
  </r>
  <r>
    <s v="756-49-0168"/>
    <s v="A"/>
    <s v="Yangon"/>
    <x v="0"/>
    <x v="1"/>
    <x v="5"/>
    <x v="705"/>
    <x v="8"/>
    <n v="0.98499999999999999"/>
    <n v="20.684999999999999"/>
    <d v="2019-02-08T00:00:00"/>
    <d v="1899-12-30T11:39:00"/>
    <s v="Ewallet"/>
    <n v="19.7"/>
    <n v="4.7619047620000003"/>
    <x v="726"/>
    <n v="9.5"/>
  </r>
  <r>
    <s v="438-23-1242"/>
    <s v="B"/>
    <s v="Mandalay"/>
    <x v="1"/>
    <x v="1"/>
    <x v="1"/>
    <x v="528"/>
    <x v="0"/>
    <n v="26.558"/>
    <n v="557.71799999999996"/>
    <d v="2019-01-24T00:00:00"/>
    <d v="1899-12-30T10:38:00"/>
    <s v="Ewallet"/>
    <n v="531.16"/>
    <n v="4.7619047620000003"/>
    <x v="727"/>
    <n v="8.9"/>
  </r>
  <r>
    <s v="238-45-6950"/>
    <s v="B"/>
    <s v="Mandalay"/>
    <x v="0"/>
    <x v="1"/>
    <x v="4"/>
    <x v="706"/>
    <x v="8"/>
    <n v="2.6859999999999999"/>
    <n v="56.405999999999999"/>
    <d v="2019-03-01T00:00:00"/>
    <d v="1899-12-30T20:03:00"/>
    <s v="Ewallet"/>
    <n v="53.72"/>
    <n v="4.7619047620000003"/>
    <x v="728"/>
    <n v="6.4"/>
  </r>
  <r>
    <s v="607-65-2441"/>
    <s v="C"/>
    <s v="Naypyidaw"/>
    <x v="0"/>
    <x v="1"/>
    <x v="0"/>
    <x v="707"/>
    <x v="4"/>
    <n v="40.975000000000001"/>
    <n v="860.47500000000002"/>
    <d v="2019-03-10T00:00:00"/>
    <d v="1899-12-30T12:39:00"/>
    <s v="Credit card"/>
    <n v="819.5"/>
    <n v="4.7619047620000003"/>
    <x v="729"/>
    <n v="6"/>
  </r>
  <r>
    <s v="386-27-7606"/>
    <s v="C"/>
    <s v="Naypyidaw"/>
    <x v="0"/>
    <x v="0"/>
    <x v="2"/>
    <x v="708"/>
    <x v="0"/>
    <n v="28.42"/>
    <n v="596.82000000000005"/>
    <d v="2019-03-23T00:00:00"/>
    <d v="1899-12-30T15:59:00"/>
    <s v="Credit card"/>
    <n v="568.4"/>
    <n v="4.7619047620000003"/>
    <x v="730"/>
    <n v="8.1"/>
  </r>
  <r>
    <s v="137-63-5492"/>
    <s v="C"/>
    <s v="Naypyidaw"/>
    <x v="1"/>
    <x v="1"/>
    <x v="1"/>
    <x v="709"/>
    <x v="4"/>
    <n v="29.38"/>
    <n v="616.98"/>
    <d v="2019-01-29T00:00:00"/>
    <d v="1899-12-30T14:26:00"/>
    <s v="Ewallet"/>
    <n v="587.6"/>
    <n v="4.7619047620000003"/>
    <x v="731"/>
    <n v="9"/>
  </r>
  <r>
    <s v="197-77-7132"/>
    <s v="B"/>
    <s v="Mandalay"/>
    <x v="0"/>
    <x v="1"/>
    <x v="1"/>
    <x v="710"/>
    <x v="2"/>
    <n v="36.624000000000002"/>
    <n v="769.10400000000004"/>
    <d v="2019-01-12T00:00:00"/>
    <d v="1899-12-30T18:22:00"/>
    <s v="Ewallet"/>
    <n v="732.48"/>
    <n v="4.7619047620000003"/>
    <x v="732"/>
    <n v="6"/>
  </r>
  <r>
    <s v="805-86-0265"/>
    <s v="A"/>
    <s v="Yangon"/>
    <x v="1"/>
    <x v="1"/>
    <x v="2"/>
    <x v="45"/>
    <x v="9"/>
    <n v="42.281999999999996"/>
    <n v="887.92200000000003"/>
    <d v="2019-03-20T00:00:00"/>
    <d v="1899-12-30T11:32:00"/>
    <s v="Cash"/>
    <n v="845.64"/>
    <n v="4.7619047620000003"/>
    <x v="733"/>
    <n v="9.8000000000000007"/>
  </r>
  <r>
    <s v="733-29-1227"/>
    <s v="C"/>
    <s v="Naypyidaw"/>
    <x v="1"/>
    <x v="1"/>
    <x v="2"/>
    <x v="711"/>
    <x v="0"/>
    <n v="19.4635"/>
    <n v="408.73349999999999"/>
    <d v="2019-03-23T00:00:00"/>
    <d v="1899-12-30T12:41:00"/>
    <s v="Cash"/>
    <n v="389.27"/>
    <n v="4.7619047620000003"/>
    <x v="734"/>
    <n v="8.5"/>
  </r>
  <r>
    <s v="451-73-2711"/>
    <s v="C"/>
    <s v="Naypyidaw"/>
    <x v="1"/>
    <x v="1"/>
    <x v="4"/>
    <x v="712"/>
    <x v="8"/>
    <n v="4.2415000000000003"/>
    <n v="89.0715"/>
    <d v="2019-01-14T00:00:00"/>
    <d v="1899-12-30T15:20:00"/>
    <s v="Ewallet"/>
    <n v="84.83"/>
    <n v="4.7619047620000003"/>
    <x v="735"/>
    <n v="8.8000000000000007"/>
  </r>
  <r>
    <s v="373-14-0504"/>
    <s v="A"/>
    <s v="Yangon"/>
    <x v="0"/>
    <x v="0"/>
    <x v="3"/>
    <x v="713"/>
    <x v="5"/>
    <n v="7.1630000000000003"/>
    <n v="150.423"/>
    <d v="2019-02-12T00:00:00"/>
    <d v="1899-12-30T14:33:00"/>
    <s v="Ewallet"/>
    <n v="143.26"/>
    <n v="4.7619047620000003"/>
    <x v="736"/>
    <n v="8.8000000000000007"/>
  </r>
  <r>
    <s v="546-80-2899"/>
    <s v="A"/>
    <s v="Yangon"/>
    <x v="0"/>
    <x v="1"/>
    <x v="2"/>
    <x v="714"/>
    <x v="5"/>
    <n v="3.7690000000000001"/>
    <n v="79.149000000000001"/>
    <d v="2019-02-20T00:00:00"/>
    <d v="1899-12-30T15:29:00"/>
    <s v="Ewallet"/>
    <n v="75.38"/>
    <n v="4.7619047620000003"/>
    <x v="737"/>
    <n v="9.5"/>
  </r>
  <r>
    <s v="345-68-9016"/>
    <s v="C"/>
    <s v="Naypyidaw"/>
    <x v="0"/>
    <x v="0"/>
    <x v="3"/>
    <x v="715"/>
    <x v="2"/>
    <n v="12.667999999999999"/>
    <n v="266.02800000000002"/>
    <d v="2019-01-02T00:00:00"/>
    <d v="1899-12-30T16:19:00"/>
    <s v="Credit card"/>
    <n v="253.36"/>
    <n v="4.7619047620000003"/>
    <x v="738"/>
    <n v="5.6"/>
  </r>
  <r>
    <s v="390-17-5806"/>
    <s v="C"/>
    <s v="Naypyidaw"/>
    <x v="0"/>
    <x v="0"/>
    <x v="4"/>
    <x v="716"/>
    <x v="8"/>
    <n v="1.921"/>
    <n v="40.341000000000001"/>
    <d v="2019-02-02T00:00:00"/>
    <d v="1899-12-30T16:33:00"/>
    <s v="Cash"/>
    <n v="38.42"/>
    <n v="4.7619047620000003"/>
    <x v="739"/>
    <n v="8.6"/>
  </r>
  <r>
    <s v="457-13-1708"/>
    <s v="B"/>
    <s v="Mandalay"/>
    <x v="0"/>
    <x v="1"/>
    <x v="5"/>
    <x v="717"/>
    <x v="4"/>
    <n v="32.615000000000002"/>
    <n v="684.91499999999996"/>
    <d v="2019-01-08T00:00:00"/>
    <d v="1899-12-30T19:07:00"/>
    <s v="Credit card"/>
    <n v="652.29999999999995"/>
    <n v="4.7619047620000003"/>
    <x v="740"/>
    <n v="5.2"/>
  </r>
  <r>
    <s v="664-14-2882"/>
    <s v="C"/>
    <s v="Naypyidaw"/>
    <x v="0"/>
    <x v="0"/>
    <x v="2"/>
    <x v="718"/>
    <x v="1"/>
    <n v="2.6324999999999998"/>
    <n v="55.282499999999999"/>
    <d v="2019-01-30T00:00:00"/>
    <d v="1899-12-30T14:43:00"/>
    <s v="Credit card"/>
    <n v="52.65"/>
    <n v="4.7619047620000003"/>
    <x v="741"/>
    <n v="5.8"/>
  </r>
  <r>
    <s v="487-79-6868"/>
    <s v="B"/>
    <s v="Mandalay"/>
    <x v="0"/>
    <x v="0"/>
    <x v="2"/>
    <x v="719"/>
    <x v="9"/>
    <n v="5.5305"/>
    <n v="116.1405"/>
    <d v="2019-03-26T00:00:00"/>
    <d v="1899-12-30T19:28:00"/>
    <s v="Credit card"/>
    <n v="110.61"/>
    <n v="4.7619047620000003"/>
    <x v="742"/>
    <n v="8"/>
  </r>
  <r>
    <s v="314-23-4520"/>
    <s v="C"/>
    <s v="Naypyidaw"/>
    <x v="0"/>
    <x v="1"/>
    <x v="0"/>
    <x v="720"/>
    <x v="0"/>
    <n v="28.430499999999999"/>
    <n v="597.04049999999995"/>
    <d v="2019-01-15T00:00:00"/>
    <d v="1899-12-30T20:44:00"/>
    <s v="Cash"/>
    <n v="568.61"/>
    <n v="4.7619047620000003"/>
    <x v="743"/>
    <n v="9"/>
  </r>
  <r>
    <s v="210-30-7976"/>
    <s v="B"/>
    <s v="Mandalay"/>
    <x v="0"/>
    <x v="0"/>
    <x v="5"/>
    <x v="703"/>
    <x v="7"/>
    <n v="4.4640000000000004"/>
    <n v="93.744"/>
    <d v="2019-03-14T00:00:00"/>
    <d v="1899-12-30T11:16:00"/>
    <s v="Ewallet"/>
    <n v="89.28"/>
    <n v="4.7619047620000003"/>
    <x v="724"/>
    <n v="4.0999999999999996"/>
  </r>
  <r>
    <s v="585-86-8361"/>
    <s v="A"/>
    <s v="Yangon"/>
    <x v="1"/>
    <x v="0"/>
    <x v="4"/>
    <x v="721"/>
    <x v="1"/>
    <n v="6.82"/>
    <n v="143.22"/>
    <d v="2019-02-03T00:00:00"/>
    <d v="1899-12-30T10:31:00"/>
    <s v="Credit card"/>
    <n v="136.4"/>
    <n v="4.7619047620000003"/>
    <x v="744"/>
    <n v="8.6"/>
  </r>
  <r>
    <s v="807-14-7833"/>
    <s v="A"/>
    <s v="Yangon"/>
    <x v="0"/>
    <x v="0"/>
    <x v="1"/>
    <x v="722"/>
    <x v="4"/>
    <n v="8.7100000000000009"/>
    <n v="182.91"/>
    <d v="2019-02-22T00:00:00"/>
    <d v="1899-12-30T12:30:00"/>
    <s v="Ewallet"/>
    <n v="174.2"/>
    <n v="4.7619047620000003"/>
    <x v="745"/>
    <n v="7"/>
  </r>
  <r>
    <s v="775-72-1988"/>
    <s v="B"/>
    <s v="Mandalay"/>
    <x v="1"/>
    <x v="1"/>
    <x v="2"/>
    <x v="723"/>
    <x v="1"/>
    <n v="18.32"/>
    <n v="384.72"/>
    <d v="2019-01-24T00:00:00"/>
    <d v="1899-12-30T15:05:00"/>
    <s v="Ewallet"/>
    <n v="366.4"/>
    <n v="4.7619047620000003"/>
    <x v="746"/>
    <n v="8.4"/>
  </r>
  <r>
    <s v="288-38-3758"/>
    <s v="C"/>
    <s v="Naypyidaw"/>
    <x v="0"/>
    <x v="0"/>
    <x v="5"/>
    <x v="724"/>
    <x v="6"/>
    <n v="12.730499999999999"/>
    <n v="267.34050000000002"/>
    <d v="2019-01-25T00:00:00"/>
    <d v="1899-12-30T18:30:00"/>
    <s v="Ewallet"/>
    <n v="254.61"/>
    <n v="4.7619047620000003"/>
    <x v="747"/>
    <n v="7.4"/>
  </r>
  <r>
    <s v="652-43-6591"/>
    <s v="A"/>
    <s v="Yangon"/>
    <x v="1"/>
    <x v="0"/>
    <x v="5"/>
    <x v="725"/>
    <x v="2"/>
    <n v="38.915999999999997"/>
    <n v="817.23599999999999"/>
    <d v="2019-03-09T00:00:00"/>
    <d v="1899-12-30T13:18:00"/>
    <s v="Credit card"/>
    <n v="778.32"/>
    <n v="4.7619047620000003"/>
    <x v="748"/>
    <n v="6.2"/>
  </r>
  <r>
    <s v="785-96-0615"/>
    <s v="B"/>
    <s v="Mandalay"/>
    <x v="0"/>
    <x v="0"/>
    <x v="1"/>
    <x v="726"/>
    <x v="2"/>
    <n v="14.295999999999999"/>
    <n v="300.21600000000001"/>
    <d v="2019-02-17T00:00:00"/>
    <d v="1899-12-30T15:28:00"/>
    <s v="Ewallet"/>
    <n v="285.92"/>
    <n v="4.7619047620000003"/>
    <x v="749"/>
    <n v="4.9000000000000004"/>
  </r>
  <r>
    <s v="406-46-7107"/>
    <s v="A"/>
    <s v="Yangon"/>
    <x v="1"/>
    <x v="0"/>
    <x v="2"/>
    <x v="727"/>
    <x v="3"/>
    <n v="28.956"/>
    <n v="608.07600000000002"/>
    <d v="2019-01-11T00:00:00"/>
    <d v="1899-12-30T11:52:00"/>
    <s v="Cash"/>
    <n v="579.12"/>
    <n v="4.7619047620000003"/>
    <x v="750"/>
    <n v="4.5"/>
  </r>
  <r>
    <s v="250-17-5703"/>
    <s v="A"/>
    <s v="Yangon"/>
    <x v="0"/>
    <x v="1"/>
    <x v="4"/>
    <x v="728"/>
    <x v="4"/>
    <n v="9.4250000000000007"/>
    <n v="197.92500000000001"/>
    <d v="2019-02-27T00:00:00"/>
    <d v="1899-12-30T18:24:00"/>
    <s v="Ewallet"/>
    <n v="188.5"/>
    <n v="4.7619047620000003"/>
    <x v="751"/>
    <n v="5.6"/>
  </r>
  <r>
    <s v="156-95-3964"/>
    <s v="A"/>
    <s v="Yangon"/>
    <x v="1"/>
    <x v="0"/>
    <x v="4"/>
    <x v="729"/>
    <x v="7"/>
    <n v="11.077999999999999"/>
    <n v="232.63800000000001"/>
    <d v="2019-03-25T00:00:00"/>
    <d v="1899-12-30T15:19:00"/>
    <s v="Ewallet"/>
    <n v="221.56"/>
    <n v="4.7619047620000003"/>
    <x v="752"/>
    <n v="8"/>
  </r>
  <r>
    <s v="842-40-8179"/>
    <s v="B"/>
    <s v="Mandalay"/>
    <x v="0"/>
    <x v="0"/>
    <x v="4"/>
    <x v="730"/>
    <x v="4"/>
    <n v="38.6"/>
    <n v="810.6"/>
    <d v="2019-02-11T00:00:00"/>
    <d v="1899-12-30T10:38:00"/>
    <s v="Credit card"/>
    <n v="772"/>
    <n v="4.7619047620000003"/>
    <x v="753"/>
    <n v="5.6"/>
  </r>
  <r>
    <s v="525-09-8450"/>
    <s v="B"/>
    <s v="Mandalay"/>
    <x v="1"/>
    <x v="1"/>
    <x v="1"/>
    <x v="731"/>
    <x v="4"/>
    <n v="36.064999999999998"/>
    <n v="757.36500000000001"/>
    <d v="2019-01-31T00:00:00"/>
    <d v="1899-12-30T15:12:00"/>
    <s v="Credit card"/>
    <n v="721.3"/>
    <n v="4.7619047620000003"/>
    <x v="754"/>
    <n v="4.2"/>
  </r>
  <r>
    <s v="410-67-1709"/>
    <s v="A"/>
    <s v="Yangon"/>
    <x v="0"/>
    <x v="0"/>
    <x v="5"/>
    <x v="732"/>
    <x v="2"/>
    <n v="25.552"/>
    <n v="536.59199999999998"/>
    <d v="2019-01-20T00:00:00"/>
    <d v="1899-12-30T17:48:00"/>
    <s v="Ewallet"/>
    <n v="511.04"/>
    <n v="4.7619047620000003"/>
    <x v="755"/>
    <n v="9.9"/>
  </r>
  <r>
    <s v="587-73-4862"/>
    <s v="A"/>
    <s v="Yangon"/>
    <x v="0"/>
    <x v="0"/>
    <x v="0"/>
    <x v="733"/>
    <x v="1"/>
    <n v="2.6724999999999999"/>
    <n v="56.122500000000002"/>
    <d v="2019-03-26T00:00:00"/>
    <d v="1899-12-30T11:07:00"/>
    <s v="Ewallet"/>
    <n v="53.45"/>
    <n v="4.7619047620000003"/>
    <x v="756"/>
    <n v="7.6"/>
  </r>
  <r>
    <s v="787-87-2010"/>
    <s v="A"/>
    <s v="Yangon"/>
    <x v="0"/>
    <x v="1"/>
    <x v="0"/>
    <x v="734"/>
    <x v="7"/>
    <n v="11.1"/>
    <n v="233.1"/>
    <d v="2019-01-20T00:00:00"/>
    <d v="1899-12-30T15:48:00"/>
    <s v="Credit card"/>
    <n v="222"/>
    <n v="4.7619047620000003"/>
    <x v="757"/>
    <n v="6.6"/>
  </r>
  <r>
    <s v="593-14-4239"/>
    <s v="B"/>
    <s v="Mandalay"/>
    <x v="1"/>
    <x v="0"/>
    <x v="2"/>
    <x v="735"/>
    <x v="2"/>
    <n v="38.183999999999997"/>
    <n v="801.86400000000003"/>
    <d v="2019-03-05T00:00:00"/>
    <d v="1899-12-30T19:40:00"/>
    <s v="Ewallet"/>
    <n v="763.68"/>
    <n v="4.7619047620000003"/>
    <x v="758"/>
    <n v="4.7"/>
  </r>
  <r>
    <s v="801-88-0346"/>
    <s v="C"/>
    <s v="Naypyidaw"/>
    <x v="1"/>
    <x v="0"/>
    <x v="5"/>
    <x v="736"/>
    <x v="6"/>
    <n v="11.409000000000001"/>
    <n v="239.589"/>
    <d v="2019-01-05T00:00:00"/>
    <d v="1899-12-30T20:30:00"/>
    <s v="Credit card"/>
    <n v="228.18"/>
    <n v="4.7619047620000003"/>
    <x v="759"/>
    <n v="9.8000000000000007"/>
  </r>
  <r>
    <s v="388-76-2555"/>
    <s v="B"/>
    <s v="Mandalay"/>
    <x v="1"/>
    <x v="1"/>
    <x v="3"/>
    <x v="737"/>
    <x v="3"/>
    <n v="4.1070000000000002"/>
    <n v="86.247"/>
    <d v="2019-02-13T00:00:00"/>
    <d v="1899-12-30T13:59:00"/>
    <s v="Cash"/>
    <n v="82.14"/>
    <n v="4.7619047620000003"/>
    <x v="760"/>
    <n v="6.3"/>
  </r>
  <r>
    <s v="711-31-1234"/>
    <s v="B"/>
    <s v="Mandalay"/>
    <x v="1"/>
    <x v="0"/>
    <x v="1"/>
    <x v="738"/>
    <x v="7"/>
    <n v="19.128"/>
    <n v="401.68799999999999"/>
    <d v="2019-03-16T00:00:00"/>
    <d v="1899-12-30T18:51:00"/>
    <s v="Cash"/>
    <n v="382.56"/>
    <n v="4.7619047620000003"/>
    <x v="761"/>
    <n v="7.9"/>
  </r>
  <r>
    <s v="886-54-6089"/>
    <s v="A"/>
    <s v="Yangon"/>
    <x v="1"/>
    <x v="0"/>
    <x v="2"/>
    <x v="739"/>
    <x v="3"/>
    <n v="3.4289999999999998"/>
    <n v="72.009"/>
    <d v="2019-01-15T00:00:00"/>
    <d v="1899-12-30T17:24:00"/>
    <s v="Cash"/>
    <n v="68.58"/>
    <n v="4.7619047620000003"/>
    <x v="762"/>
    <n v="7.7"/>
  </r>
  <r>
    <s v="707-32-7409"/>
    <s v="B"/>
    <s v="Mandalay"/>
    <x v="0"/>
    <x v="0"/>
    <x v="3"/>
    <x v="425"/>
    <x v="7"/>
    <n v="19.108000000000001"/>
    <n v="401.26799999999997"/>
    <d v="2019-02-26T00:00:00"/>
    <d v="1899-12-30T11:58:00"/>
    <s v="Ewallet"/>
    <n v="382.16"/>
    <n v="4.7619047620000003"/>
    <x v="763"/>
    <n v="4.5"/>
  </r>
  <r>
    <s v="759-98-4285"/>
    <s v="C"/>
    <s v="Naypyidaw"/>
    <x v="0"/>
    <x v="0"/>
    <x v="0"/>
    <x v="740"/>
    <x v="0"/>
    <n v="30.054500000000001"/>
    <n v="631.14449999999999"/>
    <d v="2019-02-27T00:00:00"/>
    <d v="1899-12-30T19:01:00"/>
    <s v="Credit card"/>
    <n v="601.09"/>
    <n v="4.7619047620000003"/>
    <x v="764"/>
    <n v="8"/>
  </r>
  <r>
    <s v="201-63-8275"/>
    <s v="C"/>
    <s v="Naypyidaw"/>
    <x v="0"/>
    <x v="0"/>
    <x v="3"/>
    <x v="741"/>
    <x v="0"/>
    <n v="23.796500000000002"/>
    <n v="499.72649999999999"/>
    <d v="2019-02-17T00:00:00"/>
    <d v="1899-12-30T16:50:00"/>
    <s v="Ewallet"/>
    <n v="475.93"/>
    <n v="4.7619047620000003"/>
    <x v="765"/>
    <n v="5.7"/>
  </r>
  <r>
    <s v="471-06-8611"/>
    <s v="C"/>
    <s v="Naypyidaw"/>
    <x v="1"/>
    <x v="0"/>
    <x v="4"/>
    <x v="620"/>
    <x v="8"/>
    <n v="2.621"/>
    <n v="55.040999999999997"/>
    <d v="2019-02-06T00:00:00"/>
    <d v="1899-12-30T10:22:00"/>
    <s v="Credit card"/>
    <n v="52.42"/>
    <n v="4.7619047620000003"/>
    <x v="766"/>
    <n v="6.3"/>
  </r>
  <r>
    <s v="200-16-5952"/>
    <s v="C"/>
    <s v="Naypyidaw"/>
    <x v="0"/>
    <x v="1"/>
    <x v="4"/>
    <x v="742"/>
    <x v="5"/>
    <n v="6.5650000000000004"/>
    <n v="137.86500000000001"/>
    <d v="2019-01-17T00:00:00"/>
    <d v="1899-12-30T16:46:00"/>
    <s v="Cash"/>
    <n v="131.30000000000001"/>
    <n v="4.7619047620000003"/>
    <x v="767"/>
    <n v="6"/>
  </r>
  <r>
    <s v="120-54-2248"/>
    <s v="B"/>
    <s v="Mandalay"/>
    <x v="1"/>
    <x v="0"/>
    <x v="4"/>
    <x v="743"/>
    <x v="1"/>
    <n v="7.2149999999999999"/>
    <n v="151.51499999999999"/>
    <d v="2019-01-22T00:00:00"/>
    <d v="1899-12-30T18:08:00"/>
    <s v="Credit card"/>
    <n v="144.30000000000001"/>
    <n v="4.7619047620000003"/>
    <x v="768"/>
    <n v="8"/>
  </r>
  <r>
    <s v="102-77-2261"/>
    <s v="C"/>
    <s v="Naypyidaw"/>
    <x v="0"/>
    <x v="1"/>
    <x v="0"/>
    <x v="744"/>
    <x v="0"/>
    <n v="22.858499999999999"/>
    <n v="480.02850000000001"/>
    <d v="2019-03-05T00:00:00"/>
    <d v="1899-12-30T18:02:00"/>
    <s v="Credit card"/>
    <n v="457.17"/>
    <n v="4.7619047620000003"/>
    <x v="769"/>
    <n v="4.2"/>
  </r>
  <r>
    <s v="875-31-8302"/>
    <s v="B"/>
    <s v="Mandalay"/>
    <x v="1"/>
    <x v="1"/>
    <x v="3"/>
    <x v="745"/>
    <x v="8"/>
    <n v="4.6689999999999996"/>
    <n v="98.049000000000007"/>
    <d v="2019-01-03T00:00:00"/>
    <d v="1899-12-30T13:07:00"/>
    <s v="Cash"/>
    <n v="93.38"/>
    <n v="4.7619047620000003"/>
    <x v="770"/>
    <n v="9.6"/>
  </r>
  <r>
    <s v="102-06-2002"/>
    <s v="C"/>
    <s v="Naypyidaw"/>
    <x v="0"/>
    <x v="1"/>
    <x v="3"/>
    <x v="746"/>
    <x v="1"/>
    <n v="6.3125"/>
    <n v="132.5625"/>
    <d v="2019-03-20T00:00:00"/>
    <d v="1899-12-30T17:52:00"/>
    <s v="Cash"/>
    <n v="126.25"/>
    <n v="4.7619047620000003"/>
    <x v="771"/>
    <n v="6.1"/>
  </r>
  <r>
    <s v="457-94-0464"/>
    <s v="B"/>
    <s v="Mandalay"/>
    <x v="0"/>
    <x v="1"/>
    <x v="1"/>
    <x v="95"/>
    <x v="9"/>
    <n v="39.541499999999999"/>
    <n v="830.37149999999997"/>
    <d v="2019-01-31T00:00:00"/>
    <d v="1899-12-30T20:32:00"/>
    <s v="Ewallet"/>
    <n v="790.83"/>
    <n v="4.7619047620000003"/>
    <x v="772"/>
    <n v="5.6"/>
  </r>
  <r>
    <s v="629-42-4133"/>
    <s v="C"/>
    <s v="Naypyidaw"/>
    <x v="1"/>
    <x v="1"/>
    <x v="0"/>
    <x v="747"/>
    <x v="2"/>
    <n v="8.7200000000000006"/>
    <n v="183.12"/>
    <d v="2019-02-19T00:00:00"/>
    <d v="1899-12-30T19:24:00"/>
    <s v="Cash"/>
    <n v="174.4"/>
    <n v="4.7619047620000003"/>
    <x v="773"/>
    <n v="8.3000000000000007"/>
  </r>
  <r>
    <s v="534-53-3526"/>
    <s v="A"/>
    <s v="Yangon"/>
    <x v="1"/>
    <x v="0"/>
    <x v="3"/>
    <x v="748"/>
    <x v="7"/>
    <n v="18.952000000000002"/>
    <n v="397.99200000000002"/>
    <d v="2019-02-11T00:00:00"/>
    <d v="1899-12-30T16:06:00"/>
    <s v="Ewallet"/>
    <n v="379.04"/>
    <n v="4.7619047620000003"/>
    <x v="774"/>
    <n v="7.8"/>
  </r>
  <r>
    <s v="307-04-2070"/>
    <s v="A"/>
    <s v="Yangon"/>
    <x v="0"/>
    <x v="0"/>
    <x v="5"/>
    <x v="749"/>
    <x v="8"/>
    <n v="1.5309999999999999"/>
    <n v="32.151000000000003"/>
    <d v="2019-02-05T00:00:00"/>
    <d v="1899-12-30T14:14:00"/>
    <s v="Credit card"/>
    <n v="30.62"/>
    <n v="4.7619047620000003"/>
    <x v="775"/>
    <n v="4.0999999999999996"/>
  </r>
  <r>
    <s v="468-99-7231"/>
    <s v="C"/>
    <s v="Naypyidaw"/>
    <x v="1"/>
    <x v="0"/>
    <x v="2"/>
    <x v="750"/>
    <x v="2"/>
    <n v="17.603999999999999"/>
    <n v="369.68400000000003"/>
    <d v="2019-03-03T00:00:00"/>
    <d v="1899-12-30T17:36:00"/>
    <s v="Cash"/>
    <n v="352.08"/>
    <n v="4.7619047620000003"/>
    <x v="776"/>
    <n v="8.8000000000000007"/>
  </r>
  <r>
    <s v="516-77-6464"/>
    <s v="C"/>
    <s v="Naypyidaw"/>
    <x v="0"/>
    <x v="0"/>
    <x v="0"/>
    <x v="751"/>
    <x v="1"/>
    <n v="2.54"/>
    <n v="53.34"/>
    <d v="2019-02-24T00:00:00"/>
    <d v="1899-12-30T13:08:00"/>
    <s v="Ewallet"/>
    <n v="50.8"/>
    <n v="4.7619047620000003"/>
    <x v="777"/>
    <n v="4.0999999999999996"/>
  </r>
  <r>
    <s v="404-91-5964"/>
    <s v="A"/>
    <s v="Yangon"/>
    <x v="1"/>
    <x v="1"/>
    <x v="1"/>
    <x v="752"/>
    <x v="0"/>
    <n v="26.103000000000002"/>
    <n v="548.16300000000001"/>
    <d v="2019-02-04T00:00:00"/>
    <d v="1899-12-30T16:09:00"/>
    <s v="Credit card"/>
    <n v="522.05999999999995"/>
    <n v="4.7619047620000003"/>
    <x v="778"/>
    <n v="9"/>
  </r>
  <r>
    <s v="886-77-9084"/>
    <s v="C"/>
    <s v="Naypyidaw"/>
    <x v="1"/>
    <x v="1"/>
    <x v="1"/>
    <x v="753"/>
    <x v="2"/>
    <n v="28.756"/>
    <n v="603.87599999999998"/>
    <d v="2019-02-19T00:00:00"/>
    <d v="1899-12-30T11:33:00"/>
    <s v="Ewallet"/>
    <n v="575.12"/>
    <n v="4.7619047620000003"/>
    <x v="779"/>
    <n v="5.5"/>
  </r>
  <r>
    <s v="790-38-4466"/>
    <s v="C"/>
    <s v="Naypyidaw"/>
    <x v="1"/>
    <x v="0"/>
    <x v="0"/>
    <x v="754"/>
    <x v="1"/>
    <n v="2.7475000000000001"/>
    <n v="57.697499999999998"/>
    <d v="2019-01-23T00:00:00"/>
    <d v="1899-12-30T10:18:00"/>
    <s v="Credit card"/>
    <n v="54.95"/>
    <n v="4.7619047620000003"/>
    <x v="780"/>
    <n v="9.3000000000000007"/>
  </r>
  <r>
    <s v="704-10-4056"/>
    <s v="C"/>
    <s v="Naypyidaw"/>
    <x v="0"/>
    <x v="1"/>
    <x v="0"/>
    <x v="755"/>
    <x v="6"/>
    <n v="9.0704999999999991"/>
    <n v="190.48050000000001"/>
    <d v="2019-01-14T00:00:00"/>
    <d v="1899-12-30T10:55:00"/>
    <s v="Credit card"/>
    <n v="181.41"/>
    <n v="4.7619047620000003"/>
    <x v="781"/>
    <n v="5.6"/>
  </r>
  <r>
    <s v="497-37-6538"/>
    <s v="A"/>
    <s v="Yangon"/>
    <x v="1"/>
    <x v="1"/>
    <x v="3"/>
    <x v="756"/>
    <x v="0"/>
    <n v="20.618500000000001"/>
    <n v="432.98849999999999"/>
    <d v="2019-01-17T00:00:00"/>
    <d v="1899-12-30T15:15:00"/>
    <s v="Ewallet"/>
    <n v="412.37"/>
    <n v="4.7619047620000003"/>
    <x v="782"/>
    <n v="9.6999999999999993"/>
  </r>
  <r>
    <s v="651-96-5970"/>
    <s v="A"/>
    <s v="Yangon"/>
    <x v="1"/>
    <x v="1"/>
    <x v="5"/>
    <x v="757"/>
    <x v="8"/>
    <n v="2.3205"/>
    <n v="48.730499999999999"/>
    <d v="2019-03-03T00:00:00"/>
    <d v="1899-12-30T20:06:00"/>
    <s v="Credit card"/>
    <n v="46.41"/>
    <n v="4.7619047620000003"/>
    <x v="783"/>
    <n v="4"/>
  </r>
  <r>
    <s v="400-80-4065"/>
    <s v="C"/>
    <s v="Naypyidaw"/>
    <x v="0"/>
    <x v="1"/>
    <x v="0"/>
    <x v="758"/>
    <x v="7"/>
    <n v="13.71"/>
    <n v="287.91000000000003"/>
    <d v="2019-02-15T00:00:00"/>
    <d v="1899-12-30T20:21:00"/>
    <s v="Credit card"/>
    <n v="274.2"/>
    <n v="4.7619047620000003"/>
    <x v="784"/>
    <n v="9.1999999999999993"/>
  </r>
  <r>
    <s v="744-16-7898"/>
    <s v="B"/>
    <s v="Mandalay"/>
    <x v="1"/>
    <x v="0"/>
    <x v="2"/>
    <x v="759"/>
    <x v="4"/>
    <n v="48.685000000000002"/>
    <n v="1022.385"/>
    <d v="2019-01-15T00:00:00"/>
    <d v="1899-12-30T13:48:00"/>
    <s v="Credit card"/>
    <n v="973.7"/>
    <n v="4.7619047620000003"/>
    <x v="785"/>
    <n v="4.9000000000000004"/>
  </r>
  <r>
    <s v="263-12-5321"/>
    <s v="A"/>
    <s v="Yangon"/>
    <x v="0"/>
    <x v="1"/>
    <x v="1"/>
    <x v="760"/>
    <x v="0"/>
    <n v="32.409999999999997"/>
    <n v="680.61"/>
    <d v="2019-02-27T00:00:00"/>
    <d v="1899-12-30T12:52:00"/>
    <s v="Credit card"/>
    <n v="648.20000000000005"/>
    <n v="4.7619047620000003"/>
    <x v="786"/>
    <n v="9.3000000000000007"/>
  </r>
  <r>
    <s v="702-72-0487"/>
    <s v="A"/>
    <s v="Yangon"/>
    <x v="1"/>
    <x v="0"/>
    <x v="1"/>
    <x v="761"/>
    <x v="5"/>
    <n v="4.6609999999999996"/>
    <n v="97.881"/>
    <d v="2019-02-26T00:00:00"/>
    <d v="1899-12-30T12:28:00"/>
    <s v="Credit card"/>
    <n v="93.22"/>
    <n v="4.7619047620000003"/>
    <x v="787"/>
    <n v="6.6"/>
  </r>
  <r>
    <s v="605-83-1050"/>
    <s v="B"/>
    <s v="Mandalay"/>
    <x v="1"/>
    <x v="1"/>
    <x v="5"/>
    <x v="762"/>
    <x v="5"/>
    <n v="2.718"/>
    <n v="57.078000000000003"/>
    <d v="2019-03-15T00:00:00"/>
    <d v="1899-12-30T16:26:00"/>
    <s v="Ewallet"/>
    <n v="54.36"/>
    <n v="4.7619047620000003"/>
    <x v="788"/>
    <n v="4.3"/>
  </r>
  <r>
    <s v="443-60-9639"/>
    <s v="C"/>
    <s v="Naypyidaw"/>
    <x v="0"/>
    <x v="0"/>
    <x v="2"/>
    <x v="609"/>
    <x v="8"/>
    <n v="3.0434999999999999"/>
    <n v="63.913499999999999"/>
    <d v="2019-01-24T00:00:00"/>
    <d v="1899-12-30T13:24:00"/>
    <s v="Cash"/>
    <n v="60.87"/>
    <n v="4.7619047620000003"/>
    <x v="789"/>
    <n v="5.5"/>
  </r>
  <r>
    <s v="864-24-7918"/>
    <s v="A"/>
    <s v="Yangon"/>
    <x v="0"/>
    <x v="0"/>
    <x v="3"/>
    <x v="763"/>
    <x v="4"/>
    <n v="12.244999999999999"/>
    <n v="257.14499999999998"/>
    <d v="2019-02-22T00:00:00"/>
    <d v="1899-12-30T15:15:00"/>
    <s v="Cash"/>
    <n v="244.9"/>
    <n v="4.7619047620000003"/>
    <x v="790"/>
    <n v="8.1"/>
  </r>
  <r>
    <s v="359-94-5395"/>
    <s v="B"/>
    <s v="Mandalay"/>
    <x v="1"/>
    <x v="1"/>
    <x v="0"/>
    <x v="764"/>
    <x v="8"/>
    <n v="4.6390000000000002"/>
    <n v="97.418999999999997"/>
    <d v="2019-03-15T00:00:00"/>
    <d v="1899-12-30T10:50:00"/>
    <s v="Credit card"/>
    <n v="92.78"/>
    <n v="4.7619047620000003"/>
    <x v="791"/>
    <n v="9.8000000000000007"/>
  </r>
  <r>
    <s v="401-09-4232"/>
    <s v="C"/>
    <s v="Naypyidaw"/>
    <x v="0"/>
    <x v="1"/>
    <x v="2"/>
    <x v="765"/>
    <x v="1"/>
    <n v="21.672499999999999"/>
    <n v="455.1225"/>
    <d v="2019-02-11T00:00:00"/>
    <d v="1899-12-30T18:38:00"/>
    <s v="Ewallet"/>
    <n v="433.45"/>
    <n v="4.7619047620000003"/>
    <x v="792"/>
    <n v="9.4"/>
  </r>
  <r>
    <s v="751-15-6198"/>
    <s v="B"/>
    <s v="Mandalay"/>
    <x v="1"/>
    <x v="1"/>
    <x v="3"/>
    <x v="766"/>
    <x v="3"/>
    <n v="6.9029999999999996"/>
    <n v="144.96299999999999"/>
    <d v="2019-01-12T00:00:00"/>
    <d v="1899-12-30T16:45:00"/>
    <s v="Ewallet"/>
    <n v="138.06"/>
    <n v="4.7619047620000003"/>
    <x v="793"/>
    <n v="7.9"/>
  </r>
  <r>
    <s v="324-41-6833"/>
    <s v="C"/>
    <s v="Naypyidaw"/>
    <x v="0"/>
    <x v="0"/>
    <x v="1"/>
    <x v="767"/>
    <x v="2"/>
    <n v="12.08"/>
    <n v="253.68"/>
    <d v="2019-03-03T00:00:00"/>
    <d v="1899-12-30T19:30:00"/>
    <s v="Ewallet"/>
    <n v="241.6"/>
    <n v="4.7619047620000003"/>
    <x v="794"/>
    <n v="5.0999999999999996"/>
  </r>
  <r>
    <s v="474-33-8305"/>
    <s v="C"/>
    <s v="Naypyidaw"/>
    <x v="0"/>
    <x v="1"/>
    <x v="5"/>
    <x v="768"/>
    <x v="0"/>
    <n v="23.586500000000001"/>
    <n v="495.31650000000002"/>
    <d v="2019-03-23T00:00:00"/>
    <d v="1899-12-30T13:23:00"/>
    <s v="Ewallet"/>
    <n v="471.73"/>
    <n v="4.7619047620000003"/>
    <x v="795"/>
    <n v="6.9"/>
  </r>
  <r>
    <s v="759-29-9521"/>
    <s v="A"/>
    <s v="Yangon"/>
    <x v="0"/>
    <x v="0"/>
    <x v="5"/>
    <x v="769"/>
    <x v="9"/>
    <n v="22.032"/>
    <n v="462.67200000000003"/>
    <d v="2019-03-04T00:00:00"/>
    <d v="1899-12-30T11:27:00"/>
    <s v="Cash"/>
    <n v="440.64"/>
    <n v="4.7619047620000003"/>
    <x v="796"/>
    <n v="8"/>
  </r>
  <r>
    <s v="831-81-6575"/>
    <s v="B"/>
    <s v="Mandalay"/>
    <x v="0"/>
    <x v="0"/>
    <x v="1"/>
    <x v="770"/>
    <x v="9"/>
    <n v="34.015500000000003"/>
    <n v="714.32550000000003"/>
    <d v="2019-02-23T00:00:00"/>
    <d v="1899-12-30T11:12:00"/>
    <s v="Cash"/>
    <n v="680.31"/>
    <n v="4.7619047620000003"/>
    <x v="797"/>
    <n v="8"/>
  </r>
  <r>
    <s v="220-68-6701"/>
    <s v="A"/>
    <s v="Yangon"/>
    <x v="1"/>
    <x v="0"/>
    <x v="2"/>
    <x v="771"/>
    <x v="7"/>
    <n v="15.494"/>
    <n v="325.37400000000002"/>
    <d v="2019-03-17T00:00:00"/>
    <d v="1899-12-30T16:36:00"/>
    <s v="Cash"/>
    <n v="309.88"/>
    <n v="4.7619047620000003"/>
    <x v="798"/>
    <n v="4.2"/>
  </r>
  <r>
    <s v="618-34-8551"/>
    <s v="A"/>
    <s v="Yangon"/>
    <x v="1"/>
    <x v="0"/>
    <x v="3"/>
    <x v="772"/>
    <x v="5"/>
    <n v="9.3179999999999996"/>
    <n v="195.678"/>
    <d v="2019-01-16T00:00:00"/>
    <d v="1899-12-30T18:41:00"/>
    <s v="Credit card"/>
    <n v="186.36"/>
    <n v="4.7619047620000003"/>
    <x v="799"/>
    <n v="8.5"/>
  </r>
  <r>
    <s v="257-60-7754"/>
    <s v="A"/>
    <s v="Yangon"/>
    <x v="1"/>
    <x v="0"/>
    <x v="1"/>
    <x v="773"/>
    <x v="7"/>
    <n v="10.045999999999999"/>
    <n v="210.96600000000001"/>
    <d v="2019-01-08T00:00:00"/>
    <d v="1899-12-30T17:12:00"/>
    <s v="Cash"/>
    <n v="200.92"/>
    <n v="4.7619047620000003"/>
    <x v="800"/>
    <n v="9"/>
  </r>
  <r>
    <s v="559-61-5987"/>
    <s v="B"/>
    <s v="Mandalay"/>
    <x v="1"/>
    <x v="0"/>
    <x v="0"/>
    <x v="774"/>
    <x v="8"/>
    <n v="0.88749999999999996"/>
    <n v="18.637499999999999"/>
    <d v="2019-01-14T00:00:00"/>
    <d v="1899-12-30T10:38:00"/>
    <s v="Cash"/>
    <n v="17.75"/>
    <n v="4.7619047620000003"/>
    <x v="801"/>
    <n v="8.6"/>
  </r>
  <r>
    <s v="189-55-2313"/>
    <s v="C"/>
    <s v="Naypyidaw"/>
    <x v="1"/>
    <x v="0"/>
    <x v="5"/>
    <x v="775"/>
    <x v="4"/>
    <n v="31.09"/>
    <n v="652.89"/>
    <d v="2019-01-31T00:00:00"/>
    <d v="1899-12-30T10:33:00"/>
    <s v="Ewallet"/>
    <n v="621.79999999999995"/>
    <n v="4.7619047620000003"/>
    <x v="802"/>
    <n v="6"/>
  </r>
  <r>
    <s v="565-91-4567"/>
    <s v="B"/>
    <s v="Mandalay"/>
    <x v="1"/>
    <x v="1"/>
    <x v="0"/>
    <x v="776"/>
    <x v="2"/>
    <n v="4.3"/>
    <n v="90.3"/>
    <d v="2019-03-15T00:00:00"/>
    <d v="1899-12-30T14:38:00"/>
    <s v="Ewallet"/>
    <n v="86"/>
    <n v="4.7619047620000003"/>
    <x v="803"/>
    <n v="6.2"/>
  </r>
  <r>
    <s v="380-60-5336"/>
    <s v="A"/>
    <s v="Yangon"/>
    <x v="1"/>
    <x v="0"/>
    <x v="1"/>
    <x v="777"/>
    <x v="4"/>
    <n v="20.13"/>
    <n v="422.73"/>
    <d v="2019-02-24T00:00:00"/>
    <d v="1899-12-30T18:06:00"/>
    <s v="Credit card"/>
    <n v="402.6"/>
    <n v="4.7619047620000003"/>
    <x v="804"/>
    <n v="5"/>
  </r>
  <r>
    <s v="815-04-6282"/>
    <s v="C"/>
    <s v="Naypyidaw"/>
    <x v="0"/>
    <x v="0"/>
    <x v="3"/>
    <x v="778"/>
    <x v="1"/>
    <n v="16.2425"/>
    <n v="341.09249999999997"/>
    <d v="2019-02-08T00:00:00"/>
    <d v="1899-12-30T12:52:00"/>
    <s v="Credit card"/>
    <n v="324.85000000000002"/>
    <n v="4.7619047620000003"/>
    <x v="805"/>
    <n v="6.5"/>
  </r>
  <r>
    <s v="674-56-6360"/>
    <s v="A"/>
    <s v="Yangon"/>
    <x v="1"/>
    <x v="1"/>
    <x v="1"/>
    <x v="779"/>
    <x v="8"/>
    <n v="4.7575000000000003"/>
    <n v="99.907499999999999"/>
    <d v="2019-03-22T00:00:00"/>
    <d v="1899-12-30T14:00:00"/>
    <s v="Cash"/>
    <n v="95.15"/>
    <n v="4.7619047620000003"/>
    <x v="806"/>
    <n v="6"/>
  </r>
  <r>
    <s v="778-34-2523"/>
    <s v="A"/>
    <s v="Yangon"/>
    <x v="0"/>
    <x v="0"/>
    <x v="1"/>
    <x v="780"/>
    <x v="2"/>
    <n v="19.448"/>
    <n v="408.40800000000002"/>
    <d v="2019-01-24T00:00:00"/>
    <d v="1899-12-30T10:57:00"/>
    <s v="Cash"/>
    <n v="388.96"/>
    <n v="4.7619047620000003"/>
    <x v="807"/>
    <n v="5"/>
  </r>
  <r>
    <s v="499-27-7781"/>
    <s v="B"/>
    <s v="Mandalay"/>
    <x v="1"/>
    <x v="0"/>
    <x v="4"/>
    <x v="781"/>
    <x v="2"/>
    <n v="21.283999999999999"/>
    <n v="446.964"/>
    <d v="2019-03-14T00:00:00"/>
    <d v="1899-12-30T16:45:00"/>
    <s v="Ewallet"/>
    <n v="425.68"/>
    <n v="4.7619047620000003"/>
    <x v="808"/>
    <n v="5"/>
  </r>
  <r>
    <s v="477-59-2456"/>
    <s v="C"/>
    <s v="Naypyidaw"/>
    <x v="1"/>
    <x v="0"/>
    <x v="5"/>
    <x v="782"/>
    <x v="0"/>
    <n v="15.904"/>
    <n v="333.98399999999998"/>
    <d v="2019-01-23T00:00:00"/>
    <d v="1899-12-30T11:15:00"/>
    <s v="Cash"/>
    <n v="318.08"/>
    <n v="4.7619047620000003"/>
    <x v="809"/>
    <n v="9.1999999999999993"/>
  </r>
  <r>
    <s v="832-51-6761"/>
    <s v="A"/>
    <s v="Yangon"/>
    <x v="1"/>
    <x v="1"/>
    <x v="4"/>
    <x v="783"/>
    <x v="2"/>
    <n v="13.552"/>
    <n v="284.59199999999998"/>
    <d v="2019-01-19T00:00:00"/>
    <d v="1899-12-30T20:29:00"/>
    <s v="Ewallet"/>
    <n v="271.04000000000002"/>
    <n v="4.7619047620000003"/>
    <x v="810"/>
    <n v="9.6"/>
  </r>
  <r>
    <s v="869-11-3082"/>
    <s v="B"/>
    <s v="Mandalay"/>
    <x v="0"/>
    <x v="1"/>
    <x v="0"/>
    <x v="784"/>
    <x v="7"/>
    <n v="19.231999999999999"/>
    <n v="403.87200000000001"/>
    <d v="2019-01-27T00:00:00"/>
    <d v="1899-12-30T20:03:00"/>
    <s v="Credit card"/>
    <n v="384.64"/>
    <n v="4.7619047620000003"/>
    <x v="811"/>
    <n v="8.4"/>
  </r>
  <r>
    <s v="190-59-3964"/>
    <s v="B"/>
    <s v="Mandalay"/>
    <x v="0"/>
    <x v="1"/>
    <x v="4"/>
    <x v="785"/>
    <x v="1"/>
    <n v="11.79"/>
    <n v="247.59"/>
    <d v="2019-02-03T00:00:00"/>
    <d v="1899-12-30T14:35:00"/>
    <s v="Credit card"/>
    <n v="235.8"/>
    <n v="4.7619047620000003"/>
    <x v="812"/>
    <n v="6"/>
  </r>
  <r>
    <s v="366-43-6862"/>
    <s v="B"/>
    <s v="Mandalay"/>
    <x v="1"/>
    <x v="1"/>
    <x v="1"/>
    <x v="171"/>
    <x v="7"/>
    <n v="10.577999999999999"/>
    <n v="222.13800000000001"/>
    <d v="2019-03-25T00:00:00"/>
    <d v="1899-12-30T16:32:00"/>
    <s v="Ewallet"/>
    <n v="211.56"/>
    <n v="4.7619047620000003"/>
    <x v="813"/>
    <n v="6.7"/>
  </r>
  <r>
    <s v="186-43-8965"/>
    <s v="A"/>
    <s v="Yangon"/>
    <x v="0"/>
    <x v="0"/>
    <x v="2"/>
    <x v="786"/>
    <x v="5"/>
    <n v="4.7679999999999998"/>
    <n v="100.128"/>
    <d v="2019-02-24T00:00:00"/>
    <d v="1899-12-30T10:10:00"/>
    <s v="Credit card"/>
    <n v="95.36"/>
    <n v="4.7619047620000003"/>
    <x v="814"/>
    <n v="4.0999999999999996"/>
  </r>
  <r>
    <s v="784-21-9238"/>
    <s v="C"/>
    <s v="Naypyidaw"/>
    <x v="0"/>
    <x v="1"/>
    <x v="3"/>
    <x v="787"/>
    <x v="8"/>
    <n v="0.50849999999999995"/>
    <n v="10.6785"/>
    <d v="2019-02-07T00:00:00"/>
    <d v="1899-12-30T14:15:00"/>
    <s v="Cash"/>
    <n v="10.17"/>
    <n v="4.7619047620000003"/>
    <x v="815"/>
    <n v="5.9"/>
  </r>
  <r>
    <s v="276-75-6884"/>
    <s v="A"/>
    <s v="Yangon"/>
    <x v="1"/>
    <x v="0"/>
    <x v="0"/>
    <x v="399"/>
    <x v="6"/>
    <n v="10.3065"/>
    <n v="216.4365"/>
    <d v="2019-03-04T00:00:00"/>
    <d v="1899-12-30T10:05:00"/>
    <s v="Cash"/>
    <n v="206.13"/>
    <n v="4.7619047620000003"/>
    <x v="816"/>
    <n v="8.6999999999999993"/>
  </r>
  <r>
    <s v="109-86-4363"/>
    <s v="B"/>
    <s v="Mandalay"/>
    <x v="0"/>
    <x v="0"/>
    <x v="3"/>
    <x v="788"/>
    <x v="0"/>
    <n v="21.027999999999999"/>
    <n v="441.58800000000002"/>
    <d v="2019-02-14T00:00:00"/>
    <d v="1899-12-30T11:36:00"/>
    <s v="Credit card"/>
    <n v="420.56"/>
    <n v="4.7619047620000003"/>
    <x v="817"/>
    <n v="4.5"/>
  </r>
  <r>
    <s v="569-76-2760"/>
    <s v="A"/>
    <s v="Yangon"/>
    <x v="0"/>
    <x v="0"/>
    <x v="3"/>
    <x v="442"/>
    <x v="7"/>
    <n v="4.4020000000000001"/>
    <n v="92.441999999999993"/>
    <d v="2019-01-29T00:00:00"/>
    <d v="1899-12-30T18:15:00"/>
    <s v="Credit card"/>
    <n v="88.04"/>
    <n v="4.7619047620000003"/>
    <x v="818"/>
    <n v="6.6"/>
  </r>
  <r>
    <s v="222-42-0244"/>
    <s v="B"/>
    <s v="Mandalay"/>
    <x v="0"/>
    <x v="0"/>
    <x v="0"/>
    <x v="789"/>
    <x v="9"/>
    <n v="32.4495"/>
    <n v="681.43949999999995"/>
    <d v="2019-01-28T00:00:00"/>
    <d v="1899-12-30T13:53:00"/>
    <s v="Credit card"/>
    <n v="648.99"/>
    <n v="4.7619047620000003"/>
    <x v="819"/>
    <n v="7.7"/>
  </r>
  <r>
    <s v="760-53-9233"/>
    <s v="A"/>
    <s v="Yangon"/>
    <x v="0"/>
    <x v="1"/>
    <x v="5"/>
    <x v="790"/>
    <x v="6"/>
    <n v="6.1920000000000002"/>
    <n v="130.03200000000001"/>
    <d v="2019-03-26T00:00:00"/>
    <d v="1899-12-30T18:37:00"/>
    <s v="Credit card"/>
    <n v="123.84"/>
    <n v="4.7619047620000003"/>
    <x v="820"/>
    <n v="8.5"/>
  </r>
  <r>
    <s v="538-22-0304"/>
    <s v="C"/>
    <s v="Naypyidaw"/>
    <x v="1"/>
    <x v="1"/>
    <x v="1"/>
    <x v="791"/>
    <x v="4"/>
    <n v="32.475000000000001"/>
    <n v="681.97500000000002"/>
    <d v="2019-03-24T00:00:00"/>
    <d v="1899-12-30T18:27:00"/>
    <s v="Cash"/>
    <n v="649.5"/>
    <n v="4.7619047620000003"/>
    <x v="821"/>
    <n v="5.2"/>
  </r>
  <r>
    <s v="416-17-9926"/>
    <s v="A"/>
    <s v="Yangon"/>
    <x v="0"/>
    <x v="0"/>
    <x v="1"/>
    <x v="792"/>
    <x v="4"/>
    <n v="37.11"/>
    <n v="779.31"/>
    <d v="2019-01-01T00:00:00"/>
    <d v="1899-12-30T14:42:00"/>
    <s v="Credit card"/>
    <n v="742.2"/>
    <n v="4.7619047620000003"/>
    <x v="822"/>
    <n v="4.3"/>
  </r>
  <r>
    <s v="237-44-6163"/>
    <s v="A"/>
    <s v="Yangon"/>
    <x v="1"/>
    <x v="1"/>
    <x v="1"/>
    <x v="793"/>
    <x v="2"/>
    <n v="4.2240000000000002"/>
    <n v="88.703999999999994"/>
    <d v="2019-01-24T00:00:00"/>
    <d v="1899-12-30T17:43:00"/>
    <s v="Cash"/>
    <n v="84.48"/>
    <n v="4.7619047620000003"/>
    <x v="823"/>
    <n v="7.6"/>
  </r>
  <r>
    <s v="636-17-0325"/>
    <s v="B"/>
    <s v="Mandalay"/>
    <x v="1"/>
    <x v="1"/>
    <x v="0"/>
    <x v="794"/>
    <x v="7"/>
    <n v="12.513999999999999"/>
    <n v="262.79399999999998"/>
    <d v="2019-02-25T00:00:00"/>
    <d v="1899-12-30T18:37:00"/>
    <s v="Cash"/>
    <n v="250.28"/>
    <n v="4.7619047620000003"/>
    <x v="824"/>
    <n v="9.5"/>
  </r>
  <r>
    <s v="343-75-9322"/>
    <s v="B"/>
    <s v="Mandalay"/>
    <x v="0"/>
    <x v="0"/>
    <x v="3"/>
    <x v="795"/>
    <x v="2"/>
    <n v="4.74"/>
    <n v="99.54"/>
    <d v="2019-01-09T00:00:00"/>
    <d v="1899-12-30T16:34:00"/>
    <s v="Cash"/>
    <n v="94.8"/>
    <n v="4.7619047620000003"/>
    <x v="825"/>
    <n v="4.0999999999999996"/>
  </r>
  <r>
    <s v="528-14-9470"/>
    <s v="A"/>
    <s v="Yangon"/>
    <x v="0"/>
    <x v="1"/>
    <x v="0"/>
    <x v="796"/>
    <x v="8"/>
    <n v="4.5650000000000004"/>
    <n v="95.864999999999995"/>
    <d v="2019-02-14T00:00:00"/>
    <d v="1899-12-30T14:42:00"/>
    <s v="Ewallet"/>
    <n v="91.3"/>
    <n v="4.7619047620000003"/>
    <x v="826"/>
    <n v="9.1999999999999993"/>
  </r>
  <r>
    <s v="427-45-9297"/>
    <s v="B"/>
    <s v="Mandalay"/>
    <x v="0"/>
    <x v="0"/>
    <x v="2"/>
    <x v="797"/>
    <x v="0"/>
    <n v="14.2555"/>
    <n v="299.3655"/>
    <d v="2019-03-12T00:00:00"/>
    <d v="1899-12-30T11:01:00"/>
    <s v="Ewallet"/>
    <n v="285.11"/>
    <n v="4.7619047620000003"/>
    <x v="827"/>
    <n v="5.4"/>
  </r>
  <r>
    <s v="807-34-3742"/>
    <s v="A"/>
    <s v="Yangon"/>
    <x v="1"/>
    <x v="1"/>
    <x v="5"/>
    <x v="798"/>
    <x v="8"/>
    <n v="2.6190000000000002"/>
    <n v="54.999000000000002"/>
    <d v="2019-03-26T00:00:00"/>
    <d v="1899-12-30T19:44:00"/>
    <s v="Cash"/>
    <n v="52.38"/>
    <n v="4.7619047620000003"/>
    <x v="828"/>
    <n v="5.8"/>
  </r>
  <r>
    <s v="288-62-1085"/>
    <s v="A"/>
    <s v="Yangon"/>
    <x v="0"/>
    <x v="1"/>
    <x v="5"/>
    <x v="799"/>
    <x v="1"/>
    <n v="9.6349999999999998"/>
    <n v="202.33500000000001"/>
    <d v="2019-01-09T00:00:00"/>
    <d v="1899-12-30T13:34:00"/>
    <s v="Ewallet"/>
    <n v="192.7"/>
    <n v="4.7619047620000003"/>
    <x v="829"/>
    <n v="5.6"/>
  </r>
  <r>
    <s v="670-71-7306"/>
    <s v="B"/>
    <s v="Mandalay"/>
    <x v="1"/>
    <x v="1"/>
    <x v="3"/>
    <x v="800"/>
    <x v="3"/>
    <n v="13.388999999999999"/>
    <n v="281.16899999999998"/>
    <d v="2019-01-02T00:00:00"/>
    <d v="1899-12-30T20:08:00"/>
    <s v="Credit card"/>
    <n v="267.77999999999997"/>
    <n v="4.7619047620000003"/>
    <x v="830"/>
    <n v="5.0999999999999996"/>
  </r>
  <r>
    <s v="660-29-7083"/>
    <s v="C"/>
    <s v="Naypyidaw"/>
    <x v="1"/>
    <x v="1"/>
    <x v="1"/>
    <x v="801"/>
    <x v="4"/>
    <n v="27.934999999999999"/>
    <n v="586.63499999999999"/>
    <d v="2019-01-15T00:00:00"/>
    <d v="1899-12-30T15:01:00"/>
    <s v="Cash"/>
    <n v="558.70000000000005"/>
    <n v="4.7619047620000003"/>
    <x v="831"/>
    <n v="5.8"/>
  </r>
  <r>
    <s v="271-77-8740"/>
    <s v="C"/>
    <s v="Naypyidaw"/>
    <x v="0"/>
    <x v="0"/>
    <x v="3"/>
    <x v="802"/>
    <x v="3"/>
    <n v="8.766"/>
    <n v="184.08600000000001"/>
    <d v="2019-01-01T00:00:00"/>
    <d v="1899-12-30T11:40:00"/>
    <s v="Ewallet"/>
    <n v="175.32"/>
    <n v="4.7619047620000003"/>
    <x v="832"/>
    <n v="5"/>
  </r>
  <r>
    <s v="497-36-0989"/>
    <s v="A"/>
    <s v="Yangon"/>
    <x v="1"/>
    <x v="1"/>
    <x v="5"/>
    <x v="232"/>
    <x v="6"/>
    <n v="7.7910000000000004"/>
    <n v="163.61099999999999"/>
    <d v="2019-02-15T00:00:00"/>
    <d v="1899-12-30T15:21:00"/>
    <s v="Cash"/>
    <n v="155.82"/>
    <n v="4.7619047620000003"/>
    <x v="833"/>
    <n v="7.9"/>
  </r>
  <r>
    <s v="291-59-1384"/>
    <s v="B"/>
    <s v="Mandalay"/>
    <x v="1"/>
    <x v="1"/>
    <x v="1"/>
    <x v="562"/>
    <x v="8"/>
    <n v="3.0150000000000001"/>
    <n v="63.314999999999998"/>
    <d v="2019-02-28T00:00:00"/>
    <d v="1899-12-30T17:38:00"/>
    <s v="Cash"/>
    <n v="60.3"/>
    <n v="4.7619047620000003"/>
    <x v="834"/>
    <n v="6"/>
  </r>
  <r>
    <s v="860-73-6466"/>
    <s v="A"/>
    <s v="Yangon"/>
    <x v="0"/>
    <x v="0"/>
    <x v="3"/>
    <x v="803"/>
    <x v="5"/>
    <n v="3.9470000000000001"/>
    <n v="82.887"/>
    <d v="2019-03-02T00:00:00"/>
    <d v="1899-12-30T16:16:00"/>
    <s v="Credit card"/>
    <n v="78.94"/>
    <n v="4.7619047620000003"/>
    <x v="835"/>
    <n v="5"/>
  </r>
  <r>
    <s v="549-23-9016"/>
    <s v="C"/>
    <s v="Naypyidaw"/>
    <x v="0"/>
    <x v="0"/>
    <x v="4"/>
    <x v="804"/>
    <x v="5"/>
    <n v="1.4870000000000001"/>
    <n v="31.227"/>
    <d v="2019-02-13T00:00:00"/>
    <d v="1899-12-30T18:15:00"/>
    <s v="Credit card"/>
    <n v="29.74"/>
    <n v="4.7619047620000003"/>
    <x v="836"/>
    <n v="8.9"/>
  </r>
  <r>
    <s v="896-34-0956"/>
    <s v="A"/>
    <s v="Yangon"/>
    <x v="1"/>
    <x v="1"/>
    <x v="5"/>
    <x v="805"/>
    <x v="8"/>
    <n v="1.0660000000000001"/>
    <n v="22.385999999999999"/>
    <d v="2019-01-26T00:00:00"/>
    <d v="1899-12-30T12:43:00"/>
    <s v="Cash"/>
    <n v="21.32"/>
    <n v="4.7619047620000003"/>
    <x v="837"/>
    <n v="5.9"/>
  </r>
  <r>
    <s v="804-38-3935"/>
    <s v="A"/>
    <s v="Yangon"/>
    <x v="0"/>
    <x v="1"/>
    <x v="1"/>
    <x v="806"/>
    <x v="6"/>
    <n v="14.067"/>
    <n v="295.40699999999998"/>
    <d v="2019-01-30T00:00:00"/>
    <d v="1899-12-30T11:32:00"/>
    <s v="Credit card"/>
    <n v="281.33999999999997"/>
    <n v="4.7619047620000003"/>
    <x v="838"/>
    <n v="5.9"/>
  </r>
  <r>
    <s v="585-90-0249"/>
    <s v="A"/>
    <s v="Yangon"/>
    <x v="0"/>
    <x v="1"/>
    <x v="1"/>
    <x v="807"/>
    <x v="8"/>
    <n v="3.6629999999999998"/>
    <n v="76.923000000000002"/>
    <d v="2019-01-27T00:00:00"/>
    <d v="1899-12-30T18:08:00"/>
    <s v="Ewallet"/>
    <n v="73.260000000000005"/>
    <n v="4.7619047620000003"/>
    <x v="839"/>
    <n v="9.6999999999999993"/>
  </r>
  <r>
    <s v="862-29-5914"/>
    <s v="C"/>
    <s v="Naypyidaw"/>
    <x v="1"/>
    <x v="0"/>
    <x v="3"/>
    <x v="808"/>
    <x v="8"/>
    <n v="1.119"/>
    <n v="23.498999999999999"/>
    <d v="2019-01-30T00:00:00"/>
    <d v="1899-12-30T17:08:00"/>
    <s v="Credit card"/>
    <n v="22.38"/>
    <n v="4.7619047620000003"/>
    <x v="840"/>
    <n v="8.6"/>
  </r>
  <r>
    <s v="845-94-6841"/>
    <s v="C"/>
    <s v="Naypyidaw"/>
    <x v="0"/>
    <x v="0"/>
    <x v="4"/>
    <x v="665"/>
    <x v="9"/>
    <n v="32.795999999999999"/>
    <n v="688.71600000000001"/>
    <d v="2019-01-08T00:00:00"/>
    <d v="1899-12-30T19:38:00"/>
    <s v="Cash"/>
    <n v="655.92"/>
    <n v="4.7619047620000003"/>
    <x v="841"/>
    <n v="4"/>
  </r>
  <r>
    <s v="125-45-2293"/>
    <s v="A"/>
    <s v="Yangon"/>
    <x v="1"/>
    <x v="0"/>
    <x v="5"/>
    <x v="809"/>
    <x v="3"/>
    <n v="29.73"/>
    <n v="624.33000000000004"/>
    <d v="2019-01-19T00:00:00"/>
    <d v="1899-12-30T13:11:00"/>
    <s v="Cash"/>
    <n v="594.6"/>
    <n v="4.7619047620000003"/>
    <x v="842"/>
    <n v="4.2"/>
  </r>
  <r>
    <s v="843-73-4724"/>
    <s v="A"/>
    <s v="Yangon"/>
    <x v="1"/>
    <x v="1"/>
    <x v="5"/>
    <x v="810"/>
    <x v="8"/>
    <n v="3.7050000000000001"/>
    <n v="77.805000000000007"/>
    <d v="2019-01-25T00:00:00"/>
    <d v="1899-12-30T11:05:00"/>
    <s v="Cash"/>
    <n v="74.099999999999994"/>
    <n v="4.7619047620000003"/>
    <x v="843"/>
    <n v="9.1999999999999993"/>
  </r>
  <r>
    <s v="409-33-9708"/>
    <s v="A"/>
    <s v="Yangon"/>
    <x v="1"/>
    <x v="0"/>
    <x v="5"/>
    <x v="811"/>
    <x v="5"/>
    <n v="9.8480000000000008"/>
    <n v="206.80799999999999"/>
    <d v="2019-02-19T00:00:00"/>
    <d v="1899-12-30T10:12:00"/>
    <s v="Ewallet"/>
    <n v="196.96"/>
    <n v="4.7619047620000003"/>
    <x v="844"/>
    <n v="9.1999999999999993"/>
  </r>
  <r>
    <s v="658-66-3967"/>
    <s v="C"/>
    <s v="Naypyidaw"/>
    <x v="1"/>
    <x v="1"/>
    <x v="0"/>
    <x v="812"/>
    <x v="0"/>
    <n v="18.616499999999998"/>
    <n v="390.94650000000001"/>
    <d v="2019-01-14T00:00:00"/>
    <d v="1899-12-30T15:42:00"/>
    <s v="Ewallet"/>
    <n v="372.33"/>
    <n v="4.7619047620000003"/>
    <x v="845"/>
    <n v="5"/>
  </r>
  <r>
    <s v="866-70-2814"/>
    <s v="B"/>
    <s v="Mandalay"/>
    <x v="1"/>
    <x v="0"/>
    <x v="1"/>
    <x v="813"/>
    <x v="4"/>
    <n v="26.395"/>
    <n v="554.29499999999996"/>
    <d v="2019-02-25T00:00:00"/>
    <d v="1899-12-30T11:58:00"/>
    <s v="Ewallet"/>
    <n v="527.9"/>
    <n v="4.7619047620000003"/>
    <x v="846"/>
    <n v="10"/>
  </r>
  <r>
    <s v="160-22-2687"/>
    <s v="A"/>
    <s v="Yangon"/>
    <x v="0"/>
    <x v="0"/>
    <x v="0"/>
    <x v="814"/>
    <x v="1"/>
    <n v="23.987500000000001"/>
    <n v="503.73750000000001"/>
    <d v="2019-01-23T00:00:00"/>
    <d v="1899-12-30T14:21:00"/>
    <s v="Ewallet"/>
    <n v="479.75"/>
    <n v="4.7619047620000003"/>
    <x v="847"/>
    <n v="8.8000000000000007"/>
  </r>
  <r>
    <s v="895-03-6665"/>
    <s v="B"/>
    <s v="Mandalay"/>
    <x v="1"/>
    <x v="0"/>
    <x v="5"/>
    <x v="815"/>
    <x v="9"/>
    <n v="16.429500000000001"/>
    <n v="345.01949999999999"/>
    <d v="2019-02-16T00:00:00"/>
    <d v="1899-12-30T10:52:00"/>
    <s v="Cash"/>
    <n v="328.59"/>
    <n v="4.7619047620000003"/>
    <x v="848"/>
    <n v="4.2"/>
  </r>
  <r>
    <s v="770-42-8960"/>
    <s v="B"/>
    <s v="Mandalay"/>
    <x v="1"/>
    <x v="1"/>
    <x v="4"/>
    <x v="268"/>
    <x v="2"/>
    <n v="8.4480000000000004"/>
    <n v="177.40799999999999"/>
    <d v="2019-01-01T00:00:00"/>
    <d v="1899-12-30T19:31:00"/>
    <s v="Cash"/>
    <n v="168.96"/>
    <n v="4.7619047620000003"/>
    <x v="849"/>
    <n v="6.3"/>
  </r>
  <r>
    <s v="748-45-2862"/>
    <s v="A"/>
    <s v="Yangon"/>
    <x v="0"/>
    <x v="0"/>
    <x v="2"/>
    <x v="816"/>
    <x v="7"/>
    <n v="5.6619999999999999"/>
    <n v="118.902"/>
    <d v="2019-03-07T00:00:00"/>
    <d v="1899-12-30T18:35:00"/>
    <s v="Cash"/>
    <n v="113.24"/>
    <n v="4.7619047620000003"/>
    <x v="850"/>
    <n v="8.1999999999999993"/>
  </r>
  <r>
    <s v="234-36-2483"/>
    <s v="B"/>
    <s v="Mandalay"/>
    <x v="1"/>
    <x v="1"/>
    <x v="0"/>
    <x v="817"/>
    <x v="3"/>
    <n v="17.277000000000001"/>
    <n v="362.81700000000001"/>
    <d v="2019-02-15T00:00:00"/>
    <d v="1899-12-30T13:51:00"/>
    <s v="Cash"/>
    <n v="345.54"/>
    <n v="4.7619047620000003"/>
    <x v="851"/>
    <n v="5.0999999999999996"/>
  </r>
  <r>
    <s v="316-66-3011"/>
    <s v="A"/>
    <s v="Yangon"/>
    <x v="0"/>
    <x v="0"/>
    <x v="4"/>
    <x v="818"/>
    <x v="9"/>
    <n v="21.433499999999999"/>
    <n v="450.1035"/>
    <d v="2019-01-23T00:00:00"/>
    <d v="1899-12-30T12:35:00"/>
    <s v="Cash"/>
    <n v="428.67"/>
    <n v="4.7619047620000003"/>
    <x v="852"/>
    <n v="5"/>
  </r>
  <r>
    <s v="848-95-6252"/>
    <s v="C"/>
    <s v="Naypyidaw"/>
    <x v="0"/>
    <x v="0"/>
    <x v="2"/>
    <x v="819"/>
    <x v="8"/>
    <n v="4.3135000000000003"/>
    <n v="90.583500000000001"/>
    <d v="2019-02-20T00:00:00"/>
    <d v="1899-12-30T13:24:00"/>
    <s v="Ewallet"/>
    <n v="86.27"/>
    <n v="4.7619047620000003"/>
    <x v="853"/>
    <n v="7"/>
  </r>
  <r>
    <s v="840-76-5966"/>
    <s v="A"/>
    <s v="Yangon"/>
    <x v="0"/>
    <x v="1"/>
    <x v="3"/>
    <x v="820"/>
    <x v="5"/>
    <n v="1.276"/>
    <n v="26.795999999999999"/>
    <d v="2019-01-08T00:00:00"/>
    <d v="1899-12-30T18:06:00"/>
    <s v="Ewallet"/>
    <n v="25.52"/>
    <n v="4.7619047620000003"/>
    <x v="854"/>
    <n v="7.8"/>
  </r>
  <r>
    <s v="152-03-4217"/>
    <s v="B"/>
    <s v="Mandalay"/>
    <x v="1"/>
    <x v="0"/>
    <x v="2"/>
    <x v="821"/>
    <x v="9"/>
    <n v="5.0759999999999996"/>
    <n v="106.596"/>
    <d v="2019-03-17T00:00:00"/>
    <d v="1899-12-30T11:55:00"/>
    <s v="Credit card"/>
    <n v="101.52"/>
    <n v="4.7619047620000003"/>
    <x v="855"/>
    <n v="4.3"/>
  </r>
  <r>
    <s v="533-66-5566"/>
    <s v="B"/>
    <s v="Mandalay"/>
    <x v="1"/>
    <x v="0"/>
    <x v="2"/>
    <x v="822"/>
    <x v="0"/>
    <n v="17.874500000000001"/>
    <n v="375.36450000000002"/>
    <d v="2019-01-12T00:00:00"/>
    <d v="1899-12-30T11:42:00"/>
    <s v="Cash"/>
    <n v="357.49"/>
    <n v="4.7619047620000003"/>
    <x v="856"/>
    <n v="7"/>
  </r>
  <r>
    <s v="124-31-1458"/>
    <s v="A"/>
    <s v="Yangon"/>
    <x v="0"/>
    <x v="0"/>
    <x v="1"/>
    <x v="823"/>
    <x v="6"/>
    <n v="11.938499999999999"/>
    <n v="250.70849999999999"/>
    <d v="2019-01-08T00:00:00"/>
    <d v="1899-12-30T14:30:00"/>
    <s v="Cash"/>
    <n v="238.77"/>
    <n v="4.7619047620000003"/>
    <x v="857"/>
    <n v="6.6"/>
  </r>
  <r>
    <s v="176-78-1170"/>
    <s v="C"/>
    <s v="Naypyidaw"/>
    <x v="0"/>
    <x v="1"/>
    <x v="0"/>
    <x v="824"/>
    <x v="6"/>
    <n v="5.0715000000000003"/>
    <n v="106.50149999999999"/>
    <d v="2019-01-26T00:00:00"/>
    <d v="1899-12-30T15:11:00"/>
    <s v="Ewallet"/>
    <n v="101.43"/>
    <n v="4.7619047620000003"/>
    <x v="858"/>
    <n v="7.3"/>
  </r>
  <r>
    <s v="361-59-0574"/>
    <s v="B"/>
    <s v="Mandalay"/>
    <x v="0"/>
    <x v="1"/>
    <x v="3"/>
    <x v="825"/>
    <x v="2"/>
    <n v="36.212000000000003"/>
    <n v="760.452"/>
    <d v="2019-03-15T00:00:00"/>
    <d v="1899-12-30T14:48:00"/>
    <s v="Credit card"/>
    <n v="724.24"/>
    <n v="4.7619047620000003"/>
    <x v="859"/>
    <n v="6.5"/>
  </r>
  <r>
    <s v="101-81-4070"/>
    <s v="C"/>
    <s v="Naypyidaw"/>
    <x v="0"/>
    <x v="0"/>
    <x v="0"/>
    <x v="826"/>
    <x v="5"/>
    <n v="6.282"/>
    <n v="131.922"/>
    <d v="2019-01-17T00:00:00"/>
    <d v="1899-12-30T12:36:00"/>
    <s v="Ewallet"/>
    <n v="125.64"/>
    <n v="4.7619047620000003"/>
    <x v="860"/>
    <n v="4.9000000000000004"/>
  </r>
  <r>
    <s v="631-34-1880"/>
    <s v="C"/>
    <s v="Naypyidaw"/>
    <x v="0"/>
    <x v="1"/>
    <x v="4"/>
    <x v="827"/>
    <x v="6"/>
    <n v="3.6465000000000001"/>
    <n v="76.576499999999996"/>
    <d v="2019-01-08T00:00:00"/>
    <d v="1899-12-30T19:09:00"/>
    <s v="Credit card"/>
    <n v="72.930000000000007"/>
    <n v="4.7619047620000003"/>
    <x v="861"/>
    <n v="4.3"/>
  </r>
  <r>
    <s v="852-82-2749"/>
    <s v="A"/>
    <s v="Yangon"/>
    <x v="1"/>
    <x v="1"/>
    <x v="3"/>
    <x v="828"/>
    <x v="7"/>
    <n v="12.917999999999999"/>
    <n v="271.27800000000002"/>
    <d v="2019-01-06T00:00:00"/>
    <d v="1899-12-30T13:35:00"/>
    <s v="Ewallet"/>
    <n v="258.36"/>
    <n v="4.7619047620000003"/>
    <x v="862"/>
    <n v="9.3000000000000007"/>
  </r>
  <r>
    <s v="873-14-6353"/>
    <s v="A"/>
    <s v="Yangon"/>
    <x v="0"/>
    <x v="1"/>
    <x v="4"/>
    <x v="829"/>
    <x v="0"/>
    <n v="8.6869999999999994"/>
    <n v="182.42699999999999"/>
    <d v="2019-02-16T00:00:00"/>
    <d v="1899-12-30T10:33:00"/>
    <s v="Credit card"/>
    <n v="173.74"/>
    <n v="4.7619047620000003"/>
    <x v="863"/>
    <n v="7.1"/>
  </r>
  <r>
    <s v="584-66-4073"/>
    <s v="C"/>
    <s v="Naypyidaw"/>
    <x v="1"/>
    <x v="1"/>
    <x v="5"/>
    <x v="830"/>
    <x v="8"/>
    <n v="2.8250000000000002"/>
    <n v="59.325000000000003"/>
    <d v="2019-03-13T00:00:00"/>
    <d v="1899-12-30T15:45:00"/>
    <s v="Ewallet"/>
    <n v="56.5"/>
    <n v="4.7619047620000003"/>
    <x v="864"/>
    <n v="9.6"/>
  </r>
  <r>
    <s v="544-55-9589"/>
    <s v="B"/>
    <s v="Mandalay"/>
    <x v="0"/>
    <x v="0"/>
    <x v="1"/>
    <x v="831"/>
    <x v="4"/>
    <n v="10.715"/>
    <n v="225.01499999999999"/>
    <d v="2019-01-28T00:00:00"/>
    <d v="1899-12-30T11:51:00"/>
    <s v="Cash"/>
    <n v="214.3"/>
    <n v="4.7619047620000003"/>
    <x v="865"/>
    <n v="6.2"/>
  </r>
  <r>
    <s v="166-19-2553"/>
    <s v="A"/>
    <s v="Yangon"/>
    <x v="0"/>
    <x v="1"/>
    <x v="3"/>
    <x v="832"/>
    <x v="3"/>
    <n v="26.718"/>
    <n v="561.07799999999997"/>
    <d v="2019-01-18T00:00:00"/>
    <d v="1899-12-30T17:26:00"/>
    <s v="Cash"/>
    <n v="534.36"/>
    <n v="4.7619047620000003"/>
    <x v="866"/>
    <n v="9.9"/>
  </r>
  <r>
    <s v="737-88-5876"/>
    <s v="A"/>
    <s v="Yangon"/>
    <x v="0"/>
    <x v="1"/>
    <x v="2"/>
    <x v="833"/>
    <x v="7"/>
    <n v="4.6580000000000004"/>
    <n v="97.817999999999998"/>
    <d v="2019-03-19T00:00:00"/>
    <d v="1899-12-30T11:52:00"/>
    <s v="Credit card"/>
    <n v="93.16"/>
    <n v="4.7619047620000003"/>
    <x v="867"/>
    <n v="5.9"/>
  </r>
  <r>
    <s v="154-87-7367"/>
    <s v="C"/>
    <s v="Naypyidaw"/>
    <x v="1"/>
    <x v="1"/>
    <x v="2"/>
    <x v="834"/>
    <x v="2"/>
    <n v="26.103999999999999"/>
    <n v="548.18399999999997"/>
    <d v="2019-03-15T00:00:00"/>
    <d v="1899-12-30T14:04:00"/>
    <s v="Ewallet"/>
    <n v="522.08000000000004"/>
    <n v="4.7619047620000003"/>
    <x v="868"/>
    <n v="6.3"/>
  </r>
  <r>
    <s v="885-56-0389"/>
    <s v="C"/>
    <s v="Naypyidaw"/>
    <x v="0"/>
    <x v="1"/>
    <x v="5"/>
    <x v="835"/>
    <x v="8"/>
    <n v="2.6175000000000002"/>
    <n v="54.967500000000001"/>
    <d v="2019-02-12T00:00:00"/>
    <d v="1899-12-30T17:49:00"/>
    <s v="Cash"/>
    <n v="52.35"/>
    <n v="4.7619047620000003"/>
    <x v="869"/>
    <n v="4"/>
  </r>
  <r>
    <s v="608-05-3804"/>
    <s v="B"/>
    <s v="Mandalay"/>
    <x v="0"/>
    <x v="1"/>
    <x v="1"/>
    <x v="395"/>
    <x v="8"/>
    <n v="1.9875"/>
    <n v="41.737499999999997"/>
    <d v="2019-02-25T00:00:00"/>
    <d v="1899-12-30T20:19:00"/>
    <s v="Cash"/>
    <n v="39.75"/>
    <n v="4.7619047620000003"/>
    <x v="870"/>
    <n v="6.1"/>
  </r>
  <r>
    <s v="448-61-3783"/>
    <s v="A"/>
    <s v="Yangon"/>
    <x v="1"/>
    <x v="0"/>
    <x v="1"/>
    <x v="836"/>
    <x v="2"/>
    <n v="36.008000000000003"/>
    <n v="756.16800000000001"/>
    <d v="2019-03-21T00:00:00"/>
    <d v="1899-12-30T16:08:00"/>
    <s v="Credit card"/>
    <n v="720.16"/>
    <n v="4.7619047620000003"/>
    <x v="871"/>
    <n v="4.5"/>
  </r>
  <r>
    <s v="761-49-0439"/>
    <s v="B"/>
    <s v="Mandalay"/>
    <x v="0"/>
    <x v="0"/>
    <x v="1"/>
    <x v="837"/>
    <x v="2"/>
    <n v="4.84"/>
    <n v="101.64"/>
    <d v="2019-01-19T00:00:00"/>
    <d v="1899-12-30T10:17:00"/>
    <s v="Ewallet"/>
    <n v="96.8"/>
    <n v="4.7619047620000003"/>
    <x v="872"/>
    <n v="8.6"/>
  </r>
  <r>
    <s v="490-95-0021"/>
    <s v="B"/>
    <s v="Mandalay"/>
    <x v="0"/>
    <x v="0"/>
    <x v="4"/>
    <x v="838"/>
    <x v="4"/>
    <n v="16.605"/>
    <n v="348.70499999999998"/>
    <d v="2019-01-08T00:00:00"/>
    <d v="1899-12-30T14:25:00"/>
    <s v="Ewallet"/>
    <n v="332.1"/>
    <n v="4.7619047620000003"/>
    <x v="873"/>
    <n v="6"/>
  </r>
  <r>
    <s v="115-38-7388"/>
    <s v="C"/>
    <s v="Naypyidaw"/>
    <x v="0"/>
    <x v="0"/>
    <x v="5"/>
    <x v="839"/>
    <x v="2"/>
    <n v="4.0720000000000001"/>
    <n v="85.512"/>
    <d v="2019-03-30T00:00:00"/>
    <d v="1899-12-30T12:51:00"/>
    <s v="Credit card"/>
    <n v="81.44"/>
    <n v="4.7619047620000003"/>
    <x v="874"/>
    <n v="9.5"/>
  </r>
  <r>
    <s v="311-13-6971"/>
    <s v="B"/>
    <s v="Mandalay"/>
    <x v="0"/>
    <x v="1"/>
    <x v="3"/>
    <x v="840"/>
    <x v="4"/>
    <n v="15.994999999999999"/>
    <n v="335.89499999999998"/>
    <d v="2019-02-20T00:00:00"/>
    <d v="1899-12-30T15:18:00"/>
    <s v="Credit card"/>
    <n v="319.89999999999998"/>
    <n v="4.7619047620000003"/>
    <x v="875"/>
    <n v="9.9"/>
  </r>
  <r>
    <s v="291-55-6563"/>
    <s v="A"/>
    <s v="Yangon"/>
    <x v="0"/>
    <x v="0"/>
    <x v="2"/>
    <x v="136"/>
    <x v="3"/>
    <n v="10.326000000000001"/>
    <n v="216.846"/>
    <d v="2019-03-30T00:00:00"/>
    <d v="1899-12-30T12:45:00"/>
    <s v="Ewallet"/>
    <n v="206.52"/>
    <n v="4.7619047620000003"/>
    <x v="136"/>
    <n v="7.5"/>
  </r>
  <r>
    <s v="548-48-3156"/>
    <s v="A"/>
    <s v="Yangon"/>
    <x v="0"/>
    <x v="0"/>
    <x v="4"/>
    <x v="841"/>
    <x v="5"/>
    <n v="8.3339999999999996"/>
    <n v="175.01400000000001"/>
    <d v="2019-03-19T00:00:00"/>
    <d v="1899-12-30T13:37:00"/>
    <s v="Cash"/>
    <n v="166.68"/>
    <n v="4.7619047620000003"/>
    <x v="876"/>
    <n v="7.6"/>
  </r>
  <r>
    <s v="460-93-5834"/>
    <s v="A"/>
    <s v="Yangon"/>
    <x v="1"/>
    <x v="1"/>
    <x v="3"/>
    <x v="576"/>
    <x v="0"/>
    <n v="15.952999999999999"/>
    <n v="335.01299999999998"/>
    <d v="2019-01-13T00:00:00"/>
    <d v="1899-12-30T10:03:00"/>
    <s v="Cash"/>
    <n v="319.06"/>
    <n v="4.7619047620000003"/>
    <x v="877"/>
    <n v="5"/>
  </r>
  <r>
    <s v="325-89-4209"/>
    <s v="A"/>
    <s v="Yangon"/>
    <x v="0"/>
    <x v="1"/>
    <x v="4"/>
    <x v="842"/>
    <x v="8"/>
    <n v="4.3949999999999996"/>
    <n v="92.295000000000002"/>
    <d v="2019-02-05T00:00:00"/>
    <d v="1899-12-30T19:42:00"/>
    <s v="Ewallet"/>
    <n v="87.9"/>
    <n v="4.7619047620000003"/>
    <x v="878"/>
    <n v="6.7"/>
  </r>
  <r>
    <s v="884-80-6021"/>
    <s v="A"/>
    <s v="Yangon"/>
    <x v="0"/>
    <x v="0"/>
    <x v="1"/>
    <x v="655"/>
    <x v="4"/>
    <n v="36.734999999999999"/>
    <n v="771.43499999999995"/>
    <d v="2019-03-23T00:00:00"/>
    <d v="1899-12-30T13:14:00"/>
    <s v="Ewallet"/>
    <n v="734.7"/>
    <n v="4.7619047620000003"/>
    <x v="879"/>
    <n v="9.5"/>
  </r>
  <r>
    <s v="137-74-8729"/>
    <s v="C"/>
    <s v="Naypyidaw"/>
    <x v="1"/>
    <x v="0"/>
    <x v="5"/>
    <x v="843"/>
    <x v="2"/>
    <n v="4.8760000000000003"/>
    <n v="102.396"/>
    <d v="2019-03-13T00:00:00"/>
    <d v="1899-12-30T12:47:00"/>
    <s v="Ewallet"/>
    <n v="97.52"/>
    <n v="4.7619047620000003"/>
    <x v="880"/>
    <n v="6.8"/>
  </r>
  <r>
    <s v="880-46-5796"/>
    <s v="A"/>
    <s v="Yangon"/>
    <x v="0"/>
    <x v="1"/>
    <x v="3"/>
    <x v="844"/>
    <x v="4"/>
    <n v="38.46"/>
    <n v="807.66"/>
    <d v="2019-03-17T00:00:00"/>
    <d v="1899-12-30T19:53:00"/>
    <s v="Ewallet"/>
    <n v="769.2"/>
    <n v="4.7619047620000003"/>
    <x v="881"/>
    <n v="5.6"/>
  </r>
  <r>
    <s v="389-70-2397"/>
    <s v="C"/>
    <s v="Naypyidaw"/>
    <x v="1"/>
    <x v="0"/>
    <x v="0"/>
    <x v="845"/>
    <x v="1"/>
    <n v="20.914999999999999"/>
    <n v="439.21499999999997"/>
    <d v="2019-02-21T00:00:00"/>
    <d v="1899-12-30T10:26:00"/>
    <s v="Cash"/>
    <n v="418.3"/>
    <n v="4.7619047620000003"/>
    <x v="882"/>
    <n v="7.2"/>
  </r>
  <r>
    <s v="114-35-5271"/>
    <s v="B"/>
    <s v="Mandalay"/>
    <x v="1"/>
    <x v="0"/>
    <x v="1"/>
    <x v="846"/>
    <x v="2"/>
    <n v="23.164000000000001"/>
    <n v="486.44400000000002"/>
    <d v="2019-02-07T00:00:00"/>
    <d v="1899-12-30T15:06:00"/>
    <s v="Cash"/>
    <n v="463.28"/>
    <n v="4.7619047620000003"/>
    <x v="883"/>
    <n v="8.1"/>
  </r>
  <r>
    <s v="607-76-6216"/>
    <s v="C"/>
    <s v="Naypyidaw"/>
    <x v="0"/>
    <x v="0"/>
    <x v="5"/>
    <x v="847"/>
    <x v="1"/>
    <n v="23.122499999999999"/>
    <n v="485.57249999999999"/>
    <d v="2019-03-02T00:00:00"/>
    <d v="1899-12-30T16:35:00"/>
    <s v="Credit card"/>
    <n v="462.45"/>
    <n v="4.7619047620000003"/>
    <x v="884"/>
    <n v="8.6"/>
  </r>
  <r>
    <s v="715-20-1673"/>
    <s v="B"/>
    <s v="Mandalay"/>
    <x v="1"/>
    <x v="1"/>
    <x v="1"/>
    <x v="848"/>
    <x v="1"/>
    <n v="7.0949999999999998"/>
    <n v="148.995"/>
    <d v="2019-03-06T00:00:00"/>
    <d v="1899-12-30T20:57:00"/>
    <s v="Cash"/>
    <n v="141.9"/>
    <n v="4.7619047620000003"/>
    <x v="885"/>
    <n v="9.4"/>
  </r>
  <r>
    <s v="811-35-1094"/>
    <s v="B"/>
    <s v="Mandalay"/>
    <x v="0"/>
    <x v="1"/>
    <x v="1"/>
    <x v="849"/>
    <x v="3"/>
    <n v="15.135"/>
    <n v="317.83499999999998"/>
    <d v="2019-02-06T00:00:00"/>
    <d v="1899-12-30T15:16:00"/>
    <s v="Credit card"/>
    <n v="302.7"/>
    <n v="4.7619047620000003"/>
    <x v="886"/>
    <n v="8.9"/>
  </r>
  <r>
    <s v="699-88-1972"/>
    <s v="B"/>
    <s v="Mandalay"/>
    <x v="1"/>
    <x v="1"/>
    <x v="0"/>
    <x v="850"/>
    <x v="2"/>
    <n v="39.664000000000001"/>
    <n v="832.94399999999996"/>
    <d v="2019-01-28T00:00:00"/>
    <d v="1899-12-30T17:47:00"/>
    <s v="Credit card"/>
    <n v="793.28"/>
    <n v="4.7619047620000003"/>
    <x v="887"/>
    <n v="4.2"/>
  </r>
  <r>
    <s v="781-84-8059"/>
    <s v="C"/>
    <s v="Naypyidaw"/>
    <x v="1"/>
    <x v="1"/>
    <x v="5"/>
    <x v="851"/>
    <x v="0"/>
    <n v="21.259"/>
    <n v="446.43900000000002"/>
    <d v="2019-01-18T00:00:00"/>
    <d v="1899-12-30T16:23:00"/>
    <s v="Ewallet"/>
    <n v="425.18"/>
    <n v="4.7619047620000003"/>
    <x v="888"/>
    <n v="5"/>
  </r>
  <r>
    <s v="409-49-6995"/>
    <s v="C"/>
    <s v="Naypyidaw"/>
    <x v="0"/>
    <x v="0"/>
    <x v="4"/>
    <x v="852"/>
    <x v="3"/>
    <n v="14.180999999999999"/>
    <n v="297.80099999999999"/>
    <d v="2019-02-05T00:00:00"/>
    <d v="1899-12-30T10:17:00"/>
    <s v="Cash"/>
    <n v="283.62"/>
    <n v="4.7619047620000003"/>
    <x v="889"/>
    <n v="8.8000000000000007"/>
  </r>
  <r>
    <s v="725-54-0677"/>
    <s v="C"/>
    <s v="Naypyidaw"/>
    <x v="0"/>
    <x v="1"/>
    <x v="0"/>
    <x v="853"/>
    <x v="0"/>
    <n v="29.96"/>
    <n v="629.16"/>
    <d v="2019-03-02T00:00:00"/>
    <d v="1899-12-30T13:50:00"/>
    <s v="Cash"/>
    <n v="599.20000000000005"/>
    <n v="4.7619047620000003"/>
    <x v="890"/>
    <n v="5.3"/>
  </r>
  <r>
    <s v="146-09-5432"/>
    <s v="A"/>
    <s v="Yangon"/>
    <x v="0"/>
    <x v="1"/>
    <x v="4"/>
    <x v="854"/>
    <x v="9"/>
    <n v="15.768000000000001"/>
    <n v="331.12799999999999"/>
    <d v="2019-02-09T00:00:00"/>
    <d v="1899-12-30T19:17:00"/>
    <s v="Ewallet"/>
    <n v="315.36"/>
    <n v="4.7619047620000003"/>
    <x v="891"/>
    <n v="4.5999999999999996"/>
  </r>
  <r>
    <s v="377-79-7592"/>
    <s v="C"/>
    <s v="Naypyidaw"/>
    <x v="0"/>
    <x v="0"/>
    <x v="1"/>
    <x v="855"/>
    <x v="9"/>
    <n v="20.178000000000001"/>
    <n v="423.738"/>
    <d v="2019-01-14T00:00:00"/>
    <d v="1899-12-30T14:00:00"/>
    <s v="Credit card"/>
    <n v="403.56"/>
    <n v="4.7619047620000003"/>
    <x v="892"/>
    <n v="7.5"/>
  </r>
  <r>
    <s v="509-10-0516"/>
    <s v="B"/>
    <s v="Mandalay"/>
    <x v="1"/>
    <x v="1"/>
    <x v="2"/>
    <x v="856"/>
    <x v="7"/>
    <n v="9.1940000000000008"/>
    <n v="193.07400000000001"/>
    <d v="2019-02-09T00:00:00"/>
    <d v="1899-12-30T12:02:00"/>
    <s v="Ewallet"/>
    <n v="183.88"/>
    <n v="4.7619047620000003"/>
    <x v="893"/>
    <n v="5.0999999999999996"/>
  </r>
  <r>
    <s v="595-94-9924"/>
    <s v="A"/>
    <s v="Yangon"/>
    <x v="0"/>
    <x v="0"/>
    <x v="0"/>
    <x v="857"/>
    <x v="1"/>
    <n v="6.9325000000000001"/>
    <n v="145.58250000000001"/>
    <d v="2019-03-26T00:00:00"/>
    <d v="1899-12-30T20:21:00"/>
    <s v="Credit card"/>
    <n v="138.65"/>
    <n v="4.7619047620000003"/>
    <x v="894"/>
    <n v="4.2"/>
  </r>
  <r>
    <s v="865-41-9075"/>
    <s v="A"/>
    <s v="Yangon"/>
    <x v="1"/>
    <x v="1"/>
    <x v="4"/>
    <x v="858"/>
    <x v="0"/>
    <n v="4.0354999999999999"/>
    <n v="84.745500000000007"/>
    <d v="2019-01-28T00:00:00"/>
    <d v="1899-12-30T17:35:00"/>
    <s v="Cash"/>
    <n v="80.709999999999994"/>
    <n v="4.7619047620000003"/>
    <x v="895"/>
    <n v="8.1"/>
  </r>
  <r>
    <s v="545-07-8534"/>
    <s v="C"/>
    <s v="Naypyidaw"/>
    <x v="1"/>
    <x v="0"/>
    <x v="0"/>
    <x v="859"/>
    <x v="5"/>
    <n v="5.8319999999999999"/>
    <n v="122.47199999999999"/>
    <d v="2019-02-14T00:00:00"/>
    <d v="1899-12-30T12:42:00"/>
    <s v="Ewallet"/>
    <n v="116.64"/>
    <n v="4.7619047620000003"/>
    <x v="896"/>
    <n v="6"/>
  </r>
  <r>
    <s v="118-62-1812"/>
    <s v="C"/>
    <s v="Naypyidaw"/>
    <x v="0"/>
    <x v="0"/>
    <x v="2"/>
    <x v="292"/>
    <x v="7"/>
    <n v="15.676"/>
    <n v="329.19600000000003"/>
    <d v="2019-03-24T00:00:00"/>
    <d v="1899-12-30T17:56:00"/>
    <s v="Cash"/>
    <n v="313.52"/>
    <n v="4.7619047620000003"/>
    <x v="897"/>
    <n v="7.9"/>
  </r>
  <r>
    <s v="450-42-3339"/>
    <s v="C"/>
    <s v="Naypyidaw"/>
    <x v="1"/>
    <x v="1"/>
    <x v="0"/>
    <x v="860"/>
    <x v="4"/>
    <n v="42.305"/>
    <n v="888.40499999999997"/>
    <d v="2019-02-09T00:00:00"/>
    <d v="1899-12-30T18:58:00"/>
    <s v="Credit card"/>
    <n v="846.1"/>
    <n v="4.7619047620000003"/>
    <x v="898"/>
    <n v="8.8000000000000007"/>
  </r>
  <r>
    <s v="851-98-3555"/>
    <s v="B"/>
    <s v="Mandalay"/>
    <x v="1"/>
    <x v="0"/>
    <x v="0"/>
    <x v="861"/>
    <x v="1"/>
    <n v="20.72"/>
    <n v="435.12"/>
    <d v="2019-03-24T00:00:00"/>
    <d v="1899-12-30T14:08:00"/>
    <s v="Credit card"/>
    <n v="414.4"/>
    <n v="4.7619047620000003"/>
    <x v="899"/>
    <n v="6.6"/>
  </r>
  <r>
    <s v="186-71-5196"/>
    <s v="A"/>
    <s v="Yangon"/>
    <x v="0"/>
    <x v="0"/>
    <x v="4"/>
    <x v="862"/>
    <x v="5"/>
    <n v="7.9539999999999997"/>
    <n v="167.03399999999999"/>
    <d v="2019-03-27T00:00:00"/>
    <d v="1899-12-30T16:30:00"/>
    <s v="Ewallet"/>
    <n v="159.08000000000001"/>
    <n v="4.7619047620000003"/>
    <x v="900"/>
    <n v="6.2"/>
  </r>
  <r>
    <s v="624-01-8356"/>
    <s v="B"/>
    <s v="Mandalay"/>
    <x v="1"/>
    <x v="0"/>
    <x v="2"/>
    <x v="863"/>
    <x v="4"/>
    <n v="24.504999999999999"/>
    <n v="514.60500000000002"/>
    <d v="2019-01-27T00:00:00"/>
    <d v="1899-12-30T10:44:00"/>
    <s v="Credit card"/>
    <n v="490.1"/>
    <n v="4.7619047620000003"/>
    <x v="901"/>
    <n v="4.2"/>
  </r>
  <r>
    <s v="313-66-9943"/>
    <s v="B"/>
    <s v="Mandalay"/>
    <x v="0"/>
    <x v="0"/>
    <x v="4"/>
    <x v="864"/>
    <x v="6"/>
    <n v="4.3724999999999996"/>
    <n v="91.822500000000005"/>
    <d v="2019-03-27T00:00:00"/>
    <d v="1899-12-30T20:29:00"/>
    <s v="Credit card"/>
    <n v="87.45"/>
    <n v="4.7619047620000003"/>
    <x v="902"/>
    <n v="7.3"/>
  </r>
  <r>
    <s v="151-27-8496"/>
    <s v="C"/>
    <s v="Naypyidaw"/>
    <x v="1"/>
    <x v="0"/>
    <x v="1"/>
    <x v="865"/>
    <x v="7"/>
    <n v="11.226000000000001"/>
    <n v="235.74600000000001"/>
    <d v="2019-01-19T00:00:00"/>
    <d v="1899-12-30T11:43:00"/>
    <s v="Ewallet"/>
    <n v="224.52"/>
    <n v="4.7619047620000003"/>
    <x v="903"/>
    <n v="8.6"/>
  </r>
  <r>
    <s v="453-33-6436"/>
    <s v="A"/>
    <s v="Yangon"/>
    <x v="1"/>
    <x v="0"/>
    <x v="2"/>
    <x v="866"/>
    <x v="2"/>
    <n v="37.247999999999998"/>
    <n v="782.20799999999997"/>
    <d v="2019-02-07T00:00:00"/>
    <d v="1899-12-30T10:09:00"/>
    <s v="Cash"/>
    <n v="744.96"/>
    <n v="4.7619047620000003"/>
    <x v="904"/>
    <n v="6.8"/>
  </r>
  <r>
    <s v="522-57-8364"/>
    <s v="A"/>
    <s v="Yangon"/>
    <x v="0"/>
    <x v="1"/>
    <x v="5"/>
    <x v="455"/>
    <x v="2"/>
    <n v="20.536000000000001"/>
    <n v="431.25599999999997"/>
    <d v="2019-01-31T00:00:00"/>
    <d v="1899-12-30T10:00:00"/>
    <s v="Ewallet"/>
    <n v="410.72"/>
    <n v="4.7619047620000003"/>
    <x v="905"/>
    <n v="7.6"/>
  </r>
  <r>
    <s v="459-45-2396"/>
    <s v="A"/>
    <s v="Yangon"/>
    <x v="0"/>
    <x v="0"/>
    <x v="4"/>
    <x v="867"/>
    <x v="6"/>
    <n v="14.94"/>
    <n v="313.74"/>
    <d v="2019-02-25T00:00:00"/>
    <d v="1899-12-30T18:45:00"/>
    <s v="Cash"/>
    <n v="298.8"/>
    <n v="4.7619047620000003"/>
    <x v="906"/>
    <n v="5.8"/>
  </r>
  <r>
    <s v="717-96-4189"/>
    <s v="C"/>
    <s v="Naypyidaw"/>
    <x v="1"/>
    <x v="0"/>
    <x v="1"/>
    <x v="868"/>
    <x v="3"/>
    <n v="10.647"/>
    <n v="223.58699999999999"/>
    <d v="2019-02-02T00:00:00"/>
    <d v="1899-12-30T12:40:00"/>
    <s v="Cash"/>
    <n v="212.94"/>
    <n v="4.7619047620000003"/>
    <x v="907"/>
    <n v="4.0999999999999996"/>
  </r>
  <r>
    <s v="722-13-2115"/>
    <s v="C"/>
    <s v="Naypyidaw"/>
    <x v="0"/>
    <x v="1"/>
    <x v="3"/>
    <x v="869"/>
    <x v="8"/>
    <n v="2.1425000000000001"/>
    <n v="44.9925"/>
    <d v="2019-03-14T00:00:00"/>
    <d v="1899-12-30T15:36:00"/>
    <s v="Credit card"/>
    <n v="42.85"/>
    <n v="4.7619047620000003"/>
    <x v="908"/>
    <n v="9.3000000000000007"/>
  </r>
  <r>
    <s v="749-81-8133"/>
    <s v="A"/>
    <s v="Yangon"/>
    <x v="1"/>
    <x v="0"/>
    <x v="5"/>
    <x v="870"/>
    <x v="7"/>
    <n v="18.934000000000001"/>
    <n v="397.61399999999998"/>
    <d v="2019-03-11T00:00:00"/>
    <d v="1899-12-30T12:04:00"/>
    <s v="Cash"/>
    <n v="378.68"/>
    <n v="4.7619047620000003"/>
    <x v="909"/>
    <n v="6.8"/>
  </r>
  <r>
    <s v="777-67-2495"/>
    <s v="B"/>
    <s v="Mandalay"/>
    <x v="1"/>
    <x v="1"/>
    <x v="2"/>
    <x v="871"/>
    <x v="6"/>
    <n v="10.345499999999999"/>
    <n v="217.25550000000001"/>
    <d v="2019-02-22T00:00:00"/>
    <d v="1899-12-30T11:26:00"/>
    <s v="Ewallet"/>
    <n v="206.91"/>
    <n v="4.7619047620000003"/>
    <x v="910"/>
    <n v="8.6999999999999993"/>
  </r>
  <r>
    <s v="636-98-3364"/>
    <s v="B"/>
    <s v="Mandalay"/>
    <x v="0"/>
    <x v="0"/>
    <x v="1"/>
    <x v="362"/>
    <x v="6"/>
    <n v="3.9390000000000001"/>
    <n v="82.718999999999994"/>
    <d v="2019-03-02T00:00:00"/>
    <d v="1899-12-30T12:36:00"/>
    <s v="Ewallet"/>
    <n v="78.78"/>
    <n v="4.7619047620000003"/>
    <x v="911"/>
    <n v="6.3"/>
  </r>
  <r>
    <s v="246-55-6923"/>
    <s v="C"/>
    <s v="Naypyidaw"/>
    <x v="0"/>
    <x v="0"/>
    <x v="2"/>
    <x v="872"/>
    <x v="9"/>
    <n v="16.105499999999999"/>
    <n v="338.21550000000002"/>
    <d v="2019-03-10T00:00:00"/>
    <d v="1899-12-30T15:06:00"/>
    <s v="Credit card"/>
    <n v="322.11"/>
    <n v="4.7619047620000003"/>
    <x v="912"/>
    <n v="5.0999999999999996"/>
  </r>
  <r>
    <s v="181-82-6255"/>
    <s v="B"/>
    <s v="Mandalay"/>
    <x v="1"/>
    <x v="0"/>
    <x v="2"/>
    <x v="873"/>
    <x v="3"/>
    <n v="4.9109999999999996"/>
    <n v="103.131"/>
    <d v="2019-02-08T00:00:00"/>
    <d v="1899-12-30T10:58:00"/>
    <s v="Cash"/>
    <n v="98.22"/>
    <n v="4.7619047620000003"/>
    <x v="913"/>
    <n v="7"/>
  </r>
  <r>
    <s v="838-02-1821"/>
    <s v="C"/>
    <s v="Naypyidaw"/>
    <x v="0"/>
    <x v="0"/>
    <x v="2"/>
    <x v="874"/>
    <x v="5"/>
    <n v="1.2729999999999999"/>
    <n v="26.733000000000001"/>
    <d v="2019-02-22T00:00:00"/>
    <d v="1899-12-30T12:10:00"/>
    <s v="Credit card"/>
    <n v="25.46"/>
    <n v="4.7619047620000003"/>
    <x v="914"/>
    <n v="5.2"/>
  </r>
  <r>
    <s v="887-42-0517"/>
    <s v="C"/>
    <s v="Naypyidaw"/>
    <x v="1"/>
    <x v="0"/>
    <x v="3"/>
    <x v="875"/>
    <x v="0"/>
    <n v="29.099"/>
    <n v="611.07899999999995"/>
    <d v="2019-01-10T00:00:00"/>
    <d v="1899-12-30T10:31:00"/>
    <s v="Credit card"/>
    <n v="581.98"/>
    <n v="4.7619047620000003"/>
    <x v="915"/>
    <n v="6.6"/>
  </r>
  <r>
    <s v="457-12-0244"/>
    <s v="C"/>
    <s v="Naypyidaw"/>
    <x v="0"/>
    <x v="0"/>
    <x v="3"/>
    <x v="876"/>
    <x v="3"/>
    <n v="10.566000000000001"/>
    <n v="221.886"/>
    <d v="2019-03-14T00:00:00"/>
    <d v="1899-12-30T13:49:00"/>
    <s v="Ewallet"/>
    <n v="211.32"/>
    <n v="4.7619047620000003"/>
    <x v="916"/>
    <n v="6.5"/>
  </r>
  <r>
    <s v="226-34-0034"/>
    <s v="B"/>
    <s v="Mandalay"/>
    <x v="1"/>
    <x v="0"/>
    <x v="1"/>
    <x v="877"/>
    <x v="7"/>
    <n v="2.7559999999999998"/>
    <n v="57.875999999999998"/>
    <d v="2019-01-10T00:00:00"/>
    <d v="1899-12-30T11:10:00"/>
    <s v="Ewallet"/>
    <n v="55.12"/>
    <n v="4.7619047620000003"/>
    <x v="917"/>
    <n v="9"/>
  </r>
  <r>
    <s v="321-49-7382"/>
    <s v="B"/>
    <s v="Mandalay"/>
    <x v="0"/>
    <x v="1"/>
    <x v="3"/>
    <x v="878"/>
    <x v="8"/>
    <n v="4.4154999999999998"/>
    <n v="92.725499999999997"/>
    <d v="2019-02-15T00:00:00"/>
    <d v="1899-12-30T17:38:00"/>
    <s v="Credit card"/>
    <n v="88.31"/>
    <n v="4.7619047620000003"/>
    <x v="918"/>
    <n v="5.2"/>
  </r>
  <r>
    <s v="397-25-8725"/>
    <s v="A"/>
    <s v="Yangon"/>
    <x v="0"/>
    <x v="0"/>
    <x v="0"/>
    <x v="129"/>
    <x v="9"/>
    <n v="17.829000000000001"/>
    <n v="374.40899999999999"/>
    <d v="2019-01-13T00:00:00"/>
    <d v="1899-12-30T17:54:00"/>
    <s v="Credit card"/>
    <n v="356.58"/>
    <n v="4.7619047620000003"/>
    <x v="919"/>
    <n v="6.8"/>
  </r>
  <r>
    <s v="431-66-2305"/>
    <s v="B"/>
    <s v="Mandalay"/>
    <x v="1"/>
    <x v="0"/>
    <x v="1"/>
    <x v="879"/>
    <x v="9"/>
    <n v="39.712499999999999"/>
    <n v="833.96249999999998"/>
    <d v="2019-02-15T00:00:00"/>
    <d v="1899-12-30T20:51:00"/>
    <s v="Credit card"/>
    <n v="794.25"/>
    <n v="4.7619047620000003"/>
    <x v="920"/>
    <n v="7.6"/>
  </r>
  <r>
    <s v="825-94-5922"/>
    <s v="B"/>
    <s v="Mandalay"/>
    <x v="1"/>
    <x v="1"/>
    <x v="3"/>
    <x v="880"/>
    <x v="5"/>
    <n v="2.5310000000000001"/>
    <n v="53.151000000000003"/>
    <d v="2019-03-02T00:00:00"/>
    <d v="1899-12-30T19:26:00"/>
    <s v="Ewallet"/>
    <n v="50.62"/>
    <n v="4.7619047620000003"/>
    <x v="921"/>
    <n v="7.2"/>
  </r>
  <r>
    <s v="641-62-7288"/>
    <s v="B"/>
    <s v="Mandalay"/>
    <x v="1"/>
    <x v="1"/>
    <x v="2"/>
    <x v="881"/>
    <x v="3"/>
    <n v="29.975999999999999"/>
    <n v="629.49599999999998"/>
    <d v="2019-03-24T00:00:00"/>
    <d v="1899-12-30T13:33:00"/>
    <s v="Ewallet"/>
    <n v="599.52"/>
    <n v="4.7619047620000003"/>
    <x v="922"/>
    <n v="7.1"/>
  </r>
  <r>
    <s v="756-93-1854"/>
    <s v="C"/>
    <s v="Naypyidaw"/>
    <x v="0"/>
    <x v="0"/>
    <x v="5"/>
    <x v="882"/>
    <x v="5"/>
    <n v="8.3350000000000009"/>
    <n v="175.035"/>
    <d v="2019-02-02T00:00:00"/>
    <d v="1899-12-30T14:05:00"/>
    <s v="Credit card"/>
    <n v="166.7"/>
    <n v="4.7619047620000003"/>
    <x v="923"/>
    <n v="9.5"/>
  </r>
  <r>
    <s v="243-55-8457"/>
    <s v="A"/>
    <s v="Yangon"/>
    <x v="1"/>
    <x v="0"/>
    <x v="4"/>
    <x v="883"/>
    <x v="4"/>
    <n v="37.22"/>
    <n v="781.62"/>
    <d v="2019-02-27T00:00:00"/>
    <d v="1899-12-30T11:40:00"/>
    <s v="Ewallet"/>
    <n v="744.4"/>
    <n v="4.7619047620000003"/>
    <x v="924"/>
    <n v="5.0999999999999996"/>
  </r>
  <r>
    <s v="458-10-8612"/>
    <s v="C"/>
    <s v="Naypyidaw"/>
    <x v="1"/>
    <x v="1"/>
    <x v="0"/>
    <x v="654"/>
    <x v="0"/>
    <n v="22.428000000000001"/>
    <n v="470.988"/>
    <d v="2019-01-20T00:00:00"/>
    <d v="1899-12-30T12:27:00"/>
    <s v="Ewallet"/>
    <n v="448.56"/>
    <n v="4.7619047620000003"/>
    <x v="671"/>
    <n v="7.6"/>
  </r>
  <r>
    <s v="501-61-1753"/>
    <s v="B"/>
    <s v="Mandalay"/>
    <x v="1"/>
    <x v="0"/>
    <x v="2"/>
    <x v="884"/>
    <x v="3"/>
    <n v="18.945"/>
    <n v="397.84500000000003"/>
    <d v="2019-01-03T00:00:00"/>
    <d v="1899-12-30T20:24:00"/>
    <s v="Ewallet"/>
    <n v="378.9"/>
    <n v="4.7619047620000003"/>
    <x v="925"/>
    <n v="9.8000000000000007"/>
  </r>
  <r>
    <s v="235-06-8510"/>
    <s v="C"/>
    <s v="Naypyidaw"/>
    <x v="0"/>
    <x v="1"/>
    <x v="2"/>
    <x v="885"/>
    <x v="6"/>
    <n v="12.858000000000001"/>
    <n v="270.01799999999997"/>
    <d v="2019-01-24T00:00:00"/>
    <d v="1899-12-30T20:59:00"/>
    <s v="Ewallet"/>
    <n v="257.16000000000003"/>
    <n v="4.7619047620000003"/>
    <x v="926"/>
    <n v="5.0999999999999996"/>
  </r>
  <r>
    <s v="433-08-7822"/>
    <s v="C"/>
    <s v="Naypyidaw"/>
    <x v="1"/>
    <x v="0"/>
    <x v="0"/>
    <x v="886"/>
    <x v="0"/>
    <n v="27.611499999999999"/>
    <n v="579.8415"/>
    <d v="2019-01-05T00:00:00"/>
    <d v="1899-12-30T19:48:00"/>
    <s v="Ewallet"/>
    <n v="552.23"/>
    <n v="4.7619047620000003"/>
    <x v="927"/>
    <n v="7.5"/>
  </r>
  <r>
    <s v="361-85-2571"/>
    <s v="A"/>
    <s v="Yangon"/>
    <x v="1"/>
    <x v="0"/>
    <x v="3"/>
    <x v="70"/>
    <x v="1"/>
    <n v="22.37"/>
    <n v="469.77"/>
    <d v="2019-03-30T00:00:00"/>
    <d v="1899-12-30T10:18:00"/>
    <s v="Cash"/>
    <n v="447.4"/>
    <n v="4.7619047620000003"/>
    <x v="928"/>
    <n v="7.4"/>
  </r>
  <r>
    <s v="131-70-8179"/>
    <s v="A"/>
    <s v="Yangon"/>
    <x v="0"/>
    <x v="0"/>
    <x v="0"/>
    <x v="887"/>
    <x v="6"/>
    <n v="13.813499999999999"/>
    <n v="290.08350000000002"/>
    <d v="2019-02-17T00:00:00"/>
    <d v="1899-12-30T16:27:00"/>
    <s v="Cash"/>
    <n v="276.27"/>
    <n v="4.7619047620000003"/>
    <x v="929"/>
    <n v="4.2"/>
  </r>
  <r>
    <s v="500-02-2261"/>
    <s v="C"/>
    <s v="Naypyidaw"/>
    <x v="1"/>
    <x v="0"/>
    <x v="4"/>
    <x v="888"/>
    <x v="3"/>
    <n v="17.187000000000001"/>
    <n v="360.92700000000002"/>
    <d v="2019-03-21T00:00:00"/>
    <d v="1899-12-30T17:04:00"/>
    <s v="Ewallet"/>
    <n v="343.74"/>
    <n v="4.7619047620000003"/>
    <x v="930"/>
    <n v="5.9"/>
  </r>
  <r>
    <s v="720-72-2436"/>
    <s v="A"/>
    <s v="Yangon"/>
    <x v="1"/>
    <x v="1"/>
    <x v="4"/>
    <x v="889"/>
    <x v="7"/>
    <n v="13.304"/>
    <n v="279.38400000000001"/>
    <d v="2019-03-02T00:00:00"/>
    <d v="1899-12-30T18:14:00"/>
    <s v="Ewallet"/>
    <n v="266.08"/>
    <n v="4.7619047620000003"/>
    <x v="931"/>
    <n v="6.9"/>
  </r>
  <r>
    <s v="702-83-5291"/>
    <s v="C"/>
    <s v="Naypyidaw"/>
    <x v="0"/>
    <x v="1"/>
    <x v="5"/>
    <x v="295"/>
    <x v="9"/>
    <n v="44.918999999999997"/>
    <n v="943.29899999999998"/>
    <d v="2019-03-27T00:00:00"/>
    <d v="1899-12-30T10:43:00"/>
    <s v="Cash"/>
    <n v="898.38"/>
    <n v="4.7619047620000003"/>
    <x v="932"/>
    <n v="6.6"/>
  </r>
  <r>
    <s v="809-69-9497"/>
    <s v="A"/>
    <s v="Yangon"/>
    <x v="1"/>
    <x v="0"/>
    <x v="2"/>
    <x v="890"/>
    <x v="4"/>
    <n v="22.84"/>
    <n v="479.64"/>
    <d v="2019-01-19T00:00:00"/>
    <d v="1899-12-30T19:30:00"/>
    <s v="Ewallet"/>
    <n v="456.8"/>
    <n v="4.7619047620000003"/>
    <x v="933"/>
    <n v="5.7"/>
  </r>
  <r>
    <s v="449-16-6770"/>
    <s v="A"/>
    <s v="Yangon"/>
    <x v="1"/>
    <x v="1"/>
    <x v="0"/>
    <x v="891"/>
    <x v="1"/>
    <n v="12.6975"/>
    <n v="266.64749999999998"/>
    <d v="2019-02-19T00:00:00"/>
    <d v="1899-12-30T14:53:00"/>
    <s v="Credit card"/>
    <n v="253.95"/>
    <n v="4.7619047620000003"/>
    <x v="934"/>
    <n v="5.3"/>
  </r>
  <r>
    <s v="333-23-2632"/>
    <s v="A"/>
    <s v="Yangon"/>
    <x v="0"/>
    <x v="1"/>
    <x v="0"/>
    <x v="892"/>
    <x v="0"/>
    <n v="3.528"/>
    <n v="74.087999999999994"/>
    <d v="2019-03-28T00:00:00"/>
    <d v="1899-12-30T20:14:00"/>
    <s v="Cash"/>
    <n v="70.56"/>
    <n v="4.7619047620000003"/>
    <x v="935"/>
    <n v="4.2"/>
  </r>
  <r>
    <s v="489-82-1237"/>
    <s v="A"/>
    <s v="Yangon"/>
    <x v="1"/>
    <x v="0"/>
    <x v="1"/>
    <x v="893"/>
    <x v="0"/>
    <n v="32.857999999999997"/>
    <n v="690.01800000000003"/>
    <d v="2019-01-05T00:00:00"/>
    <d v="1899-12-30T11:51:00"/>
    <s v="Credit card"/>
    <n v="657.16"/>
    <n v="4.7619047620000003"/>
    <x v="936"/>
    <n v="7.3"/>
  </r>
  <r>
    <s v="859-97-6048"/>
    <s v="C"/>
    <s v="Naypyidaw"/>
    <x v="0"/>
    <x v="1"/>
    <x v="1"/>
    <x v="894"/>
    <x v="5"/>
    <n v="8.4250000000000007"/>
    <n v="176.92500000000001"/>
    <d v="2019-03-26T00:00:00"/>
    <d v="1899-12-30T14:13:00"/>
    <s v="Credit card"/>
    <n v="168.5"/>
    <n v="4.7619047620000003"/>
    <x v="937"/>
    <n v="5.3"/>
  </r>
  <r>
    <s v="676-10-2200"/>
    <s v="B"/>
    <s v="Mandalay"/>
    <x v="0"/>
    <x v="1"/>
    <x v="5"/>
    <x v="895"/>
    <x v="8"/>
    <n v="2.6890000000000001"/>
    <n v="56.469000000000001"/>
    <d v="2019-02-03T00:00:00"/>
    <d v="1899-12-30T20:13:00"/>
    <s v="Ewallet"/>
    <n v="53.78"/>
    <n v="4.7619047620000003"/>
    <x v="938"/>
    <n v="4.7"/>
  </r>
  <r>
    <s v="373-88-1424"/>
    <s v="C"/>
    <s v="Naypyidaw"/>
    <x v="0"/>
    <x v="1"/>
    <x v="2"/>
    <x v="896"/>
    <x v="1"/>
    <n v="8.9525000000000006"/>
    <n v="188.0025"/>
    <d v="2019-02-06T00:00:00"/>
    <d v="1899-12-30T18:44:00"/>
    <s v="Ewallet"/>
    <n v="179.05"/>
    <n v="4.7619047620000003"/>
    <x v="939"/>
    <n v="7.9"/>
  </r>
  <r>
    <s v="365-16-4334"/>
    <s v="B"/>
    <s v="Mandalay"/>
    <x v="1"/>
    <x v="0"/>
    <x v="4"/>
    <x v="897"/>
    <x v="2"/>
    <n v="10.571999999999999"/>
    <n v="222.012"/>
    <d v="2019-02-24T00:00:00"/>
    <d v="1899-12-30T14:26:00"/>
    <s v="Ewallet"/>
    <n v="211.44"/>
    <n v="4.7619047620000003"/>
    <x v="940"/>
    <n v="8.9"/>
  </r>
  <r>
    <s v="503-21-4385"/>
    <s v="B"/>
    <s v="Mandalay"/>
    <x v="0"/>
    <x v="1"/>
    <x v="0"/>
    <x v="898"/>
    <x v="6"/>
    <n v="5.9865000000000004"/>
    <n v="125.7165"/>
    <d v="2019-02-21T00:00:00"/>
    <d v="1899-12-30T12:40:00"/>
    <s v="Ewallet"/>
    <n v="119.73"/>
    <n v="4.7619047620000003"/>
    <x v="941"/>
    <n v="9.3000000000000007"/>
  </r>
  <r>
    <s v="305-89-2768"/>
    <s v="B"/>
    <s v="Mandalay"/>
    <x v="0"/>
    <x v="0"/>
    <x v="2"/>
    <x v="899"/>
    <x v="6"/>
    <n v="3.2850000000000001"/>
    <n v="68.984999999999999"/>
    <d v="2019-01-09T00:00:00"/>
    <d v="1899-12-30T18:43:00"/>
    <s v="Ewallet"/>
    <n v="65.7"/>
    <n v="4.7619047620000003"/>
    <x v="942"/>
    <n v="4.7"/>
  </r>
  <r>
    <s v="574-80-1489"/>
    <s v="B"/>
    <s v="Mandalay"/>
    <x v="0"/>
    <x v="0"/>
    <x v="4"/>
    <x v="900"/>
    <x v="7"/>
    <n v="12.57"/>
    <n v="263.97000000000003"/>
    <d v="2019-02-25T00:00:00"/>
    <d v="1899-12-30T13:22:00"/>
    <s v="Ewallet"/>
    <n v="251.4"/>
    <n v="4.7619047620000003"/>
    <x v="156"/>
    <n v="8.6999999999999993"/>
  </r>
  <r>
    <s v="784-08-0310"/>
    <s v="C"/>
    <s v="Naypyidaw"/>
    <x v="0"/>
    <x v="0"/>
    <x v="4"/>
    <x v="901"/>
    <x v="7"/>
    <n v="4.2080000000000002"/>
    <n v="88.367999999999995"/>
    <d v="2019-01-13T00:00:00"/>
    <d v="1899-12-30T13:58:00"/>
    <s v="Cash"/>
    <n v="84.16"/>
    <n v="4.7619047620000003"/>
    <x v="943"/>
    <n v="7.6"/>
  </r>
  <r>
    <s v="200-40-6154"/>
    <s v="B"/>
    <s v="Mandalay"/>
    <x v="0"/>
    <x v="1"/>
    <x v="2"/>
    <x v="902"/>
    <x v="3"/>
    <n v="19.773"/>
    <n v="415.233"/>
    <d v="2019-02-09T00:00:00"/>
    <d v="1899-12-30T11:45:00"/>
    <s v="Cash"/>
    <n v="395.46"/>
    <n v="4.7619047620000003"/>
    <x v="944"/>
    <n v="5.7"/>
  </r>
  <r>
    <s v="846-10-0341"/>
    <s v="A"/>
    <s v="Yangon"/>
    <x v="1"/>
    <x v="0"/>
    <x v="5"/>
    <x v="163"/>
    <x v="0"/>
    <n v="14.8995"/>
    <n v="312.8895"/>
    <d v="2019-01-06T00:00:00"/>
    <d v="1899-12-30T11:51:00"/>
    <s v="Cash"/>
    <n v="297.99"/>
    <n v="4.7619047620000003"/>
    <x v="945"/>
    <n v="6.8"/>
  </r>
  <r>
    <s v="577-34-7579"/>
    <s v="C"/>
    <s v="Naypyidaw"/>
    <x v="0"/>
    <x v="1"/>
    <x v="4"/>
    <x v="903"/>
    <x v="9"/>
    <n v="22.720500000000001"/>
    <n v="477.13049999999998"/>
    <d v="2019-01-10T00:00:00"/>
    <d v="1899-12-30T17:16:00"/>
    <s v="Cash"/>
    <n v="454.41"/>
    <n v="4.7619047620000003"/>
    <x v="946"/>
    <n v="5.4"/>
  </r>
  <r>
    <s v="430-02-3888"/>
    <s v="B"/>
    <s v="Mandalay"/>
    <x v="1"/>
    <x v="1"/>
    <x v="1"/>
    <x v="904"/>
    <x v="3"/>
    <n v="13.805999999999999"/>
    <n v="289.92599999999999"/>
    <d v="2019-02-07T00:00:00"/>
    <d v="1899-12-30T15:55:00"/>
    <s v="Cash"/>
    <n v="276.12"/>
    <n v="4.7619047620000003"/>
    <x v="947"/>
    <n v="7.1"/>
  </r>
  <r>
    <s v="867-47-1948"/>
    <s v="C"/>
    <s v="Naypyidaw"/>
    <x v="1"/>
    <x v="0"/>
    <x v="2"/>
    <x v="905"/>
    <x v="4"/>
    <n v="7.9"/>
    <n v="165.9"/>
    <d v="2019-01-09T00:00:00"/>
    <d v="1899-12-30T12:07:00"/>
    <s v="Cash"/>
    <n v="158"/>
    <n v="4.7619047620000003"/>
    <x v="948"/>
    <n v="7.8"/>
  </r>
  <r>
    <s v="384-59-6655"/>
    <s v="A"/>
    <s v="Yangon"/>
    <x v="0"/>
    <x v="0"/>
    <x v="4"/>
    <x v="906"/>
    <x v="9"/>
    <n v="44.396999999999998"/>
    <n v="932.33699999999999"/>
    <d v="2019-02-19T00:00:00"/>
    <d v="1899-12-30T15:07:00"/>
    <s v="Cash"/>
    <n v="887.94"/>
    <n v="4.7619047620000003"/>
    <x v="949"/>
    <n v="8.4"/>
  </r>
  <r>
    <s v="256-58-3609"/>
    <s v="C"/>
    <s v="Naypyidaw"/>
    <x v="0"/>
    <x v="1"/>
    <x v="5"/>
    <x v="907"/>
    <x v="8"/>
    <n v="4.5990000000000002"/>
    <n v="96.578999999999994"/>
    <d v="2019-03-18T00:00:00"/>
    <d v="1899-12-30T15:29:00"/>
    <s v="Cash"/>
    <n v="91.98"/>
    <n v="4.7619047620000003"/>
    <x v="950"/>
    <n v="9.8000000000000007"/>
  </r>
  <r>
    <s v="324-92-3863"/>
    <s v="A"/>
    <s v="Yangon"/>
    <x v="0"/>
    <x v="1"/>
    <x v="1"/>
    <x v="908"/>
    <x v="5"/>
    <n v="2.089"/>
    <n v="43.869"/>
    <d v="2019-02-05T00:00:00"/>
    <d v="1899-12-30T18:45:00"/>
    <s v="Cash"/>
    <n v="41.78"/>
    <n v="4.7619047620000003"/>
    <x v="951"/>
    <n v="9.8000000000000007"/>
  </r>
  <r>
    <s v="593-08-5916"/>
    <s v="A"/>
    <s v="Yangon"/>
    <x v="1"/>
    <x v="0"/>
    <x v="5"/>
    <x v="180"/>
    <x v="8"/>
    <n v="0.77500000000000002"/>
    <n v="16.274999999999999"/>
    <d v="2019-03-19T00:00:00"/>
    <d v="1899-12-30T15:23:00"/>
    <s v="Credit card"/>
    <n v="15.5"/>
    <n v="4.7619047620000003"/>
    <x v="952"/>
    <n v="7.4"/>
  </r>
  <r>
    <s v="364-34-2972"/>
    <s v="C"/>
    <s v="Naypyidaw"/>
    <x v="0"/>
    <x v="1"/>
    <x v="1"/>
    <x v="909"/>
    <x v="6"/>
    <n v="14.523"/>
    <n v="304.983"/>
    <d v="2019-03-30T00:00:00"/>
    <d v="1899-12-30T20:37:00"/>
    <s v="Cash"/>
    <n v="290.45999999999998"/>
    <n v="4.7619047620000003"/>
    <x v="953"/>
    <n v="6.7"/>
  </r>
  <r>
    <s v="794-42-3736"/>
    <s v="B"/>
    <s v="Mandalay"/>
    <x v="1"/>
    <x v="1"/>
    <x v="4"/>
    <x v="910"/>
    <x v="5"/>
    <n v="3.3330000000000002"/>
    <n v="69.992999999999995"/>
    <d v="2019-01-26T00:00:00"/>
    <d v="1899-12-30T14:41:00"/>
    <s v="Credit card"/>
    <n v="66.66"/>
    <n v="4.7619047620000003"/>
    <x v="954"/>
    <n v="6.4"/>
  </r>
  <r>
    <s v="172-42-8274"/>
    <s v="B"/>
    <s v="Mandalay"/>
    <x v="1"/>
    <x v="0"/>
    <x v="1"/>
    <x v="911"/>
    <x v="5"/>
    <n v="3.827"/>
    <n v="80.367000000000004"/>
    <d v="2019-03-02T00:00:00"/>
    <d v="1899-12-30T18:18:00"/>
    <s v="Credit card"/>
    <n v="76.540000000000006"/>
    <n v="4.7619047620000003"/>
    <x v="955"/>
    <n v="5.8"/>
  </r>
  <r>
    <s v="558-60-5016"/>
    <s v="A"/>
    <s v="Yangon"/>
    <x v="1"/>
    <x v="0"/>
    <x v="2"/>
    <x v="912"/>
    <x v="9"/>
    <n v="14.984999999999999"/>
    <n v="314.685"/>
    <d v="2019-03-04T00:00:00"/>
    <d v="1899-12-30T15:27:00"/>
    <s v="Ewallet"/>
    <n v="299.7"/>
    <n v="4.7619047620000003"/>
    <x v="956"/>
    <n v="7.2"/>
  </r>
  <r>
    <s v="195-06-0432"/>
    <s v="A"/>
    <s v="Yangon"/>
    <x v="0"/>
    <x v="1"/>
    <x v="2"/>
    <x v="913"/>
    <x v="6"/>
    <n v="12.1515"/>
    <n v="255.1815"/>
    <d v="2019-01-13T00:00:00"/>
    <d v="1899-12-30T12:55:00"/>
    <s v="Credit card"/>
    <n v="243.03"/>
    <n v="4.7619047620000003"/>
    <x v="957"/>
    <n v="9.3000000000000007"/>
  </r>
  <r>
    <s v="605-03-2706"/>
    <s v="A"/>
    <s v="Yangon"/>
    <x v="1"/>
    <x v="0"/>
    <x v="0"/>
    <x v="905"/>
    <x v="6"/>
    <n v="2.37"/>
    <n v="49.77"/>
    <d v="2019-03-25T00:00:00"/>
    <d v="1899-12-30T18:02:00"/>
    <s v="Cash"/>
    <n v="47.4"/>
    <n v="4.7619047620000003"/>
    <x v="958"/>
    <n v="9.5"/>
  </r>
  <r>
    <s v="214-30-2776"/>
    <s v="B"/>
    <s v="Mandalay"/>
    <x v="0"/>
    <x v="0"/>
    <x v="1"/>
    <x v="914"/>
    <x v="1"/>
    <n v="8.6225000000000005"/>
    <n v="181.07249999999999"/>
    <d v="2019-03-11T00:00:00"/>
    <d v="1899-12-30T19:44:00"/>
    <s v="Credit card"/>
    <n v="172.45"/>
    <n v="4.7619047620000003"/>
    <x v="959"/>
    <n v="9"/>
  </r>
  <r>
    <s v="746-04-1077"/>
    <s v="B"/>
    <s v="Mandalay"/>
    <x v="0"/>
    <x v="0"/>
    <x v="4"/>
    <x v="915"/>
    <x v="4"/>
    <n v="42.314999999999998"/>
    <n v="888.61500000000001"/>
    <d v="2019-01-01T00:00:00"/>
    <d v="1899-12-30T11:36:00"/>
    <s v="Credit card"/>
    <n v="846.3"/>
    <n v="4.7619047620000003"/>
    <x v="960"/>
    <n v="9"/>
  </r>
  <r>
    <s v="448-34-8700"/>
    <s v="B"/>
    <s v="Mandalay"/>
    <x v="0"/>
    <x v="1"/>
    <x v="2"/>
    <x v="916"/>
    <x v="0"/>
    <n v="12.9185"/>
    <n v="271.2885"/>
    <d v="2019-02-10T00:00:00"/>
    <d v="1899-12-30T13:51:00"/>
    <s v="Ewallet"/>
    <n v="258.37"/>
    <n v="4.7619047620000003"/>
    <x v="961"/>
    <n v="6.7"/>
  </r>
  <r>
    <s v="452-04-8808"/>
    <s v="B"/>
    <s v="Mandalay"/>
    <x v="1"/>
    <x v="1"/>
    <x v="1"/>
    <x v="917"/>
    <x v="0"/>
    <n v="30.478000000000002"/>
    <n v="640.03800000000001"/>
    <d v="2019-01-26T00:00:00"/>
    <d v="1899-12-30T15:17:00"/>
    <s v="Cash"/>
    <n v="609.55999999999995"/>
    <n v="4.7619047620000003"/>
    <x v="962"/>
    <n v="5.5"/>
  </r>
  <r>
    <s v="531-56-4728"/>
    <s v="A"/>
    <s v="Yangon"/>
    <x v="1"/>
    <x v="1"/>
    <x v="2"/>
    <x v="918"/>
    <x v="6"/>
    <n v="12.012"/>
    <n v="252.25200000000001"/>
    <d v="2019-02-11T00:00:00"/>
    <d v="1899-12-30T15:29:00"/>
    <s v="Cash"/>
    <n v="240.24"/>
    <n v="4.7619047620000003"/>
    <x v="963"/>
    <n v="5.4"/>
  </r>
  <r>
    <s v="744-82-9138"/>
    <s v="C"/>
    <s v="Naypyidaw"/>
    <x v="1"/>
    <x v="1"/>
    <x v="5"/>
    <x v="919"/>
    <x v="5"/>
    <n v="8.6129999999999995"/>
    <n v="180.87299999999999"/>
    <d v="2019-02-07T00:00:00"/>
    <d v="1899-12-30T17:59:00"/>
    <s v="Cash"/>
    <n v="172.26"/>
    <n v="4.7619047620000003"/>
    <x v="964"/>
    <n v="8.1999999999999993"/>
  </r>
  <r>
    <s v="883-69-1285"/>
    <s v="B"/>
    <s v="Mandalay"/>
    <x v="0"/>
    <x v="1"/>
    <x v="5"/>
    <x v="920"/>
    <x v="5"/>
    <n v="4.992"/>
    <n v="104.83199999999999"/>
    <d v="2019-03-06T00:00:00"/>
    <d v="1899-12-30T11:55:00"/>
    <s v="Credit card"/>
    <n v="99.84"/>
    <n v="4.7619047620000003"/>
    <x v="965"/>
    <n v="7"/>
  </r>
  <r>
    <s v="221-25-5073"/>
    <s v="A"/>
    <s v="Yangon"/>
    <x v="1"/>
    <x v="0"/>
    <x v="4"/>
    <x v="921"/>
    <x v="7"/>
    <n v="14.932"/>
    <n v="313.572"/>
    <d v="2019-03-04T00:00:00"/>
    <d v="1899-12-30T10:39:00"/>
    <s v="Cash"/>
    <n v="298.64"/>
    <n v="4.7619047620000003"/>
    <x v="966"/>
    <n v="8.5"/>
  </r>
  <r>
    <s v="518-71-6847"/>
    <s v="B"/>
    <s v="Mandalay"/>
    <x v="0"/>
    <x v="1"/>
    <x v="4"/>
    <x v="922"/>
    <x v="3"/>
    <n v="7.98"/>
    <n v="167.58"/>
    <d v="2019-02-26T00:00:00"/>
    <d v="1899-12-30T15:10:00"/>
    <s v="Ewallet"/>
    <n v="159.6"/>
    <n v="4.7619047620000003"/>
    <x v="967"/>
    <n v="4.9000000000000004"/>
  </r>
  <r>
    <s v="156-20-0370"/>
    <s v="B"/>
    <s v="Mandalay"/>
    <x v="1"/>
    <x v="0"/>
    <x v="1"/>
    <x v="923"/>
    <x v="8"/>
    <n v="1.2725"/>
    <n v="26.7225"/>
    <d v="2019-03-10T00:00:00"/>
    <d v="1899-12-30T18:10:00"/>
    <s v="Credit card"/>
    <n v="25.45"/>
    <n v="4.7619047620000003"/>
    <x v="968"/>
    <n v="5.0999999999999996"/>
  </r>
  <r>
    <s v="151-33-7434"/>
    <s v="B"/>
    <s v="Mandalay"/>
    <x v="1"/>
    <x v="0"/>
    <x v="4"/>
    <x v="924"/>
    <x v="8"/>
    <n v="3.3885000000000001"/>
    <n v="71.158500000000004"/>
    <d v="2019-02-04T00:00:00"/>
    <d v="1899-12-30T20:43:00"/>
    <s v="Credit card"/>
    <n v="67.77"/>
    <n v="4.7619047620000003"/>
    <x v="969"/>
    <n v="6.5"/>
  </r>
  <r>
    <s v="728-47-9078"/>
    <s v="C"/>
    <s v="Naypyidaw"/>
    <x v="0"/>
    <x v="1"/>
    <x v="4"/>
    <x v="925"/>
    <x v="7"/>
    <n v="11.917999999999999"/>
    <n v="250.27799999999999"/>
    <d v="2019-01-19T00:00:00"/>
    <d v="1899-12-30T12:46:00"/>
    <s v="Cash"/>
    <n v="238.36"/>
    <n v="4.7619047620000003"/>
    <x v="970"/>
    <n v="9.8000000000000007"/>
  </r>
  <r>
    <s v="809-46-1866"/>
    <s v="A"/>
    <s v="Yangon"/>
    <x v="1"/>
    <x v="1"/>
    <x v="0"/>
    <x v="926"/>
    <x v="7"/>
    <n v="11.63"/>
    <n v="244.23"/>
    <d v="2019-01-23T00:00:00"/>
    <d v="1899-12-30T17:44:00"/>
    <s v="Cash"/>
    <n v="232.6"/>
    <n v="4.7619047620000003"/>
    <x v="971"/>
    <n v="8.4"/>
  </r>
  <r>
    <s v="139-32-4183"/>
    <s v="A"/>
    <s v="Yangon"/>
    <x v="0"/>
    <x v="0"/>
    <x v="3"/>
    <x v="927"/>
    <x v="9"/>
    <n v="43.866"/>
    <n v="921.18600000000004"/>
    <d v="2019-03-14T00:00:00"/>
    <d v="1899-12-30T14:19:00"/>
    <s v="Ewallet"/>
    <n v="877.32"/>
    <n v="4.7619047620000003"/>
    <x v="972"/>
    <n v="7.4"/>
  </r>
  <r>
    <s v="148-41-7930"/>
    <s v="C"/>
    <s v="Naypyidaw"/>
    <x v="1"/>
    <x v="1"/>
    <x v="0"/>
    <x v="121"/>
    <x v="0"/>
    <n v="34.985999999999997"/>
    <n v="734.70600000000002"/>
    <d v="2019-01-23T00:00:00"/>
    <d v="1899-12-30T10:33:00"/>
    <s v="Cash"/>
    <n v="699.72"/>
    <n v="4.7619047620000003"/>
    <x v="973"/>
    <n v="6.1"/>
  </r>
  <r>
    <s v="189-40-5216"/>
    <s v="C"/>
    <s v="Naypyidaw"/>
    <x v="1"/>
    <x v="1"/>
    <x v="1"/>
    <x v="928"/>
    <x v="0"/>
    <n v="33.729500000000002"/>
    <n v="708.31949999999995"/>
    <d v="2019-01-09T00:00:00"/>
    <d v="1899-12-30T11:40:00"/>
    <s v="Cash"/>
    <n v="674.59"/>
    <n v="4.7619047620000003"/>
    <x v="974"/>
    <n v="6"/>
  </r>
  <r>
    <s v="374-38-5555"/>
    <s v="B"/>
    <s v="Mandalay"/>
    <x v="1"/>
    <x v="0"/>
    <x v="5"/>
    <x v="929"/>
    <x v="1"/>
    <n v="15.9275"/>
    <n v="334.47750000000002"/>
    <d v="2019-02-07T00:00:00"/>
    <d v="1899-12-30T19:30:00"/>
    <s v="Ewallet"/>
    <n v="318.55"/>
    <n v="4.7619047620000003"/>
    <x v="975"/>
    <n v="8.5"/>
  </r>
  <r>
    <s v="764-44-8999"/>
    <s v="B"/>
    <s v="Mandalay"/>
    <x v="1"/>
    <x v="0"/>
    <x v="0"/>
    <x v="930"/>
    <x v="5"/>
    <n v="1.476"/>
    <n v="30.995999999999999"/>
    <d v="2019-02-18T00:00:00"/>
    <d v="1899-12-30T14:42:00"/>
    <s v="Ewallet"/>
    <n v="29.52"/>
    <n v="4.7619047620000003"/>
    <x v="976"/>
    <n v="4.3"/>
  </r>
  <r>
    <s v="552-44-5977"/>
    <s v="B"/>
    <s v="Mandalay"/>
    <x v="0"/>
    <x v="1"/>
    <x v="0"/>
    <x v="931"/>
    <x v="2"/>
    <n v="24.8"/>
    <n v="520.79999999999995"/>
    <d v="2019-01-03T00:00:00"/>
    <d v="1899-12-30T19:08:00"/>
    <s v="Credit card"/>
    <n v="496"/>
    <n v="4.7619047620000003"/>
    <x v="977"/>
    <n v="6.2"/>
  </r>
  <r>
    <s v="267-62-7380"/>
    <s v="C"/>
    <s v="Naypyidaw"/>
    <x v="0"/>
    <x v="1"/>
    <x v="1"/>
    <x v="932"/>
    <x v="4"/>
    <n v="41.17"/>
    <n v="864.57"/>
    <d v="2019-03-29T00:00:00"/>
    <d v="1899-12-30T19:12:00"/>
    <s v="Ewallet"/>
    <n v="823.4"/>
    <n v="4.7619047620000003"/>
    <x v="978"/>
    <n v="4.3"/>
  </r>
  <r>
    <s v="430-53-4718"/>
    <s v="B"/>
    <s v="Mandalay"/>
    <x v="0"/>
    <x v="1"/>
    <x v="0"/>
    <x v="933"/>
    <x v="2"/>
    <n v="30.148"/>
    <n v="633.10799999999995"/>
    <d v="2019-01-28T00:00:00"/>
    <d v="1899-12-30T15:46:00"/>
    <s v="Credit card"/>
    <n v="602.96"/>
    <n v="4.7619047620000003"/>
    <x v="979"/>
    <n v="8.4"/>
  </r>
  <r>
    <s v="886-18-2897"/>
    <s v="A"/>
    <s v="Yangon"/>
    <x v="1"/>
    <x v="0"/>
    <x v="4"/>
    <x v="934"/>
    <x v="1"/>
    <n v="14.14"/>
    <n v="296.94"/>
    <d v="2019-03-22T00:00:00"/>
    <d v="1899-12-30T19:06:00"/>
    <s v="Credit card"/>
    <n v="282.8"/>
    <n v="4.7619047620000003"/>
    <x v="980"/>
    <n v="4.5"/>
  </r>
  <r>
    <s v="602-16-6955"/>
    <s v="B"/>
    <s v="Mandalay"/>
    <x v="1"/>
    <x v="0"/>
    <x v="3"/>
    <x v="935"/>
    <x v="4"/>
    <n v="38.299999999999997"/>
    <n v="804.3"/>
    <d v="2019-01-24T00:00:00"/>
    <d v="1899-12-30T18:10:00"/>
    <s v="Ewallet"/>
    <n v="766"/>
    <n v="4.7619047620000003"/>
    <x v="981"/>
    <n v="6"/>
  </r>
  <r>
    <s v="745-74-0715"/>
    <s v="A"/>
    <s v="Yangon"/>
    <x v="1"/>
    <x v="1"/>
    <x v="1"/>
    <x v="936"/>
    <x v="5"/>
    <n v="5.8029999999999999"/>
    <n v="121.863"/>
    <d v="2019-03-10T00:00:00"/>
    <d v="1899-12-30T20:46:00"/>
    <s v="Ewallet"/>
    <n v="116.06"/>
    <n v="4.7619047620000003"/>
    <x v="982"/>
    <n v="8.8000000000000007"/>
  </r>
  <r>
    <s v="690-01-6631"/>
    <s v="B"/>
    <s v="Mandalay"/>
    <x v="1"/>
    <x v="1"/>
    <x v="5"/>
    <x v="937"/>
    <x v="4"/>
    <n v="8.7449999999999992"/>
    <n v="183.64500000000001"/>
    <d v="2019-02-22T00:00:00"/>
    <d v="1899-12-30T18:35:00"/>
    <s v="Ewallet"/>
    <n v="174.9"/>
    <n v="4.7619047620000003"/>
    <x v="983"/>
    <n v="6.6"/>
  </r>
  <r>
    <s v="652-49-6720"/>
    <s v="C"/>
    <s v="Naypyidaw"/>
    <x v="0"/>
    <x v="0"/>
    <x v="1"/>
    <x v="534"/>
    <x v="8"/>
    <n v="3.0474999999999999"/>
    <n v="63.997500000000002"/>
    <d v="2019-02-18T00:00:00"/>
    <d v="1899-12-30T11:40:00"/>
    <s v="Ewallet"/>
    <n v="60.95"/>
    <n v="4.7619047620000003"/>
    <x v="984"/>
    <n v="5.9"/>
  </r>
  <r>
    <s v="233-67-5758"/>
    <s v="C"/>
    <s v="Naypyidaw"/>
    <x v="1"/>
    <x v="1"/>
    <x v="0"/>
    <x v="938"/>
    <x v="8"/>
    <n v="2.0175000000000001"/>
    <n v="42.3675"/>
    <d v="2019-01-29T00:00:00"/>
    <d v="1899-12-30T13:46:00"/>
    <s v="Ewallet"/>
    <n v="40.35"/>
    <n v="4.7619047620000003"/>
    <x v="985"/>
    <n v="6.2"/>
  </r>
  <r>
    <s v="303-96-2227"/>
    <s v="B"/>
    <s v="Mandalay"/>
    <x v="1"/>
    <x v="0"/>
    <x v="2"/>
    <x v="939"/>
    <x v="4"/>
    <n v="48.69"/>
    <n v="1022.49"/>
    <d v="2019-03-02T00:00:00"/>
    <d v="1899-12-30T17:16:00"/>
    <s v="Ewallet"/>
    <n v="973.8"/>
    <n v="4.7619047620000003"/>
    <x v="986"/>
    <n v="4.4000000000000004"/>
  </r>
  <r>
    <s v="727-02-1313"/>
    <s v="A"/>
    <s v="Yangon"/>
    <x v="0"/>
    <x v="1"/>
    <x v="4"/>
    <x v="940"/>
    <x v="8"/>
    <n v="1.5920000000000001"/>
    <n v="33.432000000000002"/>
    <d v="2019-02-09T00:00:00"/>
    <d v="1899-12-30T13:22:00"/>
    <s v="Cash"/>
    <n v="31.84"/>
    <n v="4.7619047620000003"/>
    <x v="987"/>
    <n v="7.7"/>
  </r>
  <r>
    <s v="347-56-2442"/>
    <s v="A"/>
    <s v="Yangon"/>
    <x v="1"/>
    <x v="1"/>
    <x v="2"/>
    <x v="941"/>
    <x v="8"/>
    <n v="3.2909999999999999"/>
    <n v="69.111000000000004"/>
    <d v="2019-02-22T00:00:00"/>
    <d v="1899-12-30T15:33:00"/>
    <s v="Cash"/>
    <n v="65.819999999999993"/>
    <n v="4.7619047620000003"/>
    <x v="988"/>
    <n v="4.0999999999999996"/>
  </r>
  <r>
    <s v="849-09-3807"/>
    <s v="A"/>
    <s v="Yangon"/>
    <x v="0"/>
    <x v="0"/>
    <x v="5"/>
    <x v="942"/>
    <x v="0"/>
    <n v="30.919"/>
    <n v="649.29899999999998"/>
    <d v="2019-02-18T00:00:00"/>
    <d v="1899-12-30T13:28:00"/>
    <s v="Cash"/>
    <n v="618.38"/>
    <n v="4.7619047620000003"/>
    <x v="98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974929-8403-4D6B-957E-A93510844C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D6" firstHeaderRow="1" firstDataRow="1" firstDataCol="1"/>
  <pivotFields count="21">
    <pivotField showAll="0"/>
    <pivotField axis="axisRow" showAll="0">
      <items count="5">
        <item x="0"/>
        <item x="2"/>
        <item x="1"/>
        <item h="1" x="3"/>
        <item t="default"/>
      </items>
    </pivotField>
    <pivotField showAll="0"/>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fld="9" baseField="0" baseItem="0"/>
  </dataFields>
  <formats count="6">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F0E229-323E-48C4-B924-7CAE5365F1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8:K19"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x="1"/>
        <item x="2"/>
        <item x="0"/>
        <item h="1" x="3"/>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Gross Income" fld="15" baseField="0" baseItem="0"/>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492558-97EC-4B67-B771-BA364F44D3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1:K22"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x="1"/>
        <item x="2"/>
        <item x="0"/>
        <item h="1"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ating" fld="16" subtotal="average" baseField="0" baseItem="0"/>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A3AF14-2DE3-4611-A866-13B4A4F9B2C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1:I22" firstHeaderRow="1" firstDataRow="1" firstDataCol="0"/>
  <pivotFields count="21">
    <pivotField dataField="1" showAll="0"/>
    <pivotField showAll="0"/>
    <pivotField showAll="0"/>
    <pivotField showAll="0"/>
    <pivotField showAll="0"/>
    <pivotField showAll="0"/>
    <pivotField showAll="0"/>
    <pivotField showAll="0"/>
    <pivotField showAll="0"/>
    <pivotField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x="1"/>
        <item x="2"/>
        <item x="0"/>
        <item h="1"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Invoice ID" fld="0" subtotal="count"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E155C-DB8A-48CB-BFE3-B6CE4A5106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8:I19" firstHeaderRow="1" firstDataRow="1" firstDataCol="0"/>
  <pivotFields count="21">
    <pivotField showAll="0"/>
    <pivotField showAll="0"/>
    <pivotField showAll="0"/>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x="1"/>
        <item x="2"/>
        <item x="0"/>
        <item h="1"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fld="9" baseField="0" baseItem="0"/>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BD21F4-456D-4D9E-8C8C-60BBC21C99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J6" firstHeaderRow="1" firstDataRow="1" firstDataCol="1"/>
  <pivotFields count="21">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formats count="6">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F46E85-D991-4889-AA45-227CA84B95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4:I25" firstHeaderRow="1" firstDataRow="1" firstDataCol="0"/>
  <pivotFields count="21">
    <pivotField showAll="0"/>
    <pivotField showAll="0"/>
    <pivotField showAll="0"/>
    <pivotField showAll="0"/>
    <pivotField showAll="0"/>
    <pivotField showAll="0"/>
    <pivotField showAll="0"/>
    <pivotField dataField="1" showAll="0"/>
    <pivotField showAll="0"/>
    <pivotField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x="1"/>
        <item x="2"/>
        <item x="0"/>
        <item h="1"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7" baseField="0" baseItem="0"/>
  </dataFields>
  <formats count="3">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B13C8B-4019-40E0-A782-BFC18D15AA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7:D21"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axis="axisRow" showAll="0">
      <items count="5">
        <item x="1"/>
        <item x="2"/>
        <item x="0"/>
        <item h="1"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formats count="6">
    <format dxfId="45">
      <pivotArea type="all" dataOnly="0" outline="0" fieldPosition="0"/>
    </format>
    <format dxfId="44">
      <pivotArea outline="0" collapsedLevelsAreSubtotals="1"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2E7E08-84E2-44E9-A876-27939F8625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8"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5">
    <i>
      <x/>
    </i>
    <i>
      <x v="1"/>
    </i>
    <i>
      <x v="2"/>
    </i>
    <i>
      <x v="3"/>
    </i>
    <i t="grand">
      <x/>
    </i>
  </rowItems>
  <colItems count="1">
    <i/>
  </colItems>
  <dataFields count="1">
    <dataField name="Sum of Total" fld="9" baseField="0" baseItem="0"/>
  </dataFields>
  <formats count="1">
    <format dxfId="11">
      <pivotArea collapsedLevelsAreSubtotals="1" fieldPosition="0">
        <references count="1">
          <reference field="18" count="3">
            <x v="1"/>
            <x v="2"/>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2EA146-35AF-499D-95FF-025CBBF8F5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2:D10" firstHeaderRow="1" firstDataRow="1" firstDataCol="1"/>
  <pivotFields count="21">
    <pivotField showAll="0"/>
    <pivotField showAll="0"/>
    <pivotField showAll="0"/>
    <pivotField showAll="0"/>
    <pivotField showAll="0"/>
    <pivotField axis="axisRow" showAll="0">
      <items count="8">
        <item x="1"/>
        <item x="5"/>
        <item x="4"/>
        <item x="0"/>
        <item x="2"/>
        <item x="3"/>
        <item x="6"/>
        <item t="default"/>
      </items>
    </pivotField>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i>
    <i>
      <x v="1"/>
    </i>
    <i>
      <x v="2"/>
    </i>
    <i>
      <x v="3"/>
    </i>
    <i>
      <x v="4"/>
    </i>
    <i>
      <x v="5"/>
    </i>
    <i>
      <x v="6"/>
    </i>
    <i t="grand">
      <x/>
    </i>
  </rowItems>
  <colItems count="1">
    <i/>
  </colItems>
  <dataFields count="1">
    <dataField name="Sum of Total" fld="9" baseField="0" baseItem="0" numFmtId="169"/>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0FA77C-2342-4279-99D4-A8BCC911022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7:F10" firstHeaderRow="1" firstDataRow="1" firstDataCol="1"/>
  <pivotFields count="17">
    <pivotField showAll="0"/>
    <pivotField showAll="0"/>
    <pivotField showAll="0"/>
    <pivotField axis="axisRow" showAll="0">
      <items count="3">
        <item x="0"/>
        <item x="1"/>
        <item t="default"/>
      </items>
    </pivotField>
    <pivotField showAll="0"/>
    <pivotField showAll="0"/>
    <pivotField numFmtId="165" showAll="0"/>
    <pivotField numFmtId="1" showAll="0"/>
    <pivotField numFmtId="165" showAll="0"/>
    <pivotField dataField="1" numFmtId="165" showAll="0"/>
    <pivotField numFmtId="168" showAll="0"/>
    <pivotField numFmtId="164" showAll="0"/>
    <pivotField showAll="0"/>
    <pivotField numFmtId="167" showAll="0"/>
    <pivotField numFmtId="43" showAll="0"/>
    <pivotField numFmtId="165" showAll="0"/>
    <pivotField numFmtId="166" showAll="0"/>
  </pivotFields>
  <rowFields count="1">
    <field x="3"/>
  </rowFields>
  <rowItems count="3">
    <i>
      <x/>
    </i>
    <i>
      <x v="1"/>
    </i>
    <i t="grand">
      <x/>
    </i>
  </rowItems>
  <colItems count="1">
    <i/>
  </colItems>
  <dataFields count="1">
    <dataField name="Sum of Total Sales" fld="9"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1E2752-B092-48C8-A598-9B69F8AE9FF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2:P5" firstHeaderRow="1" firstDataRow="1" firstDataCol="1"/>
  <pivotFields count="17">
    <pivotField showAll="0"/>
    <pivotField showAll="0"/>
    <pivotField showAll="0"/>
    <pivotField axis="axisRow" showAll="0">
      <items count="3">
        <item x="0"/>
        <item x="1"/>
        <item t="default"/>
      </items>
    </pivotField>
    <pivotField showAll="0"/>
    <pivotField showAll="0"/>
    <pivotField numFmtId="165" showAll="0"/>
    <pivotField numFmtId="1" showAll="0"/>
    <pivotField numFmtId="165" showAll="0"/>
    <pivotField dataField="1" numFmtId="165" showAll="0"/>
    <pivotField numFmtId="168" showAll="0"/>
    <pivotField numFmtId="164" showAll="0"/>
    <pivotField showAll="0"/>
    <pivotField numFmtId="167" showAll="0"/>
    <pivotField numFmtId="43" showAll="0"/>
    <pivotField numFmtId="165" showAll="0"/>
    <pivotField numFmtId="166" showAll="0"/>
  </pivotFields>
  <rowFields count="1">
    <field x="3"/>
  </rowFields>
  <rowItems count="3">
    <i>
      <x/>
    </i>
    <i>
      <x v="1"/>
    </i>
    <i t="grand">
      <x/>
    </i>
  </rowItems>
  <colItems count="1">
    <i/>
  </colItems>
  <dataFields count="1">
    <dataField name="Average Spending" fld="9" subtotal="average" baseField="3"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AA61FC-6937-4883-917E-2D0DCFEC933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K5" firstHeaderRow="1" firstDataRow="1" firstDataCol="1"/>
  <pivotFields count="17">
    <pivotField showAll="0"/>
    <pivotField showAll="0"/>
    <pivotField showAll="0"/>
    <pivotField showAll="0"/>
    <pivotField axis="axisRow" showAll="0">
      <items count="3">
        <item x="0"/>
        <item x="1"/>
        <item t="default"/>
      </items>
    </pivotField>
    <pivotField showAll="0"/>
    <pivotField numFmtId="165" showAll="0"/>
    <pivotField numFmtId="1" showAll="0"/>
    <pivotField numFmtId="165" showAll="0"/>
    <pivotField dataField="1" numFmtId="165" showAll="0"/>
    <pivotField numFmtId="168" showAll="0"/>
    <pivotField numFmtId="164" showAll="0"/>
    <pivotField showAll="0"/>
    <pivotField numFmtId="167" showAll="0"/>
    <pivotField numFmtId="43" showAll="0"/>
    <pivotField numFmtId="165" showAll="0"/>
    <pivotField numFmtId="166" showAll="0"/>
  </pivotFields>
  <rowFields count="1">
    <field x="4"/>
  </rowFields>
  <rowItems count="3">
    <i>
      <x/>
    </i>
    <i>
      <x v="1"/>
    </i>
    <i t="grand">
      <x/>
    </i>
  </rowItems>
  <colItems count="1">
    <i/>
  </colItems>
  <dataFields count="1">
    <dataField name="Sum of Total Sales" fld="9" baseField="0" baseItem="0" numFmtId="165"/>
  </dataFields>
  <formats count="3">
    <format dxfId="10">
      <pivotArea dataOnly="0" labelOnly="1" outline="0" axis="axisValues" fieldPosition="0"/>
    </format>
    <format dxfId="9">
      <pivotArea collapsedLevelsAreSubtotals="1" fieldPosition="0">
        <references count="1">
          <reference field="4" count="1">
            <x v="0"/>
          </reference>
        </references>
      </pivotArea>
    </format>
    <format dxfId="8">
      <pivotArea collapsedLevelsAreSubtotals="1" fieldPosition="0">
        <references count="1">
          <reference field="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E90508-A33A-4DD0-A6C4-8613F51556E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Type">
  <location ref="I2:J9" firstHeaderRow="1" firstDataRow="1" firstDataCol="1"/>
  <pivotFields count="17">
    <pivotField showAll="0"/>
    <pivotField showAll="0"/>
    <pivotField showAll="0"/>
    <pivotField showAll="0"/>
    <pivotField showAll="0"/>
    <pivotField axis="axisRow" showAll="0">
      <items count="7">
        <item x="1"/>
        <item x="5"/>
        <item x="4"/>
        <item x="0"/>
        <item x="2"/>
        <item x="3"/>
        <item t="default"/>
      </items>
    </pivotField>
    <pivotField numFmtId="165" showAll="0"/>
    <pivotField numFmtId="1" showAll="0"/>
    <pivotField numFmtId="165" showAll="0"/>
    <pivotField numFmtId="165" showAll="0"/>
    <pivotField numFmtId="168" showAll="0"/>
    <pivotField numFmtId="164" showAll="0"/>
    <pivotField showAll="0"/>
    <pivotField numFmtId="167" showAll="0"/>
    <pivotField numFmtId="43" showAll="0"/>
    <pivotField dataField="1" numFmtId="165"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66" showAll="0"/>
  </pivotFields>
  <rowFields count="1">
    <field x="5"/>
  </rowFields>
  <rowItems count="7">
    <i>
      <x/>
    </i>
    <i>
      <x v="1"/>
    </i>
    <i>
      <x v="2"/>
    </i>
    <i>
      <x v="3"/>
    </i>
    <i>
      <x v="4"/>
    </i>
    <i>
      <x v="5"/>
    </i>
    <i t="grand">
      <x/>
    </i>
  </rowItems>
  <colItems count="1">
    <i/>
  </colItems>
  <dataFields count="1">
    <dataField name="Sum of Gross Income" fld="15" baseField="0" baseItem="0" numFmtId="165"/>
  </dataFields>
  <formats count="6">
    <format dxfId="7">
      <pivotArea collapsedLevelsAreSubtotals="1" fieldPosition="0">
        <references count="1">
          <reference field="5" count="1">
            <x v="0"/>
          </reference>
        </references>
      </pivotArea>
    </format>
    <format dxfId="6">
      <pivotArea collapsedLevelsAreSubtotals="1" fieldPosition="0">
        <references count="1">
          <reference field="5" count="1">
            <x v="5"/>
          </reference>
        </references>
      </pivotArea>
    </format>
    <format dxfId="5">
      <pivotArea collapsedLevelsAreSubtotals="1" fieldPosition="0">
        <references count="1">
          <reference field="5" count="1">
            <x v="4"/>
          </reference>
        </references>
      </pivotArea>
    </format>
    <format dxfId="4">
      <pivotArea collapsedLevelsAreSubtotals="1" fieldPosition="0">
        <references count="1">
          <reference field="5" count="1">
            <x v="2"/>
          </reference>
        </references>
      </pivotArea>
    </format>
    <format dxfId="3">
      <pivotArea collapsedLevelsAreSubtotals="1" fieldPosition="0">
        <references count="1">
          <reference field="5" count="1">
            <x v="1"/>
          </reference>
        </references>
      </pivotArea>
    </format>
    <format dxfId="2">
      <pivotArea collapsedLevelsAreSubtotals="1" fieldPosition="0">
        <references count="1">
          <reference field="5"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D073BDD-413B-460A-9A30-4ED04D0CC3B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I10" firstHeaderRow="1" firstDataRow="2" firstDataCol="1"/>
  <pivotFields count="21">
    <pivotField showAll="0"/>
    <pivotField showAll="0"/>
    <pivotField axis="axisCol" showAll="0">
      <items count="5">
        <item x="2"/>
        <item x="1"/>
        <item x="0"/>
        <item h="1" x="3"/>
        <item t="default"/>
      </items>
    </pivotField>
    <pivotField showAll="0"/>
    <pivotField showAll="0"/>
    <pivotField axis="axisRow" showAll="0">
      <items count="8">
        <item sd="0" x="1"/>
        <item sd="0" x="5"/>
        <item sd="0" x="4"/>
        <item sd="0" x="0"/>
        <item sd="0" x="2"/>
        <item sd="0" x="3"/>
        <item h="1" x="6"/>
        <item t="default"/>
      </items>
    </pivotField>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defaultSubtotal="0">
      <items count="368">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h="1"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4">
    <i>
      <x/>
    </i>
    <i>
      <x v="1"/>
    </i>
    <i>
      <x v="2"/>
    </i>
    <i t="grand">
      <x/>
    </i>
  </colItems>
  <dataFields count="1">
    <dataField name="Sum of Total" fld="9" baseField="0" baseItem="0"/>
  </dataFields>
  <formats count="1">
    <format dxfId="0">
      <pivotArea collapsedLevelsAreSubtotals="1" fieldPosition="0">
        <references count="1">
          <reference field="5" count="0"/>
        </references>
      </pivotArea>
    </format>
  </formats>
  <conditionalFormats count="4">
    <conditionalFormat priority="1">
      <pivotAreas count="1">
        <pivotArea type="data" collapsedLevelsAreSubtotals="1" fieldPosition="0">
          <references count="3">
            <reference field="4294967294" count="1" selected="0">
              <x v="0"/>
            </reference>
            <reference field="2" count="3" selected="0">
              <x v="0"/>
              <x v="1"/>
              <x v="2"/>
            </reference>
            <reference field="5" count="6">
              <x v="0"/>
              <x v="1"/>
              <x v="2"/>
              <x v="3"/>
              <x v="4"/>
              <x v="5"/>
            </reference>
          </references>
        </pivotArea>
      </pivotAreas>
    </conditionalFormat>
    <conditionalFormat priority="2">
      <pivotAreas count="1">
        <pivotArea type="data" collapsedLevelsAreSubtotals="1" fieldPosition="0">
          <references count="3">
            <reference field="4294967294" count="1" selected="0">
              <x v="0"/>
            </reference>
            <reference field="2" count="3" selected="0">
              <x v="0"/>
              <x v="1"/>
              <x v="2"/>
            </reference>
            <reference field="5" count="6">
              <x v="0"/>
              <x v="1"/>
              <x v="2"/>
              <x v="3"/>
              <x v="4"/>
              <x v="5"/>
            </reference>
          </references>
        </pivotArea>
      </pivotAreas>
    </conditionalFormat>
    <conditionalFormat priority="3">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priority="4">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EB45F1-1FAB-4DE0-8A1F-6959FF6BEC8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2:F24"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axis="axisRow"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h="1" sd="0" x="25"/>
        <item t="default"/>
      </items>
    </pivotField>
  </pivotFields>
  <rowFields count="2">
    <field x="20"/>
    <field x="11"/>
  </rowFields>
  <rowItems count="12">
    <i>
      <x v="11"/>
    </i>
    <i>
      <x v="12"/>
    </i>
    <i>
      <x v="13"/>
    </i>
    <i>
      <x v="14"/>
    </i>
    <i>
      <x v="15"/>
    </i>
    <i>
      <x v="16"/>
    </i>
    <i>
      <x v="17"/>
    </i>
    <i>
      <x v="18"/>
    </i>
    <i>
      <x v="19"/>
    </i>
    <i>
      <x v="20"/>
    </i>
    <i>
      <x v="21"/>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A88EE5F-8597-4AB0-A527-75AF4490847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4:N8"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axis="axisRow" showAll="0">
      <items count="5">
        <item x="1"/>
        <item x="2"/>
        <item x="0"/>
        <item h="1" x="3"/>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5005569-4D31-407F-9628-9BBE095C92E4}" sourceName="Months (Date)">
  <pivotTables>
    <pivotTable tabId="6" name="PivotTable9"/>
  </pivotTables>
  <data>
    <tabular pivotCacheId="467695102" showMissing="0">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B1C39883-3C5B-487A-80DD-9FB708B2E4E9}" sourceName="Product Type">
  <pivotTables>
    <pivotTable tabId="6" name="PivotTable8"/>
  </pivotTables>
  <data>
    <tabular pivotCacheId="467695102" showMissing="0">
      <items count="7">
        <i x="1" s="1"/>
        <i x="5" s="1"/>
        <i x="4" s="1"/>
        <i x="0" s="1"/>
        <i x="2" s="1"/>
        <i x="3"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30DE1640-6D9C-4285-B92D-606BE3157F0E}" cache="Slicer_Months__Date" caption="Months (Date)" style="Slicer Style 3" rowHeight="241300"/>
  <slicer name="Product Type 1" xr10:uid="{C35ADE94-73E9-4212-853F-BCA45F9B7737}" cache="Slicer_Product_Type" caption="Product Type"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90C9C62-2CD1-402D-9C58-D62722D2E61F}" cache="Slicer_Months__Date" caption="Months (Date)" rowHeight="241300"/>
  <slicer name="Product Type" xr10:uid="{0636CCFE-D8C0-4638-9B9B-3246F895DA97}" cache="Slicer_Product_Type" caption="Product Typ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9C83B8-D6E6-4C10-9930-D4E0AE26C8AA}" name="Table3" displayName="Table3" ref="A1:Q1001" dataDxfId="80">
  <autoFilter ref="A1:Q1001" xr:uid="{239C83B8-D6E6-4C10-9930-D4E0AE26C8AA}"/>
  <tableColumns count="17">
    <tableColumn id="1" xr3:uid="{3C8E68B5-9511-4AA6-9A72-8902972E25B6}" name="Invoice ID" totalsRowLabel="Total" dataDxfId="79" totalsRowDxfId="78"/>
    <tableColumn id="2" xr3:uid="{28BBC44B-7F2C-47D8-94DE-2877276A0F40}" name="Branch" dataDxfId="77" totalsRowDxfId="76"/>
    <tableColumn id="3" xr3:uid="{846C6228-7007-49BE-A628-7989B7F0355C}" name="City" dataDxfId="75" totalsRowDxfId="74"/>
    <tableColumn id="4" xr3:uid="{4594CF10-81B0-4ED3-A699-06992AD1986B}" name="Customer type" dataDxfId="73" totalsRowDxfId="72"/>
    <tableColumn id="5" xr3:uid="{3FE8BAF3-FA2B-4733-B038-44EB3D8E139E}" name="Gender" dataDxfId="71" totalsRowDxfId="70"/>
    <tableColumn id="6" xr3:uid="{3661242D-F6C4-44D7-BB8D-2A9180E0ACB9}" name="Product Type" dataDxfId="69" totalsRowDxfId="68"/>
    <tableColumn id="7" xr3:uid="{E457060B-668A-4FD7-BD38-507E84A00035}" name="Unit price" dataDxfId="67" totalsRowDxfId="66"/>
    <tableColumn id="8" xr3:uid="{9E72C60E-3F0D-4552-B032-B281BBC40DF1}" name="Quantity" dataDxfId="65" totalsRowDxfId="64"/>
    <tableColumn id="9" xr3:uid="{09A093B0-CCF3-48CA-A797-324875D82BF8}" name="Tax 5%" dataDxfId="63" totalsRowDxfId="62"/>
    <tableColumn id="10" xr3:uid="{BE8BA5E3-79DA-43C5-9A92-F6B79500001B}" name="Total Sales" dataDxfId="61" totalsRowDxfId="60"/>
    <tableColumn id="11" xr3:uid="{7C51A83A-C0AD-4E2E-86C6-9AE49FC3EFB8}" name="Date" dataDxfId="59" totalsRowDxfId="58"/>
    <tableColumn id="12" xr3:uid="{20AA8838-F274-4F8C-8CD6-076533025966}" name="Time" dataDxfId="57" totalsRowDxfId="56"/>
    <tableColumn id="13" xr3:uid="{B4A12E0F-7BC9-4338-BFCD-09E7B3DC0E0C}" name="Payment" dataDxfId="55" totalsRowDxfId="54"/>
    <tableColumn id="14" xr3:uid="{58C8E580-6B1E-417D-8C4B-6B888A3B999A}" name="Cost of Goods Sold(CODS)" dataDxfId="53" totalsRowDxfId="52"/>
    <tableColumn id="15" xr3:uid="{9E767058-1682-44A3-AE5B-5160BDA41AA2}" name="Gross Margin Percentage" dataDxfId="51" totalsRowDxfId="50" dataCellStyle="Comma"/>
    <tableColumn id="16" xr3:uid="{B480878F-7EAE-4AB0-AFC0-08199F0FF759}" name="Gross Income" dataDxfId="49" totalsRowDxfId="48"/>
    <tableColumn id="17" xr3:uid="{24E2808F-5058-4272-93D5-632890C62C34}" name="Rating" totalsRowFunction="sum" dataDxfId="47" totalsRowDxfId="46"/>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2ACCA8-799E-4777-97A7-526DC2629440}" name="Table4" displayName="Table4" ref="E2:G5" totalsRowShown="0">
  <autoFilter ref="E2:G5" xr:uid="{8C2ACCA8-799E-4777-97A7-526DC2629440}"/>
  <tableColumns count="3">
    <tableColumn id="1" xr3:uid="{C84D3AA1-D362-479F-9E84-1FB3E566AA89}" name="Customer Type"/>
    <tableColumn id="2" xr3:uid="{7C8A7467-7C2B-431D-822A-DA30C57564A3}" name="Average sales"/>
    <tableColumn id="3" xr3:uid="{8BCA2378-2188-4CEE-9EDE-4429DADF5B9F}" name="Average Rating"/>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C93B14-0AB4-4764-9322-89501CD849AF}" name="Table5" displayName="Table5" ref="D11:E22" totalsRowShown="0">
  <autoFilter ref="D11:E22" xr:uid="{4AC93B14-0AB4-4764-9322-89501CD849AF}"/>
  <tableColumns count="2">
    <tableColumn id="1" xr3:uid="{72D2FA2E-CD30-4F7D-B855-388E2A972969}" name="Quantity"/>
    <tableColumn id="2" xr3:uid="{7EA9BD22-3B98-41B7-A959-38AC45F73DA1}" name="Total Unit Price"/>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706736-A22B-4E4B-A319-FF588DFCD6BF}" name="Table8" displayName="Table8" ref="D2:G9" totalsRowShown="0">
  <autoFilter ref="D2:G9" xr:uid="{92706736-A22B-4E4B-A319-FF588DFCD6BF}"/>
  <tableColumns count="4">
    <tableColumn id="1" xr3:uid="{AC0F25A3-23BF-42E4-9A88-791EAAAEE801}" name="Product Type"/>
    <tableColumn id="2" xr3:uid="{61B9CD9B-EC7F-4ABA-9567-66E0AE314637}" name="Total Sales"/>
    <tableColumn id="3" xr3:uid="{8D5D0A9A-5097-4B1F-8B43-308FF8BB6DE7}" name="Gross Income"/>
    <tableColumn id="4" xr3:uid="{D3A68196-B60C-4C88-901A-19F6479BC974}" name="Gross Margin Percentage" dataDxfId="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table" Target="../tables/table2.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14.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0D6C6-056C-4C4D-B373-4005951DDF78}">
  <dimension ref="A1:Q1001"/>
  <sheetViews>
    <sheetView zoomScale="62" workbookViewId="0"/>
  </sheetViews>
  <sheetFormatPr defaultColWidth="26.28515625" defaultRowHeight="15" x14ac:dyDescent="0.25"/>
  <cols>
    <col min="1" max="1" width="26.28515625" style="5"/>
    <col min="2" max="6" width="26.28515625" style="7"/>
    <col min="7" max="7" width="26.28515625" style="9"/>
    <col min="8" max="8" width="26.28515625" style="13"/>
    <col min="9" max="9" width="26.28515625" style="17"/>
    <col min="10" max="10" width="26.28515625" style="9"/>
    <col min="11" max="11" width="26.28515625" style="21"/>
    <col min="12" max="12" width="26.28515625" style="3"/>
    <col min="13" max="13" width="26.28515625" style="7"/>
    <col min="14" max="14" width="26.28515625" style="19"/>
    <col min="15" max="15" width="26.28515625" style="15"/>
    <col min="16" max="16" width="26.28515625" style="9"/>
    <col min="17" max="17" width="26.28515625" style="11"/>
    <col min="18" max="16384" width="26.28515625" style="1"/>
  </cols>
  <sheetData>
    <row r="1" spans="1:17" x14ac:dyDescent="0.25">
      <c r="A1" s="4" t="s">
        <v>0</v>
      </c>
      <c r="B1" s="6" t="s">
        <v>1</v>
      </c>
      <c r="C1" s="6" t="s">
        <v>2</v>
      </c>
      <c r="D1" s="6" t="s">
        <v>3</v>
      </c>
      <c r="E1" s="6" t="s">
        <v>4</v>
      </c>
      <c r="F1" s="6" t="s">
        <v>1030</v>
      </c>
      <c r="G1" s="8" t="s">
        <v>5</v>
      </c>
      <c r="H1" s="12" t="s">
        <v>6</v>
      </c>
      <c r="I1" s="16" t="s">
        <v>7</v>
      </c>
      <c r="J1" s="8" t="s">
        <v>1039</v>
      </c>
      <c r="K1" s="20" t="s">
        <v>8</v>
      </c>
      <c r="L1" s="2" t="s">
        <v>9</v>
      </c>
      <c r="M1" s="6" t="s">
        <v>10</v>
      </c>
      <c r="N1" s="18" t="s">
        <v>1031</v>
      </c>
      <c r="O1" s="14" t="s">
        <v>1032</v>
      </c>
      <c r="P1" s="8" t="s">
        <v>1033</v>
      </c>
      <c r="Q1" s="10" t="s">
        <v>11</v>
      </c>
    </row>
    <row r="2" spans="1:17" x14ac:dyDescent="0.25">
      <c r="A2" s="5" t="s">
        <v>12</v>
      </c>
      <c r="B2" s="7" t="s">
        <v>13</v>
      </c>
      <c r="C2" s="7" t="s">
        <v>14</v>
      </c>
      <c r="D2" s="7" t="s">
        <v>15</v>
      </c>
      <c r="E2" s="7" t="s">
        <v>16</v>
      </c>
      <c r="F2" s="7" t="s">
        <v>17</v>
      </c>
      <c r="G2" s="9">
        <v>74.69</v>
      </c>
      <c r="H2" s="13">
        <v>7</v>
      </c>
      <c r="I2" s="17">
        <v>26.141500000000001</v>
      </c>
      <c r="J2" s="9">
        <v>548.97149999999999</v>
      </c>
      <c r="K2" s="21">
        <v>43470</v>
      </c>
      <c r="L2" s="3">
        <v>0.54722222222222228</v>
      </c>
      <c r="M2" s="7" t="s">
        <v>18</v>
      </c>
      <c r="N2" s="19">
        <v>522.83000000000004</v>
      </c>
      <c r="O2" s="15">
        <v>4.7619047620000003</v>
      </c>
      <c r="P2" s="9">
        <v>26.141500000000001</v>
      </c>
      <c r="Q2" s="11">
        <v>9.1</v>
      </c>
    </row>
    <row r="3" spans="1:17" x14ac:dyDescent="0.25">
      <c r="A3" s="5" t="s">
        <v>19</v>
      </c>
      <c r="B3" s="7" t="s">
        <v>20</v>
      </c>
      <c r="C3" s="7" t="s">
        <v>1034</v>
      </c>
      <c r="D3" s="7" t="s">
        <v>21</v>
      </c>
      <c r="E3" s="7" t="s">
        <v>16</v>
      </c>
      <c r="F3" s="7" t="s">
        <v>22</v>
      </c>
      <c r="G3" s="9">
        <v>15.28</v>
      </c>
      <c r="H3" s="13">
        <v>5</v>
      </c>
      <c r="I3" s="17">
        <v>3.82</v>
      </c>
      <c r="J3" s="9">
        <v>80.22</v>
      </c>
      <c r="K3" s="21">
        <v>43532</v>
      </c>
      <c r="L3" s="3">
        <v>0.43680555555555556</v>
      </c>
      <c r="M3" s="7" t="s">
        <v>23</v>
      </c>
      <c r="N3" s="19">
        <v>76.400000000000006</v>
      </c>
      <c r="O3" s="15">
        <v>4.7619047620000003</v>
      </c>
      <c r="P3" s="9">
        <v>3.82</v>
      </c>
      <c r="Q3" s="11">
        <v>9.6</v>
      </c>
    </row>
    <row r="4" spans="1:17" x14ac:dyDescent="0.25">
      <c r="A4" s="5" t="s">
        <v>24</v>
      </c>
      <c r="B4" s="7" t="s">
        <v>13</v>
      </c>
      <c r="C4" s="7" t="s">
        <v>14</v>
      </c>
      <c r="D4" s="7" t="s">
        <v>21</v>
      </c>
      <c r="E4" s="7" t="s">
        <v>25</v>
      </c>
      <c r="F4" s="7" t="s">
        <v>26</v>
      </c>
      <c r="G4" s="9">
        <v>46.33</v>
      </c>
      <c r="H4" s="13">
        <v>7</v>
      </c>
      <c r="I4" s="17">
        <v>16.215499999999999</v>
      </c>
      <c r="J4" s="9">
        <v>340.52550000000002</v>
      </c>
      <c r="K4" s="21">
        <v>43527</v>
      </c>
      <c r="L4" s="3">
        <v>0.55763888888888891</v>
      </c>
      <c r="M4" s="7" t="s">
        <v>27</v>
      </c>
      <c r="N4" s="19">
        <v>324.31</v>
      </c>
      <c r="O4" s="15">
        <v>4.7619047620000003</v>
      </c>
      <c r="P4" s="9">
        <v>16.215499999999999</v>
      </c>
      <c r="Q4" s="11">
        <v>7.4</v>
      </c>
    </row>
    <row r="5" spans="1:17" x14ac:dyDescent="0.25">
      <c r="A5" s="5" t="s">
        <v>28</v>
      </c>
      <c r="B5" s="7" t="s">
        <v>13</v>
      </c>
      <c r="C5" s="7" t="s">
        <v>14</v>
      </c>
      <c r="D5" s="7" t="s">
        <v>15</v>
      </c>
      <c r="E5" s="7" t="s">
        <v>25</v>
      </c>
      <c r="F5" s="7" t="s">
        <v>17</v>
      </c>
      <c r="G5" s="9">
        <v>58.22</v>
      </c>
      <c r="H5" s="13">
        <v>8</v>
      </c>
      <c r="I5" s="17">
        <v>23.288</v>
      </c>
      <c r="J5" s="9">
        <v>489.048</v>
      </c>
      <c r="K5" s="21">
        <v>43492</v>
      </c>
      <c r="L5" s="3">
        <v>0.85624999999999996</v>
      </c>
      <c r="M5" s="7" t="s">
        <v>18</v>
      </c>
      <c r="N5" s="19">
        <v>465.76</v>
      </c>
      <c r="O5" s="15">
        <v>4.7619047620000003</v>
      </c>
      <c r="P5" s="9">
        <v>23.288</v>
      </c>
      <c r="Q5" s="11">
        <v>8.4</v>
      </c>
    </row>
    <row r="6" spans="1:17" x14ac:dyDescent="0.25">
      <c r="A6" s="5" t="s">
        <v>29</v>
      </c>
      <c r="B6" s="7" t="s">
        <v>13</v>
      </c>
      <c r="C6" s="7" t="s">
        <v>14</v>
      </c>
      <c r="D6" s="7" t="s">
        <v>21</v>
      </c>
      <c r="E6" s="7" t="s">
        <v>25</v>
      </c>
      <c r="F6" s="7" t="s">
        <v>30</v>
      </c>
      <c r="G6" s="9">
        <v>86.31</v>
      </c>
      <c r="H6" s="13">
        <v>7</v>
      </c>
      <c r="I6" s="17">
        <v>30.208500000000001</v>
      </c>
      <c r="J6" s="9">
        <v>634.37850000000003</v>
      </c>
      <c r="K6" s="21">
        <v>43504</v>
      </c>
      <c r="L6" s="3">
        <v>0.44236111111111109</v>
      </c>
      <c r="M6" s="7" t="s">
        <v>18</v>
      </c>
      <c r="N6" s="19">
        <v>604.16999999999996</v>
      </c>
      <c r="O6" s="15">
        <v>4.7619047620000003</v>
      </c>
      <c r="P6" s="9">
        <v>30.208500000000001</v>
      </c>
      <c r="Q6" s="11">
        <v>5.3</v>
      </c>
    </row>
    <row r="7" spans="1:17" x14ac:dyDescent="0.25">
      <c r="A7" s="5" t="s">
        <v>31</v>
      </c>
      <c r="B7" s="7" t="s">
        <v>20</v>
      </c>
      <c r="C7" s="7" t="s">
        <v>1034</v>
      </c>
      <c r="D7" s="7" t="s">
        <v>21</v>
      </c>
      <c r="E7" s="7" t="s">
        <v>25</v>
      </c>
      <c r="F7" s="7" t="s">
        <v>22</v>
      </c>
      <c r="G7" s="9">
        <v>85.39</v>
      </c>
      <c r="H7" s="13">
        <v>7</v>
      </c>
      <c r="I7" s="17">
        <v>29.886500000000002</v>
      </c>
      <c r="J7" s="9">
        <v>627.61649999999997</v>
      </c>
      <c r="K7" s="21">
        <v>43549</v>
      </c>
      <c r="L7" s="3">
        <v>0.77083333333333337</v>
      </c>
      <c r="M7" s="7" t="s">
        <v>18</v>
      </c>
      <c r="N7" s="19">
        <v>597.73</v>
      </c>
      <c r="O7" s="15">
        <v>4.7619047620000003</v>
      </c>
      <c r="P7" s="9">
        <v>29.886500000000002</v>
      </c>
      <c r="Q7" s="11">
        <v>4.0999999999999996</v>
      </c>
    </row>
    <row r="8" spans="1:17" x14ac:dyDescent="0.25">
      <c r="A8" s="5" t="s">
        <v>32</v>
      </c>
      <c r="B8" s="7" t="s">
        <v>13</v>
      </c>
      <c r="C8" s="7" t="s">
        <v>14</v>
      </c>
      <c r="D8" s="7" t="s">
        <v>15</v>
      </c>
      <c r="E8" s="7" t="s">
        <v>16</v>
      </c>
      <c r="F8" s="7" t="s">
        <v>22</v>
      </c>
      <c r="G8" s="9">
        <v>68.84</v>
      </c>
      <c r="H8" s="13">
        <v>6</v>
      </c>
      <c r="I8" s="17">
        <v>20.652000000000001</v>
      </c>
      <c r="J8" s="9">
        <v>433.69200000000001</v>
      </c>
      <c r="K8" s="21">
        <v>43521</v>
      </c>
      <c r="L8" s="3">
        <v>0.60833333333333328</v>
      </c>
      <c r="M8" s="7" t="s">
        <v>18</v>
      </c>
      <c r="N8" s="19">
        <v>413.04</v>
      </c>
      <c r="O8" s="15">
        <v>4.7619047620000003</v>
      </c>
      <c r="P8" s="9">
        <v>20.652000000000001</v>
      </c>
      <c r="Q8" s="11">
        <v>5.8</v>
      </c>
    </row>
    <row r="9" spans="1:17" x14ac:dyDescent="0.25">
      <c r="A9" s="5" t="s">
        <v>33</v>
      </c>
      <c r="B9" s="7" t="s">
        <v>20</v>
      </c>
      <c r="C9" s="7" t="s">
        <v>1034</v>
      </c>
      <c r="D9" s="7" t="s">
        <v>21</v>
      </c>
      <c r="E9" s="7" t="s">
        <v>16</v>
      </c>
      <c r="F9" s="7" t="s">
        <v>26</v>
      </c>
      <c r="G9" s="9">
        <v>73.56</v>
      </c>
      <c r="H9" s="13">
        <v>10</v>
      </c>
      <c r="I9" s="17">
        <v>36.78</v>
      </c>
      <c r="J9" s="9">
        <v>772.38</v>
      </c>
      <c r="K9" s="21">
        <v>43520</v>
      </c>
      <c r="L9" s="3">
        <v>0.48472222222222222</v>
      </c>
      <c r="M9" s="7" t="s">
        <v>18</v>
      </c>
      <c r="N9" s="19">
        <v>735.6</v>
      </c>
      <c r="O9" s="15">
        <v>4.7619047620000003</v>
      </c>
      <c r="P9" s="9">
        <v>36.78</v>
      </c>
      <c r="Q9" s="11">
        <v>8</v>
      </c>
    </row>
    <row r="10" spans="1:17" x14ac:dyDescent="0.25">
      <c r="A10" s="5" t="s">
        <v>34</v>
      </c>
      <c r="B10" s="7" t="s">
        <v>13</v>
      </c>
      <c r="C10" s="7" t="s">
        <v>14</v>
      </c>
      <c r="D10" s="7" t="s">
        <v>15</v>
      </c>
      <c r="E10" s="7" t="s">
        <v>16</v>
      </c>
      <c r="F10" s="7" t="s">
        <v>17</v>
      </c>
      <c r="G10" s="9">
        <v>36.26</v>
      </c>
      <c r="H10" s="13">
        <v>2</v>
      </c>
      <c r="I10" s="17">
        <v>3.6259999999999999</v>
      </c>
      <c r="J10" s="9">
        <v>76.146000000000001</v>
      </c>
      <c r="K10" s="21">
        <v>43475</v>
      </c>
      <c r="L10" s="3">
        <v>0.71875</v>
      </c>
      <c r="M10" s="7" t="s">
        <v>27</v>
      </c>
      <c r="N10" s="19">
        <v>72.52</v>
      </c>
      <c r="O10" s="15">
        <v>4.7619047620000003</v>
      </c>
      <c r="P10" s="9">
        <v>3.6259999999999999</v>
      </c>
      <c r="Q10" s="11">
        <v>7.2</v>
      </c>
    </row>
    <row r="11" spans="1:17" x14ac:dyDescent="0.25">
      <c r="A11" s="5" t="s">
        <v>35</v>
      </c>
      <c r="B11" s="7" t="s">
        <v>36</v>
      </c>
      <c r="C11" s="7" t="s">
        <v>37</v>
      </c>
      <c r="D11" s="7" t="s">
        <v>15</v>
      </c>
      <c r="E11" s="7" t="s">
        <v>16</v>
      </c>
      <c r="F11" s="7" t="s">
        <v>38</v>
      </c>
      <c r="G11" s="9">
        <v>54.84</v>
      </c>
      <c r="H11" s="13">
        <v>3</v>
      </c>
      <c r="I11" s="17">
        <v>8.2260000000000009</v>
      </c>
      <c r="J11" s="9">
        <v>172.74600000000001</v>
      </c>
      <c r="K11" s="21">
        <v>43516</v>
      </c>
      <c r="L11" s="3">
        <v>0.56041666666666667</v>
      </c>
      <c r="M11" s="7" t="s">
        <v>27</v>
      </c>
      <c r="N11" s="19">
        <v>164.52</v>
      </c>
      <c r="O11" s="15">
        <v>4.7619047620000003</v>
      </c>
      <c r="P11" s="9">
        <v>8.2260000000000009</v>
      </c>
      <c r="Q11" s="11">
        <v>5.9</v>
      </c>
    </row>
    <row r="12" spans="1:17" x14ac:dyDescent="0.25">
      <c r="A12" s="5" t="s">
        <v>39</v>
      </c>
      <c r="B12" s="7" t="s">
        <v>36</v>
      </c>
      <c r="C12" s="7" t="s">
        <v>37</v>
      </c>
      <c r="D12" s="7" t="s">
        <v>15</v>
      </c>
      <c r="E12" s="7" t="s">
        <v>16</v>
      </c>
      <c r="F12" s="7" t="s">
        <v>40</v>
      </c>
      <c r="G12" s="9">
        <v>14.48</v>
      </c>
      <c r="H12" s="13">
        <v>4</v>
      </c>
      <c r="I12" s="17">
        <v>2.8959999999999999</v>
      </c>
      <c r="J12" s="9">
        <v>60.816000000000003</v>
      </c>
      <c r="K12" s="21">
        <v>43502</v>
      </c>
      <c r="L12" s="3">
        <v>0.75486111111111109</v>
      </c>
      <c r="M12" s="7" t="s">
        <v>18</v>
      </c>
      <c r="N12" s="19">
        <v>57.92</v>
      </c>
      <c r="O12" s="15">
        <v>4.7619047620000003</v>
      </c>
      <c r="P12" s="9">
        <v>2.8959999999999999</v>
      </c>
      <c r="Q12" s="11">
        <v>4.5</v>
      </c>
    </row>
    <row r="13" spans="1:17" x14ac:dyDescent="0.25">
      <c r="A13" s="5" t="s">
        <v>41</v>
      </c>
      <c r="B13" s="7" t="s">
        <v>36</v>
      </c>
      <c r="C13" s="7" t="s">
        <v>37</v>
      </c>
      <c r="D13" s="7" t="s">
        <v>15</v>
      </c>
      <c r="E13" s="7" t="s">
        <v>25</v>
      </c>
      <c r="F13" s="7" t="s">
        <v>22</v>
      </c>
      <c r="G13" s="9">
        <v>25.51</v>
      </c>
      <c r="H13" s="13">
        <v>4</v>
      </c>
      <c r="I13" s="17">
        <v>5.1020000000000003</v>
      </c>
      <c r="J13" s="9">
        <v>107.142</v>
      </c>
      <c r="K13" s="21">
        <v>43533</v>
      </c>
      <c r="L13" s="3">
        <v>0.7104166666666667</v>
      </c>
      <c r="M13" s="7" t="s">
        <v>23</v>
      </c>
      <c r="N13" s="19">
        <v>102.04</v>
      </c>
      <c r="O13" s="15">
        <v>4.7619047620000003</v>
      </c>
      <c r="P13" s="9">
        <v>5.1020000000000003</v>
      </c>
      <c r="Q13" s="11">
        <v>6.8</v>
      </c>
    </row>
    <row r="14" spans="1:17" x14ac:dyDescent="0.25">
      <c r="A14" s="5" t="s">
        <v>42</v>
      </c>
      <c r="B14" s="7" t="s">
        <v>13</v>
      </c>
      <c r="C14" s="7" t="s">
        <v>14</v>
      </c>
      <c r="D14" s="7" t="s">
        <v>21</v>
      </c>
      <c r="E14" s="7" t="s">
        <v>16</v>
      </c>
      <c r="F14" s="7" t="s">
        <v>22</v>
      </c>
      <c r="G14" s="9">
        <v>46.95</v>
      </c>
      <c r="H14" s="13">
        <v>5</v>
      </c>
      <c r="I14" s="17">
        <v>11.737500000000001</v>
      </c>
      <c r="J14" s="9">
        <v>246.48750000000001</v>
      </c>
      <c r="K14" s="21">
        <v>43508</v>
      </c>
      <c r="L14" s="3">
        <v>0.43402777777777779</v>
      </c>
      <c r="M14" s="7" t="s">
        <v>18</v>
      </c>
      <c r="N14" s="19">
        <v>234.75</v>
      </c>
      <c r="O14" s="15">
        <v>4.7619047620000003</v>
      </c>
      <c r="P14" s="9">
        <v>11.737500000000001</v>
      </c>
      <c r="Q14" s="11">
        <v>7.1</v>
      </c>
    </row>
    <row r="15" spans="1:17" x14ac:dyDescent="0.25">
      <c r="A15" s="5" t="s">
        <v>43</v>
      </c>
      <c r="B15" s="7" t="s">
        <v>13</v>
      </c>
      <c r="C15" s="7" t="s">
        <v>14</v>
      </c>
      <c r="D15" s="7" t="s">
        <v>21</v>
      </c>
      <c r="E15" s="7" t="s">
        <v>25</v>
      </c>
      <c r="F15" s="7" t="s">
        <v>38</v>
      </c>
      <c r="G15" s="9">
        <v>43.19</v>
      </c>
      <c r="H15" s="13">
        <v>10</v>
      </c>
      <c r="I15" s="17">
        <v>21.594999999999999</v>
      </c>
      <c r="J15" s="9">
        <v>453.495</v>
      </c>
      <c r="K15" s="21">
        <v>43503</v>
      </c>
      <c r="L15" s="3">
        <v>0.7</v>
      </c>
      <c r="M15" s="7" t="s">
        <v>18</v>
      </c>
      <c r="N15" s="19">
        <v>431.9</v>
      </c>
      <c r="O15" s="15">
        <v>4.7619047620000003</v>
      </c>
      <c r="P15" s="9">
        <v>21.594999999999999</v>
      </c>
      <c r="Q15" s="11">
        <v>8.1999999999999993</v>
      </c>
    </row>
    <row r="16" spans="1:17" x14ac:dyDescent="0.25">
      <c r="A16" s="5" t="s">
        <v>44</v>
      </c>
      <c r="B16" s="7" t="s">
        <v>13</v>
      </c>
      <c r="C16" s="7" t="s">
        <v>14</v>
      </c>
      <c r="D16" s="7" t="s">
        <v>21</v>
      </c>
      <c r="E16" s="7" t="s">
        <v>16</v>
      </c>
      <c r="F16" s="7" t="s">
        <v>17</v>
      </c>
      <c r="G16" s="9">
        <v>71.38</v>
      </c>
      <c r="H16" s="13">
        <v>10</v>
      </c>
      <c r="I16" s="17">
        <v>35.69</v>
      </c>
      <c r="J16" s="9">
        <v>749.49</v>
      </c>
      <c r="K16" s="21">
        <v>43553</v>
      </c>
      <c r="L16" s="3">
        <v>0.80625000000000002</v>
      </c>
      <c r="M16" s="7" t="s">
        <v>23</v>
      </c>
      <c r="N16" s="19">
        <v>713.8</v>
      </c>
      <c r="O16" s="15">
        <v>4.7619047620000003</v>
      </c>
      <c r="P16" s="9">
        <v>35.69</v>
      </c>
      <c r="Q16" s="11">
        <v>5.7</v>
      </c>
    </row>
    <row r="17" spans="1:17" x14ac:dyDescent="0.25">
      <c r="A17" s="5" t="s">
        <v>45</v>
      </c>
      <c r="B17" s="7" t="s">
        <v>36</v>
      </c>
      <c r="C17" s="7" t="s">
        <v>37</v>
      </c>
      <c r="D17" s="7" t="s">
        <v>15</v>
      </c>
      <c r="E17" s="7" t="s">
        <v>16</v>
      </c>
      <c r="F17" s="7" t="s">
        <v>30</v>
      </c>
      <c r="G17" s="9">
        <v>93.72</v>
      </c>
      <c r="H17" s="13">
        <v>6</v>
      </c>
      <c r="I17" s="17">
        <v>28.116</v>
      </c>
      <c r="J17" s="9">
        <v>590.43600000000004</v>
      </c>
      <c r="K17" s="21">
        <v>43480</v>
      </c>
      <c r="L17" s="3">
        <v>0.67986111111111114</v>
      </c>
      <c r="M17" s="7" t="s">
        <v>23</v>
      </c>
      <c r="N17" s="19">
        <v>562.32000000000005</v>
      </c>
      <c r="O17" s="15">
        <v>4.7619047620000003</v>
      </c>
      <c r="P17" s="9">
        <v>28.116</v>
      </c>
      <c r="Q17" s="11">
        <v>4.5</v>
      </c>
    </row>
    <row r="18" spans="1:17" x14ac:dyDescent="0.25">
      <c r="A18" s="5" t="s">
        <v>46</v>
      </c>
      <c r="B18" s="7" t="s">
        <v>13</v>
      </c>
      <c r="C18" s="7" t="s">
        <v>14</v>
      </c>
      <c r="D18" s="7" t="s">
        <v>15</v>
      </c>
      <c r="E18" s="7" t="s">
        <v>16</v>
      </c>
      <c r="F18" s="7" t="s">
        <v>17</v>
      </c>
      <c r="G18" s="9">
        <v>68.930000000000007</v>
      </c>
      <c r="H18" s="13">
        <v>7</v>
      </c>
      <c r="I18" s="17">
        <v>24.125499999999999</v>
      </c>
      <c r="J18" s="9">
        <v>506.63549999999998</v>
      </c>
      <c r="K18" s="21">
        <v>43535</v>
      </c>
      <c r="L18" s="3">
        <v>0.46041666666666664</v>
      </c>
      <c r="M18" s="7" t="s">
        <v>27</v>
      </c>
      <c r="N18" s="19">
        <v>482.51</v>
      </c>
      <c r="O18" s="15">
        <v>4.7619047620000003</v>
      </c>
      <c r="P18" s="9">
        <v>24.125499999999999</v>
      </c>
      <c r="Q18" s="11">
        <v>4.5999999999999996</v>
      </c>
    </row>
    <row r="19" spans="1:17" x14ac:dyDescent="0.25">
      <c r="A19" s="5" t="s">
        <v>47</v>
      </c>
      <c r="B19" s="7" t="s">
        <v>13</v>
      </c>
      <c r="C19" s="7" t="s">
        <v>14</v>
      </c>
      <c r="D19" s="7" t="s">
        <v>21</v>
      </c>
      <c r="E19" s="7" t="s">
        <v>25</v>
      </c>
      <c r="F19" s="7" t="s">
        <v>30</v>
      </c>
      <c r="G19" s="9">
        <v>72.61</v>
      </c>
      <c r="H19" s="13">
        <v>6</v>
      </c>
      <c r="I19" s="17">
        <v>21.783000000000001</v>
      </c>
      <c r="J19" s="9">
        <v>457.44299999999998</v>
      </c>
      <c r="K19" s="21">
        <v>43466</v>
      </c>
      <c r="L19" s="3">
        <v>0.44374999999999998</v>
      </c>
      <c r="M19" s="7" t="s">
        <v>27</v>
      </c>
      <c r="N19" s="19">
        <v>435.66</v>
      </c>
      <c r="O19" s="15">
        <v>4.7619047620000003</v>
      </c>
      <c r="P19" s="9">
        <v>21.783000000000001</v>
      </c>
      <c r="Q19" s="11">
        <v>6.9</v>
      </c>
    </row>
    <row r="20" spans="1:17" x14ac:dyDescent="0.25">
      <c r="A20" s="5" t="s">
        <v>48</v>
      </c>
      <c r="B20" s="7" t="s">
        <v>13</v>
      </c>
      <c r="C20" s="7" t="s">
        <v>14</v>
      </c>
      <c r="D20" s="7" t="s">
        <v>21</v>
      </c>
      <c r="E20" s="7" t="s">
        <v>25</v>
      </c>
      <c r="F20" s="7" t="s">
        <v>38</v>
      </c>
      <c r="G20" s="9">
        <v>54.67</v>
      </c>
      <c r="H20" s="13">
        <v>3</v>
      </c>
      <c r="I20" s="17">
        <v>8.2004999999999999</v>
      </c>
      <c r="J20" s="9">
        <v>172.2105</v>
      </c>
      <c r="K20" s="21">
        <v>43486</v>
      </c>
      <c r="L20" s="3">
        <v>0.75</v>
      </c>
      <c r="M20" s="7" t="s">
        <v>27</v>
      </c>
      <c r="N20" s="19">
        <v>164.01</v>
      </c>
      <c r="O20" s="15">
        <v>4.7619047620000003</v>
      </c>
      <c r="P20" s="9">
        <v>8.2004999999999999</v>
      </c>
      <c r="Q20" s="11">
        <v>8.6</v>
      </c>
    </row>
    <row r="21" spans="1:17" x14ac:dyDescent="0.25">
      <c r="A21" s="5" t="s">
        <v>49</v>
      </c>
      <c r="B21" s="7" t="s">
        <v>36</v>
      </c>
      <c r="C21" s="7" t="s">
        <v>37</v>
      </c>
      <c r="D21" s="7" t="s">
        <v>21</v>
      </c>
      <c r="E21" s="7" t="s">
        <v>16</v>
      </c>
      <c r="F21" s="7" t="s">
        <v>26</v>
      </c>
      <c r="G21" s="9">
        <v>40.299999999999997</v>
      </c>
      <c r="H21" s="13">
        <v>2</v>
      </c>
      <c r="I21" s="17">
        <v>4.03</v>
      </c>
      <c r="J21" s="9">
        <v>84.63</v>
      </c>
      <c r="K21" s="21">
        <v>43535</v>
      </c>
      <c r="L21" s="3">
        <v>0.64583333333333337</v>
      </c>
      <c r="M21" s="7" t="s">
        <v>18</v>
      </c>
      <c r="N21" s="19">
        <v>80.599999999999994</v>
      </c>
      <c r="O21" s="15">
        <v>4.7619047620000003</v>
      </c>
      <c r="P21" s="9">
        <v>4.03</v>
      </c>
      <c r="Q21" s="11">
        <v>4.4000000000000004</v>
      </c>
    </row>
    <row r="22" spans="1:17" x14ac:dyDescent="0.25">
      <c r="A22" s="5" t="s">
        <v>50</v>
      </c>
      <c r="B22" s="7" t="s">
        <v>20</v>
      </c>
      <c r="C22" s="7" t="s">
        <v>1034</v>
      </c>
      <c r="D22" s="7" t="s">
        <v>15</v>
      </c>
      <c r="E22" s="7" t="s">
        <v>25</v>
      </c>
      <c r="F22" s="7" t="s">
        <v>22</v>
      </c>
      <c r="G22" s="9">
        <v>86.04</v>
      </c>
      <c r="H22" s="13">
        <v>5</v>
      </c>
      <c r="I22" s="17">
        <v>21.51</v>
      </c>
      <c r="J22" s="9">
        <v>451.71</v>
      </c>
      <c r="K22" s="21">
        <v>43521</v>
      </c>
      <c r="L22" s="3">
        <v>0.47499999999999998</v>
      </c>
      <c r="M22" s="7" t="s">
        <v>18</v>
      </c>
      <c r="N22" s="19">
        <v>430.2</v>
      </c>
      <c r="O22" s="15">
        <v>4.7619047620000003</v>
      </c>
      <c r="P22" s="9">
        <v>21.51</v>
      </c>
      <c r="Q22" s="11">
        <v>4.8</v>
      </c>
    </row>
    <row r="23" spans="1:17" x14ac:dyDescent="0.25">
      <c r="A23" s="5" t="s">
        <v>51</v>
      </c>
      <c r="B23" s="7" t="s">
        <v>36</v>
      </c>
      <c r="C23" s="7" t="s">
        <v>37</v>
      </c>
      <c r="D23" s="7" t="s">
        <v>21</v>
      </c>
      <c r="E23" s="7" t="s">
        <v>25</v>
      </c>
      <c r="F23" s="7" t="s">
        <v>17</v>
      </c>
      <c r="G23" s="9">
        <v>87.98</v>
      </c>
      <c r="H23" s="13">
        <v>3</v>
      </c>
      <c r="I23" s="17">
        <v>13.196999999999999</v>
      </c>
      <c r="J23" s="9">
        <v>277.137</v>
      </c>
      <c r="K23" s="21">
        <v>43529</v>
      </c>
      <c r="L23" s="3">
        <v>0.44444444444444442</v>
      </c>
      <c r="M23" s="7" t="s">
        <v>18</v>
      </c>
      <c r="N23" s="19">
        <v>263.94</v>
      </c>
      <c r="O23" s="15">
        <v>4.7619047620000003</v>
      </c>
      <c r="P23" s="9">
        <v>13.196999999999999</v>
      </c>
      <c r="Q23" s="11">
        <v>5.0999999999999996</v>
      </c>
    </row>
    <row r="24" spans="1:17" x14ac:dyDescent="0.25">
      <c r="A24" s="5" t="s">
        <v>52</v>
      </c>
      <c r="B24" s="7" t="s">
        <v>36</v>
      </c>
      <c r="C24" s="7" t="s">
        <v>37</v>
      </c>
      <c r="D24" s="7" t="s">
        <v>21</v>
      </c>
      <c r="E24" s="7" t="s">
        <v>25</v>
      </c>
      <c r="F24" s="7" t="s">
        <v>26</v>
      </c>
      <c r="G24" s="9">
        <v>33.200000000000003</v>
      </c>
      <c r="H24" s="13">
        <v>2</v>
      </c>
      <c r="I24" s="17">
        <v>3.32</v>
      </c>
      <c r="J24" s="9">
        <v>69.72</v>
      </c>
      <c r="K24" s="21">
        <v>43539</v>
      </c>
      <c r="L24" s="3">
        <v>0.51388888888888884</v>
      </c>
      <c r="M24" s="7" t="s">
        <v>27</v>
      </c>
      <c r="N24" s="19">
        <v>66.400000000000006</v>
      </c>
      <c r="O24" s="15">
        <v>4.7619047620000003</v>
      </c>
      <c r="P24" s="9">
        <v>3.32</v>
      </c>
      <c r="Q24" s="11">
        <v>4.4000000000000004</v>
      </c>
    </row>
    <row r="25" spans="1:17" x14ac:dyDescent="0.25">
      <c r="A25" s="5" t="s">
        <v>53</v>
      </c>
      <c r="B25" s="7" t="s">
        <v>13</v>
      </c>
      <c r="C25" s="7" t="s">
        <v>14</v>
      </c>
      <c r="D25" s="7" t="s">
        <v>21</v>
      </c>
      <c r="E25" s="7" t="s">
        <v>25</v>
      </c>
      <c r="F25" s="7" t="s">
        <v>22</v>
      </c>
      <c r="G25" s="9">
        <v>34.56</v>
      </c>
      <c r="H25" s="13">
        <v>5</v>
      </c>
      <c r="I25" s="17">
        <v>8.64</v>
      </c>
      <c r="J25" s="9">
        <v>181.44</v>
      </c>
      <c r="K25" s="21">
        <v>43513</v>
      </c>
      <c r="L25" s="3">
        <v>0.46875</v>
      </c>
      <c r="M25" s="7" t="s">
        <v>18</v>
      </c>
      <c r="N25" s="19">
        <v>172.8</v>
      </c>
      <c r="O25" s="15">
        <v>4.7619047620000003</v>
      </c>
      <c r="P25" s="9">
        <v>8.64</v>
      </c>
      <c r="Q25" s="11">
        <v>9.9</v>
      </c>
    </row>
    <row r="26" spans="1:17" x14ac:dyDescent="0.25">
      <c r="A26" s="5" t="s">
        <v>54</v>
      </c>
      <c r="B26" s="7" t="s">
        <v>13</v>
      </c>
      <c r="C26" s="7" t="s">
        <v>14</v>
      </c>
      <c r="D26" s="7" t="s">
        <v>15</v>
      </c>
      <c r="E26" s="7" t="s">
        <v>25</v>
      </c>
      <c r="F26" s="7" t="s">
        <v>30</v>
      </c>
      <c r="G26" s="9">
        <v>88.63</v>
      </c>
      <c r="H26" s="13">
        <v>3</v>
      </c>
      <c r="I26" s="17">
        <v>13.294499999999999</v>
      </c>
      <c r="J26" s="9">
        <v>279.18450000000001</v>
      </c>
      <c r="K26" s="21">
        <v>43526</v>
      </c>
      <c r="L26" s="3">
        <v>0.73333333333333328</v>
      </c>
      <c r="M26" s="7" t="s">
        <v>18</v>
      </c>
      <c r="N26" s="19">
        <v>265.89</v>
      </c>
      <c r="O26" s="15">
        <v>4.7619047620000003</v>
      </c>
      <c r="P26" s="9">
        <v>13.294499999999999</v>
      </c>
      <c r="Q26" s="11">
        <v>6</v>
      </c>
    </row>
    <row r="27" spans="1:17" x14ac:dyDescent="0.25">
      <c r="A27" s="5" t="s">
        <v>55</v>
      </c>
      <c r="B27" s="7" t="s">
        <v>13</v>
      </c>
      <c r="C27" s="7" t="s">
        <v>14</v>
      </c>
      <c r="D27" s="7" t="s">
        <v>15</v>
      </c>
      <c r="E27" s="7" t="s">
        <v>16</v>
      </c>
      <c r="F27" s="7" t="s">
        <v>26</v>
      </c>
      <c r="G27" s="9">
        <v>52.59</v>
      </c>
      <c r="H27" s="13">
        <v>8</v>
      </c>
      <c r="I27" s="17">
        <v>21.036000000000001</v>
      </c>
      <c r="J27" s="9">
        <v>441.75599999999997</v>
      </c>
      <c r="K27" s="21">
        <v>43546</v>
      </c>
      <c r="L27" s="3">
        <v>0.80555555555555558</v>
      </c>
      <c r="M27" s="7" t="s">
        <v>27</v>
      </c>
      <c r="N27" s="19">
        <v>420.72</v>
      </c>
      <c r="O27" s="15">
        <v>4.7619047620000003</v>
      </c>
      <c r="P27" s="9">
        <v>21.036000000000001</v>
      </c>
      <c r="Q27" s="11">
        <v>8.5</v>
      </c>
    </row>
    <row r="28" spans="1:17" x14ac:dyDescent="0.25">
      <c r="A28" s="5" t="s">
        <v>56</v>
      </c>
      <c r="B28" s="7" t="s">
        <v>36</v>
      </c>
      <c r="C28" s="7" t="s">
        <v>37</v>
      </c>
      <c r="D28" s="7" t="s">
        <v>21</v>
      </c>
      <c r="E28" s="7" t="s">
        <v>25</v>
      </c>
      <c r="F28" s="7" t="s">
        <v>40</v>
      </c>
      <c r="G28" s="9">
        <v>33.520000000000003</v>
      </c>
      <c r="H28" s="13">
        <v>1</v>
      </c>
      <c r="I28" s="17">
        <v>1.6759999999999999</v>
      </c>
      <c r="J28" s="9">
        <v>35.195999999999998</v>
      </c>
      <c r="K28" s="21">
        <v>43504</v>
      </c>
      <c r="L28" s="3">
        <v>0.64652777777777781</v>
      </c>
      <c r="M28" s="7" t="s">
        <v>23</v>
      </c>
      <c r="N28" s="19">
        <v>33.520000000000003</v>
      </c>
      <c r="O28" s="15">
        <v>4.7619047620000003</v>
      </c>
      <c r="P28" s="9">
        <v>1.6759999999999999</v>
      </c>
      <c r="Q28" s="11">
        <v>6.7</v>
      </c>
    </row>
    <row r="29" spans="1:17" x14ac:dyDescent="0.25">
      <c r="A29" s="5" t="s">
        <v>57</v>
      </c>
      <c r="B29" s="7" t="s">
        <v>13</v>
      </c>
      <c r="C29" s="7" t="s">
        <v>14</v>
      </c>
      <c r="D29" s="7" t="s">
        <v>21</v>
      </c>
      <c r="E29" s="7" t="s">
        <v>16</v>
      </c>
      <c r="F29" s="7" t="s">
        <v>40</v>
      </c>
      <c r="G29" s="9">
        <v>87.67</v>
      </c>
      <c r="H29" s="13">
        <v>2</v>
      </c>
      <c r="I29" s="17">
        <v>8.7669999999999995</v>
      </c>
      <c r="J29" s="9">
        <v>184.107</v>
      </c>
      <c r="K29" s="21">
        <v>43534</v>
      </c>
      <c r="L29" s="3">
        <v>0.51180555555555551</v>
      </c>
      <c r="M29" s="7" t="s">
        <v>27</v>
      </c>
      <c r="N29" s="19">
        <v>175.34</v>
      </c>
      <c r="O29" s="15">
        <v>4.7619047620000003</v>
      </c>
      <c r="P29" s="9">
        <v>8.7669999999999995</v>
      </c>
      <c r="Q29" s="11">
        <v>7.7</v>
      </c>
    </row>
    <row r="30" spans="1:17" x14ac:dyDescent="0.25">
      <c r="A30" s="5" t="s">
        <v>58</v>
      </c>
      <c r="B30" s="7" t="s">
        <v>36</v>
      </c>
      <c r="C30" s="7" t="s">
        <v>37</v>
      </c>
      <c r="D30" s="7" t="s">
        <v>21</v>
      </c>
      <c r="E30" s="7" t="s">
        <v>16</v>
      </c>
      <c r="F30" s="7" t="s">
        <v>38</v>
      </c>
      <c r="G30" s="9">
        <v>88.36</v>
      </c>
      <c r="H30" s="13">
        <v>5</v>
      </c>
      <c r="I30" s="17">
        <v>22.09</v>
      </c>
      <c r="J30" s="9">
        <v>463.89</v>
      </c>
      <c r="K30" s="21">
        <v>43490</v>
      </c>
      <c r="L30" s="3">
        <v>0.82499999999999996</v>
      </c>
      <c r="M30" s="7" t="s">
        <v>23</v>
      </c>
      <c r="N30" s="19">
        <v>441.8</v>
      </c>
      <c r="O30" s="15">
        <v>4.7619047620000003</v>
      </c>
      <c r="P30" s="9">
        <v>22.09</v>
      </c>
      <c r="Q30" s="11">
        <v>9.6</v>
      </c>
    </row>
    <row r="31" spans="1:17" x14ac:dyDescent="0.25">
      <c r="A31" s="5" t="s">
        <v>59</v>
      </c>
      <c r="B31" s="7" t="s">
        <v>13</v>
      </c>
      <c r="C31" s="7" t="s">
        <v>14</v>
      </c>
      <c r="D31" s="7" t="s">
        <v>21</v>
      </c>
      <c r="E31" s="7" t="s">
        <v>25</v>
      </c>
      <c r="F31" s="7" t="s">
        <v>17</v>
      </c>
      <c r="G31" s="9">
        <v>24.89</v>
      </c>
      <c r="H31" s="13">
        <v>9</v>
      </c>
      <c r="I31" s="17">
        <v>11.2005</v>
      </c>
      <c r="J31" s="9">
        <v>235.2105</v>
      </c>
      <c r="K31" s="21">
        <v>43539</v>
      </c>
      <c r="L31" s="3">
        <v>0.65</v>
      </c>
      <c r="M31" s="7" t="s">
        <v>23</v>
      </c>
      <c r="N31" s="19">
        <v>224.01</v>
      </c>
      <c r="O31" s="15">
        <v>4.7619047620000003</v>
      </c>
      <c r="P31" s="9">
        <v>11.2005</v>
      </c>
      <c r="Q31" s="11">
        <v>7.4</v>
      </c>
    </row>
    <row r="32" spans="1:17" x14ac:dyDescent="0.25">
      <c r="A32" s="5" t="s">
        <v>60</v>
      </c>
      <c r="B32" s="7" t="s">
        <v>36</v>
      </c>
      <c r="C32" s="7" t="s">
        <v>37</v>
      </c>
      <c r="D32" s="7" t="s">
        <v>21</v>
      </c>
      <c r="E32" s="7" t="s">
        <v>25</v>
      </c>
      <c r="F32" s="7" t="s">
        <v>40</v>
      </c>
      <c r="G32" s="9">
        <v>94.13</v>
      </c>
      <c r="H32" s="13">
        <v>5</v>
      </c>
      <c r="I32" s="17">
        <v>23.532499999999999</v>
      </c>
      <c r="J32" s="9">
        <v>494.1825</v>
      </c>
      <c r="K32" s="21">
        <v>43521</v>
      </c>
      <c r="L32" s="3">
        <v>0.81874999999999998</v>
      </c>
      <c r="M32" s="7" t="s">
        <v>27</v>
      </c>
      <c r="N32" s="19">
        <v>470.65</v>
      </c>
      <c r="O32" s="15">
        <v>4.7619047620000003</v>
      </c>
      <c r="P32" s="9">
        <v>23.532499999999999</v>
      </c>
      <c r="Q32" s="11">
        <v>4.8</v>
      </c>
    </row>
    <row r="33" spans="1:17" x14ac:dyDescent="0.25">
      <c r="A33" s="5" t="s">
        <v>61</v>
      </c>
      <c r="B33" s="7" t="s">
        <v>36</v>
      </c>
      <c r="C33" s="7" t="s">
        <v>37</v>
      </c>
      <c r="D33" s="7" t="s">
        <v>15</v>
      </c>
      <c r="E33" s="7" t="s">
        <v>25</v>
      </c>
      <c r="F33" s="7" t="s">
        <v>30</v>
      </c>
      <c r="G33" s="9">
        <v>78.069999999999993</v>
      </c>
      <c r="H33" s="13">
        <v>9</v>
      </c>
      <c r="I33" s="17">
        <v>35.131500000000003</v>
      </c>
      <c r="J33" s="9">
        <v>737.76149999999996</v>
      </c>
      <c r="K33" s="21">
        <v>43493</v>
      </c>
      <c r="L33" s="3">
        <v>0.52986111111111112</v>
      </c>
      <c r="M33" s="7" t="s">
        <v>23</v>
      </c>
      <c r="N33" s="19">
        <v>702.63</v>
      </c>
      <c r="O33" s="15">
        <v>4.7619047620000003</v>
      </c>
      <c r="P33" s="9">
        <v>35.131500000000003</v>
      </c>
      <c r="Q33" s="11">
        <v>4.5</v>
      </c>
    </row>
    <row r="34" spans="1:17" x14ac:dyDescent="0.25">
      <c r="A34" s="5" t="s">
        <v>62</v>
      </c>
      <c r="B34" s="7" t="s">
        <v>36</v>
      </c>
      <c r="C34" s="7" t="s">
        <v>37</v>
      </c>
      <c r="D34" s="7" t="s">
        <v>21</v>
      </c>
      <c r="E34" s="7" t="s">
        <v>25</v>
      </c>
      <c r="F34" s="7" t="s">
        <v>30</v>
      </c>
      <c r="G34" s="9">
        <v>83.78</v>
      </c>
      <c r="H34" s="13">
        <v>8</v>
      </c>
      <c r="I34" s="17">
        <v>33.512</v>
      </c>
      <c r="J34" s="9">
        <v>703.75199999999995</v>
      </c>
      <c r="K34" s="21">
        <v>43475</v>
      </c>
      <c r="L34" s="3">
        <v>0.61736111111111114</v>
      </c>
      <c r="M34" s="7" t="s">
        <v>23</v>
      </c>
      <c r="N34" s="19">
        <v>670.24</v>
      </c>
      <c r="O34" s="15">
        <v>4.7619047620000003</v>
      </c>
      <c r="P34" s="9">
        <v>33.512</v>
      </c>
      <c r="Q34" s="11">
        <v>5.0999999999999996</v>
      </c>
    </row>
    <row r="35" spans="1:17" x14ac:dyDescent="0.25">
      <c r="A35" s="5" t="s">
        <v>63</v>
      </c>
      <c r="B35" s="7" t="s">
        <v>13</v>
      </c>
      <c r="C35" s="7" t="s">
        <v>14</v>
      </c>
      <c r="D35" s="7" t="s">
        <v>21</v>
      </c>
      <c r="E35" s="7" t="s">
        <v>25</v>
      </c>
      <c r="F35" s="7" t="s">
        <v>17</v>
      </c>
      <c r="G35" s="9">
        <v>96.58</v>
      </c>
      <c r="H35" s="13">
        <v>2</v>
      </c>
      <c r="I35" s="17">
        <v>9.6579999999999995</v>
      </c>
      <c r="J35" s="9">
        <v>202.81800000000001</v>
      </c>
      <c r="K35" s="21">
        <v>43539</v>
      </c>
      <c r="L35" s="3">
        <v>0.42499999999999999</v>
      </c>
      <c r="M35" s="7" t="s">
        <v>27</v>
      </c>
      <c r="N35" s="19">
        <v>193.16</v>
      </c>
      <c r="O35" s="15">
        <v>4.7619047620000003</v>
      </c>
      <c r="P35" s="9">
        <v>9.6579999999999995</v>
      </c>
      <c r="Q35" s="11">
        <v>5.0999999999999996</v>
      </c>
    </row>
    <row r="36" spans="1:17" x14ac:dyDescent="0.25">
      <c r="A36" s="5" t="s">
        <v>64</v>
      </c>
      <c r="B36" s="7" t="s">
        <v>20</v>
      </c>
      <c r="C36" s="7" t="s">
        <v>1034</v>
      </c>
      <c r="D36" s="7" t="s">
        <v>15</v>
      </c>
      <c r="E36" s="7" t="s">
        <v>16</v>
      </c>
      <c r="F36" s="7" t="s">
        <v>38</v>
      </c>
      <c r="G36" s="9">
        <v>99.42</v>
      </c>
      <c r="H36" s="13">
        <v>4</v>
      </c>
      <c r="I36" s="17">
        <v>19.884</v>
      </c>
      <c r="J36" s="9">
        <v>417.56400000000002</v>
      </c>
      <c r="K36" s="21">
        <v>43502</v>
      </c>
      <c r="L36" s="3">
        <v>0.44583333333333336</v>
      </c>
      <c r="M36" s="7" t="s">
        <v>18</v>
      </c>
      <c r="N36" s="19">
        <v>397.68</v>
      </c>
      <c r="O36" s="15">
        <v>4.7619047620000003</v>
      </c>
      <c r="P36" s="9">
        <v>19.884</v>
      </c>
      <c r="Q36" s="11">
        <v>7.5</v>
      </c>
    </row>
    <row r="37" spans="1:17" x14ac:dyDescent="0.25">
      <c r="A37" s="5" t="s">
        <v>65</v>
      </c>
      <c r="B37" s="7" t="s">
        <v>20</v>
      </c>
      <c r="C37" s="7" t="s">
        <v>1034</v>
      </c>
      <c r="D37" s="7" t="s">
        <v>15</v>
      </c>
      <c r="E37" s="7" t="s">
        <v>16</v>
      </c>
      <c r="F37" s="7" t="s">
        <v>30</v>
      </c>
      <c r="G37" s="9">
        <v>68.12</v>
      </c>
      <c r="H37" s="13">
        <v>1</v>
      </c>
      <c r="I37" s="17">
        <v>3.4060000000000001</v>
      </c>
      <c r="J37" s="9">
        <v>71.525999999999996</v>
      </c>
      <c r="K37" s="21">
        <v>43472</v>
      </c>
      <c r="L37" s="3">
        <v>0.51944444444444449</v>
      </c>
      <c r="M37" s="7" t="s">
        <v>18</v>
      </c>
      <c r="N37" s="19">
        <v>68.12</v>
      </c>
      <c r="O37" s="15">
        <v>4.7619047620000003</v>
      </c>
      <c r="P37" s="9">
        <v>3.4060000000000001</v>
      </c>
      <c r="Q37" s="11">
        <v>6.8</v>
      </c>
    </row>
    <row r="38" spans="1:17" x14ac:dyDescent="0.25">
      <c r="A38" s="5" t="s">
        <v>66</v>
      </c>
      <c r="B38" s="7" t="s">
        <v>13</v>
      </c>
      <c r="C38" s="7" t="s">
        <v>14</v>
      </c>
      <c r="D38" s="7" t="s">
        <v>15</v>
      </c>
      <c r="E38" s="7" t="s">
        <v>25</v>
      </c>
      <c r="F38" s="7" t="s">
        <v>30</v>
      </c>
      <c r="G38" s="9">
        <v>62.62</v>
      </c>
      <c r="H38" s="13">
        <v>5</v>
      </c>
      <c r="I38" s="17">
        <v>15.654999999999999</v>
      </c>
      <c r="J38" s="9">
        <v>328.755</v>
      </c>
      <c r="K38" s="21">
        <v>43534</v>
      </c>
      <c r="L38" s="3">
        <v>0.80208333333333337</v>
      </c>
      <c r="M38" s="7" t="s">
        <v>18</v>
      </c>
      <c r="N38" s="19">
        <v>313.10000000000002</v>
      </c>
      <c r="O38" s="15">
        <v>4.7619047620000003</v>
      </c>
      <c r="P38" s="9">
        <v>15.654999999999999</v>
      </c>
      <c r="Q38" s="11">
        <v>7</v>
      </c>
    </row>
    <row r="39" spans="1:17" x14ac:dyDescent="0.25">
      <c r="A39" s="5" t="s">
        <v>67</v>
      </c>
      <c r="B39" s="7" t="s">
        <v>13</v>
      </c>
      <c r="C39" s="7" t="s">
        <v>14</v>
      </c>
      <c r="D39" s="7" t="s">
        <v>21</v>
      </c>
      <c r="E39" s="7" t="s">
        <v>16</v>
      </c>
      <c r="F39" s="7" t="s">
        <v>22</v>
      </c>
      <c r="G39" s="9">
        <v>60.88</v>
      </c>
      <c r="H39" s="13">
        <v>9</v>
      </c>
      <c r="I39" s="17">
        <v>27.396000000000001</v>
      </c>
      <c r="J39" s="9">
        <v>575.31600000000003</v>
      </c>
      <c r="K39" s="21">
        <v>43480</v>
      </c>
      <c r="L39" s="3">
        <v>0.72013888888888888</v>
      </c>
      <c r="M39" s="7" t="s">
        <v>18</v>
      </c>
      <c r="N39" s="19">
        <v>547.91999999999996</v>
      </c>
      <c r="O39" s="15">
        <v>4.7619047620000003</v>
      </c>
      <c r="P39" s="9">
        <v>27.396000000000001</v>
      </c>
      <c r="Q39" s="11">
        <v>4.7</v>
      </c>
    </row>
    <row r="40" spans="1:17" x14ac:dyDescent="0.25">
      <c r="A40" s="5" t="s">
        <v>68</v>
      </c>
      <c r="B40" s="7" t="s">
        <v>20</v>
      </c>
      <c r="C40" s="7" t="s">
        <v>1034</v>
      </c>
      <c r="D40" s="7" t="s">
        <v>21</v>
      </c>
      <c r="E40" s="7" t="s">
        <v>16</v>
      </c>
      <c r="F40" s="7" t="s">
        <v>17</v>
      </c>
      <c r="G40" s="9">
        <v>54.92</v>
      </c>
      <c r="H40" s="13">
        <v>8</v>
      </c>
      <c r="I40" s="17">
        <v>21.968</v>
      </c>
      <c r="J40" s="9">
        <v>461.32799999999997</v>
      </c>
      <c r="K40" s="21">
        <v>43547</v>
      </c>
      <c r="L40" s="3">
        <v>0.55833333333333335</v>
      </c>
      <c r="M40" s="7" t="s">
        <v>18</v>
      </c>
      <c r="N40" s="19">
        <v>439.36</v>
      </c>
      <c r="O40" s="15">
        <v>4.7619047620000003</v>
      </c>
      <c r="P40" s="9">
        <v>21.968</v>
      </c>
      <c r="Q40" s="11">
        <v>7.6</v>
      </c>
    </row>
    <row r="41" spans="1:17" x14ac:dyDescent="0.25">
      <c r="A41" s="5" t="s">
        <v>69</v>
      </c>
      <c r="B41" s="7" t="s">
        <v>36</v>
      </c>
      <c r="C41" s="7" t="s">
        <v>37</v>
      </c>
      <c r="D41" s="7" t="s">
        <v>15</v>
      </c>
      <c r="E41" s="7" t="s">
        <v>25</v>
      </c>
      <c r="F41" s="7" t="s">
        <v>26</v>
      </c>
      <c r="G41" s="9">
        <v>30.12</v>
      </c>
      <c r="H41" s="13">
        <v>8</v>
      </c>
      <c r="I41" s="17">
        <v>12.048</v>
      </c>
      <c r="J41" s="9">
        <v>253.00800000000001</v>
      </c>
      <c r="K41" s="21">
        <v>43527</v>
      </c>
      <c r="L41" s="3">
        <v>0.54236111111111107</v>
      </c>
      <c r="M41" s="7" t="s">
        <v>23</v>
      </c>
      <c r="N41" s="19">
        <v>240.96</v>
      </c>
      <c r="O41" s="15">
        <v>4.7619047620000003</v>
      </c>
      <c r="P41" s="9">
        <v>12.048</v>
      </c>
      <c r="Q41" s="11">
        <v>7.7</v>
      </c>
    </row>
    <row r="42" spans="1:17" x14ac:dyDescent="0.25">
      <c r="A42" s="5" t="s">
        <v>70</v>
      </c>
      <c r="B42" s="7" t="s">
        <v>36</v>
      </c>
      <c r="C42" s="7" t="s">
        <v>37</v>
      </c>
      <c r="D42" s="7" t="s">
        <v>15</v>
      </c>
      <c r="E42" s="7" t="s">
        <v>16</v>
      </c>
      <c r="F42" s="7" t="s">
        <v>26</v>
      </c>
      <c r="G42" s="9">
        <v>86.72</v>
      </c>
      <c r="H42" s="13">
        <v>1</v>
      </c>
      <c r="I42" s="17">
        <v>4.3360000000000003</v>
      </c>
      <c r="J42" s="9">
        <v>91.055999999999997</v>
      </c>
      <c r="K42" s="21">
        <v>43482</v>
      </c>
      <c r="L42" s="3">
        <v>0.78125</v>
      </c>
      <c r="M42" s="7" t="s">
        <v>18</v>
      </c>
      <c r="N42" s="19">
        <v>86.72</v>
      </c>
      <c r="O42" s="15">
        <v>4.7619047620000003</v>
      </c>
      <c r="P42" s="9">
        <v>4.3360000000000003</v>
      </c>
      <c r="Q42" s="11">
        <v>7.9</v>
      </c>
    </row>
    <row r="43" spans="1:17" x14ac:dyDescent="0.25">
      <c r="A43" s="5" t="s">
        <v>71</v>
      </c>
      <c r="B43" s="7" t="s">
        <v>20</v>
      </c>
      <c r="C43" s="7" t="s">
        <v>1034</v>
      </c>
      <c r="D43" s="7" t="s">
        <v>15</v>
      </c>
      <c r="E43" s="7" t="s">
        <v>25</v>
      </c>
      <c r="F43" s="7" t="s">
        <v>26</v>
      </c>
      <c r="G43" s="9">
        <v>56.11</v>
      </c>
      <c r="H43" s="13">
        <v>2</v>
      </c>
      <c r="I43" s="17">
        <v>5.6109999999999998</v>
      </c>
      <c r="J43" s="9">
        <v>117.831</v>
      </c>
      <c r="K43" s="21">
        <v>43498</v>
      </c>
      <c r="L43" s="3">
        <v>0.42430555555555555</v>
      </c>
      <c r="M43" s="7" t="s">
        <v>23</v>
      </c>
      <c r="N43" s="19">
        <v>112.22</v>
      </c>
      <c r="O43" s="15">
        <v>4.7619047620000003</v>
      </c>
      <c r="P43" s="9">
        <v>5.6109999999999998</v>
      </c>
      <c r="Q43" s="11">
        <v>6.3</v>
      </c>
    </row>
    <row r="44" spans="1:17" x14ac:dyDescent="0.25">
      <c r="A44" s="5" t="s">
        <v>72</v>
      </c>
      <c r="B44" s="7" t="s">
        <v>36</v>
      </c>
      <c r="C44" s="7" t="s">
        <v>37</v>
      </c>
      <c r="D44" s="7" t="s">
        <v>15</v>
      </c>
      <c r="E44" s="7" t="s">
        <v>16</v>
      </c>
      <c r="F44" s="7" t="s">
        <v>30</v>
      </c>
      <c r="G44" s="9">
        <v>69.12</v>
      </c>
      <c r="H44" s="13">
        <v>6</v>
      </c>
      <c r="I44" s="17">
        <v>20.736000000000001</v>
      </c>
      <c r="J44" s="9">
        <v>435.45600000000002</v>
      </c>
      <c r="K44" s="21">
        <v>43504</v>
      </c>
      <c r="L44" s="3">
        <v>0.54374999999999996</v>
      </c>
      <c r="M44" s="7" t="s">
        <v>23</v>
      </c>
      <c r="N44" s="19">
        <v>414.72</v>
      </c>
      <c r="O44" s="15">
        <v>4.7619047620000003</v>
      </c>
      <c r="P44" s="9">
        <v>20.736000000000001</v>
      </c>
      <c r="Q44" s="11">
        <v>5.6</v>
      </c>
    </row>
    <row r="45" spans="1:17" x14ac:dyDescent="0.25">
      <c r="A45" s="5" t="s">
        <v>73</v>
      </c>
      <c r="B45" s="7" t="s">
        <v>20</v>
      </c>
      <c r="C45" s="7" t="s">
        <v>1034</v>
      </c>
      <c r="D45" s="7" t="s">
        <v>15</v>
      </c>
      <c r="E45" s="7" t="s">
        <v>16</v>
      </c>
      <c r="F45" s="7" t="s">
        <v>38</v>
      </c>
      <c r="G45" s="9">
        <v>98.7</v>
      </c>
      <c r="H45" s="13">
        <v>8</v>
      </c>
      <c r="I45" s="17">
        <v>39.479999999999997</v>
      </c>
      <c r="J45" s="9">
        <v>829.08</v>
      </c>
      <c r="K45" s="21">
        <v>43528</v>
      </c>
      <c r="L45" s="3">
        <v>0.86041666666666672</v>
      </c>
      <c r="M45" s="7" t="s">
        <v>23</v>
      </c>
      <c r="N45" s="19">
        <v>789.6</v>
      </c>
      <c r="O45" s="15">
        <v>4.7619047620000003</v>
      </c>
      <c r="P45" s="9">
        <v>39.479999999999997</v>
      </c>
      <c r="Q45" s="11">
        <v>7.6</v>
      </c>
    </row>
    <row r="46" spans="1:17" x14ac:dyDescent="0.25">
      <c r="A46" s="5" t="s">
        <v>74</v>
      </c>
      <c r="B46" s="7" t="s">
        <v>20</v>
      </c>
      <c r="C46" s="7" t="s">
        <v>1034</v>
      </c>
      <c r="D46" s="7" t="s">
        <v>15</v>
      </c>
      <c r="E46" s="7" t="s">
        <v>25</v>
      </c>
      <c r="F46" s="7" t="s">
        <v>17</v>
      </c>
      <c r="G46" s="9">
        <v>15.37</v>
      </c>
      <c r="H46" s="13">
        <v>2</v>
      </c>
      <c r="I46" s="17">
        <v>1.5369999999999999</v>
      </c>
      <c r="J46" s="9">
        <v>32.277000000000001</v>
      </c>
      <c r="K46" s="21">
        <v>43540</v>
      </c>
      <c r="L46" s="3">
        <v>0.82430555555555551</v>
      </c>
      <c r="M46" s="7" t="s">
        <v>23</v>
      </c>
      <c r="N46" s="19">
        <v>30.74</v>
      </c>
      <c r="O46" s="15">
        <v>4.7619047620000003</v>
      </c>
      <c r="P46" s="9">
        <v>1.5369999999999999</v>
      </c>
      <c r="Q46" s="11">
        <v>7.2</v>
      </c>
    </row>
    <row r="47" spans="1:17" x14ac:dyDescent="0.25">
      <c r="A47" s="5" t="s">
        <v>75</v>
      </c>
      <c r="B47" s="7" t="s">
        <v>36</v>
      </c>
      <c r="C47" s="7" t="s">
        <v>37</v>
      </c>
      <c r="D47" s="7" t="s">
        <v>15</v>
      </c>
      <c r="E47" s="7" t="s">
        <v>16</v>
      </c>
      <c r="F47" s="7" t="s">
        <v>22</v>
      </c>
      <c r="G47" s="9">
        <v>93.96</v>
      </c>
      <c r="H47" s="13">
        <v>4</v>
      </c>
      <c r="I47" s="17">
        <v>18.792000000000002</v>
      </c>
      <c r="J47" s="9">
        <v>394.63200000000001</v>
      </c>
      <c r="K47" s="21">
        <v>43533</v>
      </c>
      <c r="L47" s="3">
        <v>0.75</v>
      </c>
      <c r="M47" s="7" t="s">
        <v>23</v>
      </c>
      <c r="N47" s="19">
        <v>375.84</v>
      </c>
      <c r="O47" s="15">
        <v>4.7619047620000003</v>
      </c>
      <c r="P47" s="9">
        <v>18.792000000000002</v>
      </c>
      <c r="Q47" s="11">
        <v>9.5</v>
      </c>
    </row>
    <row r="48" spans="1:17" x14ac:dyDescent="0.25">
      <c r="A48" s="5" t="s">
        <v>76</v>
      </c>
      <c r="B48" s="7" t="s">
        <v>36</v>
      </c>
      <c r="C48" s="7" t="s">
        <v>37</v>
      </c>
      <c r="D48" s="7" t="s">
        <v>15</v>
      </c>
      <c r="E48" s="7" t="s">
        <v>25</v>
      </c>
      <c r="F48" s="7" t="s">
        <v>17</v>
      </c>
      <c r="G48" s="9">
        <v>56.69</v>
      </c>
      <c r="H48" s="13">
        <v>9</v>
      </c>
      <c r="I48" s="17">
        <v>25.5105</v>
      </c>
      <c r="J48" s="9">
        <v>535.72050000000002</v>
      </c>
      <c r="K48" s="21">
        <v>43523</v>
      </c>
      <c r="L48" s="3">
        <v>0.72499999999999998</v>
      </c>
      <c r="M48" s="7" t="s">
        <v>27</v>
      </c>
      <c r="N48" s="19">
        <v>510.21</v>
      </c>
      <c r="O48" s="15">
        <v>4.7619047620000003</v>
      </c>
      <c r="P48" s="9">
        <v>25.5105</v>
      </c>
      <c r="Q48" s="11">
        <v>8.4</v>
      </c>
    </row>
    <row r="49" spans="1:17" x14ac:dyDescent="0.25">
      <c r="A49" s="5" t="s">
        <v>77</v>
      </c>
      <c r="B49" s="7" t="s">
        <v>36</v>
      </c>
      <c r="C49" s="7" t="s">
        <v>37</v>
      </c>
      <c r="D49" s="7" t="s">
        <v>15</v>
      </c>
      <c r="E49" s="7" t="s">
        <v>16</v>
      </c>
      <c r="F49" s="7" t="s">
        <v>38</v>
      </c>
      <c r="G49" s="9">
        <v>20.010000000000002</v>
      </c>
      <c r="H49" s="13">
        <v>9</v>
      </c>
      <c r="I49" s="17">
        <v>9.0045000000000002</v>
      </c>
      <c r="J49" s="9">
        <v>189.09450000000001</v>
      </c>
      <c r="K49" s="21">
        <v>43502</v>
      </c>
      <c r="L49" s="3">
        <v>0.65763888888888888</v>
      </c>
      <c r="M49" s="7" t="s">
        <v>18</v>
      </c>
      <c r="N49" s="19">
        <v>180.09</v>
      </c>
      <c r="O49" s="15">
        <v>4.7619047620000003</v>
      </c>
      <c r="P49" s="9">
        <v>9.0045000000000002</v>
      </c>
      <c r="Q49" s="11">
        <v>4.0999999999999996</v>
      </c>
    </row>
    <row r="50" spans="1:17" x14ac:dyDescent="0.25">
      <c r="A50" s="5" t="s">
        <v>78</v>
      </c>
      <c r="B50" s="7" t="s">
        <v>36</v>
      </c>
      <c r="C50" s="7" t="s">
        <v>37</v>
      </c>
      <c r="D50" s="7" t="s">
        <v>15</v>
      </c>
      <c r="E50" s="7" t="s">
        <v>25</v>
      </c>
      <c r="F50" s="7" t="s">
        <v>22</v>
      </c>
      <c r="G50" s="9">
        <v>18.93</v>
      </c>
      <c r="H50" s="13">
        <v>6</v>
      </c>
      <c r="I50" s="17">
        <v>5.6790000000000003</v>
      </c>
      <c r="J50" s="9">
        <v>119.259</v>
      </c>
      <c r="K50" s="21">
        <v>43506</v>
      </c>
      <c r="L50" s="3">
        <v>0.53125</v>
      </c>
      <c r="M50" s="7" t="s">
        <v>27</v>
      </c>
      <c r="N50" s="19">
        <v>113.58</v>
      </c>
      <c r="O50" s="15">
        <v>4.7619047620000003</v>
      </c>
      <c r="P50" s="9">
        <v>5.6790000000000003</v>
      </c>
      <c r="Q50" s="11">
        <v>8.1</v>
      </c>
    </row>
    <row r="51" spans="1:17" x14ac:dyDescent="0.25">
      <c r="A51" s="5" t="s">
        <v>79</v>
      </c>
      <c r="B51" s="7" t="s">
        <v>20</v>
      </c>
      <c r="C51" s="7" t="s">
        <v>1034</v>
      </c>
      <c r="D51" s="7" t="s">
        <v>15</v>
      </c>
      <c r="E51" s="7" t="s">
        <v>16</v>
      </c>
      <c r="F51" s="7" t="s">
        <v>40</v>
      </c>
      <c r="G51" s="9">
        <v>82.63</v>
      </c>
      <c r="H51" s="13">
        <v>10</v>
      </c>
      <c r="I51" s="17">
        <v>41.314999999999998</v>
      </c>
      <c r="J51" s="9">
        <v>867.61500000000001</v>
      </c>
      <c r="K51" s="21">
        <v>43543</v>
      </c>
      <c r="L51" s="3">
        <v>0.71388888888888891</v>
      </c>
      <c r="M51" s="7" t="s">
        <v>18</v>
      </c>
      <c r="N51" s="19">
        <v>826.3</v>
      </c>
      <c r="O51" s="15">
        <v>4.7619047620000003</v>
      </c>
      <c r="P51" s="9">
        <v>41.314999999999998</v>
      </c>
      <c r="Q51" s="11">
        <v>7.9</v>
      </c>
    </row>
    <row r="52" spans="1:17" x14ac:dyDescent="0.25">
      <c r="A52" s="5" t="s">
        <v>80</v>
      </c>
      <c r="B52" s="7" t="s">
        <v>20</v>
      </c>
      <c r="C52" s="7" t="s">
        <v>1034</v>
      </c>
      <c r="D52" s="7" t="s">
        <v>15</v>
      </c>
      <c r="E52" s="7" t="s">
        <v>25</v>
      </c>
      <c r="F52" s="7" t="s">
        <v>38</v>
      </c>
      <c r="G52" s="9">
        <v>91.4</v>
      </c>
      <c r="H52" s="13">
        <v>7</v>
      </c>
      <c r="I52" s="17">
        <v>31.99</v>
      </c>
      <c r="J52" s="9">
        <v>671.79</v>
      </c>
      <c r="K52" s="21">
        <v>43499</v>
      </c>
      <c r="L52" s="3">
        <v>0.42986111111111114</v>
      </c>
      <c r="M52" s="7" t="s">
        <v>23</v>
      </c>
      <c r="N52" s="19">
        <v>639.79999999999995</v>
      </c>
      <c r="O52" s="15">
        <v>4.7619047620000003</v>
      </c>
      <c r="P52" s="9">
        <v>31.99</v>
      </c>
      <c r="Q52" s="11">
        <v>9.5</v>
      </c>
    </row>
    <row r="53" spans="1:17" x14ac:dyDescent="0.25">
      <c r="A53" s="5" t="s">
        <v>81</v>
      </c>
      <c r="B53" s="7" t="s">
        <v>13</v>
      </c>
      <c r="C53" s="7" t="s">
        <v>14</v>
      </c>
      <c r="D53" s="7" t="s">
        <v>15</v>
      </c>
      <c r="E53" s="7" t="s">
        <v>16</v>
      </c>
      <c r="F53" s="7" t="s">
        <v>38</v>
      </c>
      <c r="G53" s="9">
        <v>44.59</v>
      </c>
      <c r="H53" s="13">
        <v>5</v>
      </c>
      <c r="I53" s="17">
        <v>11.147500000000001</v>
      </c>
      <c r="J53" s="9">
        <v>234.0975</v>
      </c>
      <c r="K53" s="21">
        <v>43506</v>
      </c>
      <c r="L53" s="3">
        <v>0.63194444444444442</v>
      </c>
      <c r="M53" s="7" t="s">
        <v>23</v>
      </c>
      <c r="N53" s="19">
        <v>222.95</v>
      </c>
      <c r="O53" s="15">
        <v>4.7619047620000003</v>
      </c>
      <c r="P53" s="9">
        <v>11.147500000000001</v>
      </c>
      <c r="Q53" s="11">
        <v>8.5</v>
      </c>
    </row>
    <row r="54" spans="1:17" x14ac:dyDescent="0.25">
      <c r="A54" s="5" t="s">
        <v>82</v>
      </c>
      <c r="B54" s="7" t="s">
        <v>36</v>
      </c>
      <c r="C54" s="7" t="s">
        <v>37</v>
      </c>
      <c r="D54" s="7" t="s">
        <v>15</v>
      </c>
      <c r="E54" s="7" t="s">
        <v>16</v>
      </c>
      <c r="F54" s="7" t="s">
        <v>40</v>
      </c>
      <c r="G54" s="9">
        <v>17.87</v>
      </c>
      <c r="H54" s="13">
        <v>4</v>
      </c>
      <c r="I54" s="17">
        <v>3.5739999999999998</v>
      </c>
      <c r="J54" s="9">
        <v>75.054000000000002</v>
      </c>
      <c r="K54" s="21">
        <v>43546</v>
      </c>
      <c r="L54" s="3">
        <v>0.61250000000000004</v>
      </c>
      <c r="M54" s="7" t="s">
        <v>18</v>
      </c>
      <c r="N54" s="19">
        <v>71.48</v>
      </c>
      <c r="O54" s="15">
        <v>4.7619047620000003</v>
      </c>
      <c r="P54" s="9">
        <v>3.5739999999999998</v>
      </c>
      <c r="Q54" s="11">
        <v>6.5</v>
      </c>
    </row>
    <row r="55" spans="1:17" x14ac:dyDescent="0.25">
      <c r="A55" s="5" t="s">
        <v>83</v>
      </c>
      <c r="B55" s="7" t="s">
        <v>20</v>
      </c>
      <c r="C55" s="7" t="s">
        <v>1034</v>
      </c>
      <c r="D55" s="7" t="s">
        <v>15</v>
      </c>
      <c r="E55" s="7" t="s">
        <v>25</v>
      </c>
      <c r="F55" s="7" t="s">
        <v>40</v>
      </c>
      <c r="G55" s="9">
        <v>15.43</v>
      </c>
      <c r="H55" s="13">
        <v>1</v>
      </c>
      <c r="I55" s="17">
        <v>0.77149999999999996</v>
      </c>
      <c r="J55" s="9">
        <v>16.201499999999999</v>
      </c>
      <c r="K55" s="21">
        <v>43490</v>
      </c>
      <c r="L55" s="3">
        <v>0.65694444444444444</v>
      </c>
      <c r="M55" s="7" t="s">
        <v>27</v>
      </c>
      <c r="N55" s="19">
        <v>15.43</v>
      </c>
      <c r="O55" s="15">
        <v>4.7619047620000003</v>
      </c>
      <c r="P55" s="9">
        <v>0.77149999999999996</v>
      </c>
      <c r="Q55" s="11">
        <v>6.1</v>
      </c>
    </row>
    <row r="56" spans="1:17" x14ac:dyDescent="0.25">
      <c r="A56" s="5" t="s">
        <v>84</v>
      </c>
      <c r="B56" s="7" t="s">
        <v>36</v>
      </c>
      <c r="C56" s="7" t="s">
        <v>37</v>
      </c>
      <c r="D56" s="7" t="s">
        <v>21</v>
      </c>
      <c r="E56" s="7" t="s">
        <v>25</v>
      </c>
      <c r="F56" s="7" t="s">
        <v>26</v>
      </c>
      <c r="G56" s="9">
        <v>16.16</v>
      </c>
      <c r="H56" s="13">
        <v>2</v>
      </c>
      <c r="I56" s="17">
        <v>1.6160000000000001</v>
      </c>
      <c r="J56" s="9">
        <v>33.936</v>
      </c>
      <c r="K56" s="21">
        <v>43531</v>
      </c>
      <c r="L56" s="3">
        <v>0.49236111111111114</v>
      </c>
      <c r="M56" s="7" t="s">
        <v>18</v>
      </c>
      <c r="N56" s="19">
        <v>32.32</v>
      </c>
      <c r="O56" s="15">
        <v>4.7619047620000003</v>
      </c>
      <c r="P56" s="9">
        <v>1.6160000000000001</v>
      </c>
      <c r="Q56" s="11">
        <v>6.5</v>
      </c>
    </row>
    <row r="57" spans="1:17" x14ac:dyDescent="0.25">
      <c r="A57" s="5" t="s">
        <v>85</v>
      </c>
      <c r="B57" s="7" t="s">
        <v>20</v>
      </c>
      <c r="C57" s="7" t="s">
        <v>1034</v>
      </c>
      <c r="D57" s="7" t="s">
        <v>21</v>
      </c>
      <c r="E57" s="7" t="s">
        <v>16</v>
      </c>
      <c r="F57" s="7" t="s">
        <v>22</v>
      </c>
      <c r="G57" s="9">
        <v>85.98</v>
      </c>
      <c r="H57" s="13">
        <v>8</v>
      </c>
      <c r="I57" s="17">
        <v>34.392000000000003</v>
      </c>
      <c r="J57" s="9">
        <v>722.23199999999997</v>
      </c>
      <c r="K57" s="21">
        <v>43524</v>
      </c>
      <c r="L57" s="3">
        <v>0.79236111111111107</v>
      </c>
      <c r="M57" s="7" t="s">
        <v>23</v>
      </c>
      <c r="N57" s="19">
        <v>687.84</v>
      </c>
      <c r="O57" s="15">
        <v>4.7619047620000003</v>
      </c>
      <c r="P57" s="9">
        <v>34.392000000000003</v>
      </c>
      <c r="Q57" s="11">
        <v>8.1999999999999993</v>
      </c>
    </row>
    <row r="58" spans="1:17" x14ac:dyDescent="0.25">
      <c r="A58" s="5" t="s">
        <v>86</v>
      </c>
      <c r="B58" s="7" t="s">
        <v>13</v>
      </c>
      <c r="C58" s="7" t="s">
        <v>14</v>
      </c>
      <c r="D58" s="7" t="s">
        <v>15</v>
      </c>
      <c r="E58" s="7" t="s">
        <v>25</v>
      </c>
      <c r="F58" s="7" t="s">
        <v>26</v>
      </c>
      <c r="G58" s="9">
        <v>44.34</v>
      </c>
      <c r="H58" s="13">
        <v>2</v>
      </c>
      <c r="I58" s="17">
        <v>4.4340000000000002</v>
      </c>
      <c r="J58" s="9">
        <v>93.114000000000004</v>
      </c>
      <c r="K58" s="21">
        <v>43551</v>
      </c>
      <c r="L58" s="3">
        <v>0.47638888888888886</v>
      </c>
      <c r="M58" s="7" t="s">
        <v>23</v>
      </c>
      <c r="N58" s="19">
        <v>88.68</v>
      </c>
      <c r="O58" s="15">
        <v>4.7619047620000003</v>
      </c>
      <c r="P58" s="9">
        <v>4.4340000000000002</v>
      </c>
      <c r="Q58" s="11">
        <v>5.8</v>
      </c>
    </row>
    <row r="59" spans="1:17" x14ac:dyDescent="0.25">
      <c r="A59" s="5" t="s">
        <v>87</v>
      </c>
      <c r="B59" s="7" t="s">
        <v>13</v>
      </c>
      <c r="C59" s="7" t="s">
        <v>14</v>
      </c>
      <c r="D59" s="7" t="s">
        <v>21</v>
      </c>
      <c r="E59" s="7" t="s">
        <v>25</v>
      </c>
      <c r="F59" s="7" t="s">
        <v>17</v>
      </c>
      <c r="G59" s="9">
        <v>89.6</v>
      </c>
      <c r="H59" s="13">
        <v>8</v>
      </c>
      <c r="I59" s="17">
        <v>35.840000000000003</v>
      </c>
      <c r="J59" s="9">
        <v>752.64</v>
      </c>
      <c r="K59" s="21">
        <v>43503</v>
      </c>
      <c r="L59" s="3">
        <v>0.4777777777777778</v>
      </c>
      <c r="M59" s="7" t="s">
        <v>18</v>
      </c>
      <c r="N59" s="19">
        <v>716.8</v>
      </c>
      <c r="O59" s="15">
        <v>4.7619047620000003</v>
      </c>
      <c r="P59" s="9">
        <v>35.840000000000003</v>
      </c>
      <c r="Q59" s="11">
        <v>6.6</v>
      </c>
    </row>
    <row r="60" spans="1:17" x14ac:dyDescent="0.25">
      <c r="A60" s="5" t="s">
        <v>88</v>
      </c>
      <c r="B60" s="7" t="s">
        <v>13</v>
      </c>
      <c r="C60" s="7" t="s">
        <v>14</v>
      </c>
      <c r="D60" s="7" t="s">
        <v>15</v>
      </c>
      <c r="E60" s="7" t="s">
        <v>16</v>
      </c>
      <c r="F60" s="7" t="s">
        <v>26</v>
      </c>
      <c r="G60" s="9">
        <v>72.349999999999994</v>
      </c>
      <c r="H60" s="13">
        <v>10</v>
      </c>
      <c r="I60" s="17">
        <v>36.174999999999997</v>
      </c>
      <c r="J60" s="9">
        <v>759.67499999999995</v>
      </c>
      <c r="K60" s="21">
        <v>43485</v>
      </c>
      <c r="L60" s="3">
        <v>0.66319444444444442</v>
      </c>
      <c r="M60" s="7" t="s">
        <v>23</v>
      </c>
      <c r="N60" s="19">
        <v>723.5</v>
      </c>
      <c r="O60" s="15">
        <v>4.7619047620000003</v>
      </c>
      <c r="P60" s="9">
        <v>36.174999999999997</v>
      </c>
      <c r="Q60" s="11">
        <v>5.4</v>
      </c>
    </row>
    <row r="61" spans="1:17" x14ac:dyDescent="0.25">
      <c r="A61" s="5" t="s">
        <v>89</v>
      </c>
      <c r="B61" s="7" t="s">
        <v>20</v>
      </c>
      <c r="C61" s="7" t="s">
        <v>1034</v>
      </c>
      <c r="D61" s="7" t="s">
        <v>21</v>
      </c>
      <c r="E61" s="7" t="s">
        <v>25</v>
      </c>
      <c r="F61" s="7" t="s">
        <v>22</v>
      </c>
      <c r="G61" s="9">
        <v>30.61</v>
      </c>
      <c r="H61" s="13">
        <v>6</v>
      </c>
      <c r="I61" s="17">
        <v>9.1829999999999998</v>
      </c>
      <c r="J61" s="9">
        <v>192.84299999999999</v>
      </c>
      <c r="K61" s="21">
        <v>43536</v>
      </c>
      <c r="L61" s="3">
        <v>0.85833333333333328</v>
      </c>
      <c r="M61" s="7" t="s">
        <v>23</v>
      </c>
      <c r="N61" s="19">
        <v>183.66</v>
      </c>
      <c r="O61" s="15">
        <v>4.7619047620000003</v>
      </c>
      <c r="P61" s="9">
        <v>9.1829999999999998</v>
      </c>
      <c r="Q61" s="11">
        <v>9.3000000000000007</v>
      </c>
    </row>
    <row r="62" spans="1:17" x14ac:dyDescent="0.25">
      <c r="A62" s="5" t="s">
        <v>90</v>
      </c>
      <c r="B62" s="7" t="s">
        <v>20</v>
      </c>
      <c r="C62" s="7" t="s">
        <v>1034</v>
      </c>
      <c r="D62" s="7" t="s">
        <v>15</v>
      </c>
      <c r="E62" s="7" t="s">
        <v>16</v>
      </c>
      <c r="F62" s="7" t="s">
        <v>30</v>
      </c>
      <c r="G62" s="9">
        <v>24.74</v>
      </c>
      <c r="H62" s="13">
        <v>3</v>
      </c>
      <c r="I62" s="17">
        <v>3.7109999999999999</v>
      </c>
      <c r="J62" s="9">
        <v>77.930999999999997</v>
      </c>
      <c r="K62" s="21">
        <v>43511</v>
      </c>
      <c r="L62" s="3">
        <v>0.74097222222222225</v>
      </c>
      <c r="M62" s="7" t="s">
        <v>27</v>
      </c>
      <c r="N62" s="19">
        <v>74.22</v>
      </c>
      <c r="O62" s="15">
        <v>4.7619047620000003</v>
      </c>
      <c r="P62" s="9">
        <v>3.7109999999999999</v>
      </c>
      <c r="Q62" s="11">
        <v>10</v>
      </c>
    </row>
    <row r="63" spans="1:17" x14ac:dyDescent="0.25">
      <c r="A63" s="5" t="s">
        <v>91</v>
      </c>
      <c r="B63" s="7" t="s">
        <v>20</v>
      </c>
      <c r="C63" s="7" t="s">
        <v>1034</v>
      </c>
      <c r="D63" s="7" t="s">
        <v>21</v>
      </c>
      <c r="E63" s="7" t="s">
        <v>25</v>
      </c>
      <c r="F63" s="7" t="s">
        <v>26</v>
      </c>
      <c r="G63" s="9">
        <v>55.73</v>
      </c>
      <c r="H63" s="13">
        <v>6</v>
      </c>
      <c r="I63" s="17">
        <v>16.719000000000001</v>
      </c>
      <c r="J63" s="9">
        <v>351.09899999999999</v>
      </c>
      <c r="K63" s="21">
        <v>43520</v>
      </c>
      <c r="L63" s="3">
        <v>0.4548611111111111</v>
      </c>
      <c r="M63" s="7" t="s">
        <v>18</v>
      </c>
      <c r="N63" s="19">
        <v>334.38</v>
      </c>
      <c r="O63" s="15">
        <v>4.7619047620000003</v>
      </c>
      <c r="P63" s="9">
        <v>16.719000000000001</v>
      </c>
      <c r="Q63" s="11">
        <v>7</v>
      </c>
    </row>
    <row r="64" spans="1:17" x14ac:dyDescent="0.25">
      <c r="A64" s="5" t="s">
        <v>92</v>
      </c>
      <c r="B64" s="7" t="s">
        <v>36</v>
      </c>
      <c r="C64" s="7" t="s">
        <v>37</v>
      </c>
      <c r="D64" s="7" t="s">
        <v>15</v>
      </c>
      <c r="E64" s="7" t="s">
        <v>16</v>
      </c>
      <c r="F64" s="7" t="s">
        <v>30</v>
      </c>
      <c r="G64" s="9">
        <v>55.07</v>
      </c>
      <c r="H64" s="13">
        <v>9</v>
      </c>
      <c r="I64" s="17">
        <v>24.781500000000001</v>
      </c>
      <c r="J64" s="9">
        <v>520.41150000000005</v>
      </c>
      <c r="K64" s="21">
        <v>43499</v>
      </c>
      <c r="L64" s="3">
        <v>0.56944444444444442</v>
      </c>
      <c r="M64" s="7" t="s">
        <v>18</v>
      </c>
      <c r="N64" s="19">
        <v>495.63</v>
      </c>
      <c r="O64" s="15">
        <v>4.7619047620000003</v>
      </c>
      <c r="P64" s="9">
        <v>24.781500000000001</v>
      </c>
      <c r="Q64" s="11">
        <v>10</v>
      </c>
    </row>
    <row r="65" spans="1:17" x14ac:dyDescent="0.25">
      <c r="A65" s="5" t="s">
        <v>93</v>
      </c>
      <c r="B65" s="7" t="s">
        <v>13</v>
      </c>
      <c r="C65" s="7" t="s">
        <v>14</v>
      </c>
      <c r="D65" s="7" t="s">
        <v>15</v>
      </c>
      <c r="E65" s="7" t="s">
        <v>25</v>
      </c>
      <c r="F65" s="7" t="s">
        <v>30</v>
      </c>
      <c r="G65" s="9">
        <v>15.81</v>
      </c>
      <c r="H65" s="13">
        <v>10</v>
      </c>
      <c r="I65" s="17">
        <v>7.9050000000000002</v>
      </c>
      <c r="J65" s="9">
        <v>166.005</v>
      </c>
      <c r="K65" s="21">
        <v>43530</v>
      </c>
      <c r="L65" s="3">
        <v>0.51875000000000004</v>
      </c>
      <c r="M65" s="7" t="s">
        <v>27</v>
      </c>
      <c r="N65" s="19">
        <v>158.1</v>
      </c>
      <c r="O65" s="15">
        <v>4.7619047620000003</v>
      </c>
      <c r="P65" s="9">
        <v>7.9050000000000002</v>
      </c>
      <c r="Q65" s="11">
        <v>8.6</v>
      </c>
    </row>
    <row r="66" spans="1:17" x14ac:dyDescent="0.25">
      <c r="A66" s="5" t="s">
        <v>94</v>
      </c>
      <c r="B66" s="7" t="s">
        <v>36</v>
      </c>
      <c r="C66" s="7" t="s">
        <v>37</v>
      </c>
      <c r="D66" s="7" t="s">
        <v>15</v>
      </c>
      <c r="E66" s="7" t="s">
        <v>25</v>
      </c>
      <c r="F66" s="7" t="s">
        <v>17</v>
      </c>
      <c r="G66" s="9">
        <v>75.739999999999995</v>
      </c>
      <c r="H66" s="13">
        <v>4</v>
      </c>
      <c r="I66" s="17">
        <v>15.148</v>
      </c>
      <c r="J66" s="9">
        <v>318.108</v>
      </c>
      <c r="K66" s="21">
        <v>43510</v>
      </c>
      <c r="L66" s="3">
        <v>0.60763888888888884</v>
      </c>
      <c r="M66" s="7" t="s">
        <v>23</v>
      </c>
      <c r="N66" s="19">
        <v>302.95999999999998</v>
      </c>
      <c r="O66" s="15">
        <v>4.7619047620000003</v>
      </c>
      <c r="P66" s="9">
        <v>15.148</v>
      </c>
      <c r="Q66" s="11">
        <v>7.6</v>
      </c>
    </row>
    <row r="67" spans="1:17" x14ac:dyDescent="0.25">
      <c r="A67" s="5" t="s">
        <v>95</v>
      </c>
      <c r="B67" s="7" t="s">
        <v>13</v>
      </c>
      <c r="C67" s="7" t="s">
        <v>14</v>
      </c>
      <c r="D67" s="7" t="s">
        <v>15</v>
      </c>
      <c r="E67" s="7" t="s">
        <v>25</v>
      </c>
      <c r="F67" s="7" t="s">
        <v>17</v>
      </c>
      <c r="G67" s="9">
        <v>15.87</v>
      </c>
      <c r="H67" s="13">
        <v>10</v>
      </c>
      <c r="I67" s="17">
        <v>7.9349999999999996</v>
      </c>
      <c r="J67" s="9">
        <v>166.63499999999999</v>
      </c>
      <c r="K67" s="21">
        <v>43537</v>
      </c>
      <c r="L67" s="3">
        <v>0.69444444444444442</v>
      </c>
      <c r="M67" s="7" t="s">
        <v>23</v>
      </c>
      <c r="N67" s="19">
        <v>158.69999999999999</v>
      </c>
      <c r="O67" s="15">
        <v>4.7619047620000003</v>
      </c>
      <c r="P67" s="9">
        <v>7.9349999999999996</v>
      </c>
      <c r="Q67" s="11">
        <v>5.8</v>
      </c>
    </row>
    <row r="68" spans="1:17" x14ac:dyDescent="0.25">
      <c r="A68" s="5" t="s">
        <v>96</v>
      </c>
      <c r="B68" s="7" t="s">
        <v>20</v>
      </c>
      <c r="C68" s="7" t="s">
        <v>1034</v>
      </c>
      <c r="D68" s="7" t="s">
        <v>21</v>
      </c>
      <c r="E68" s="7" t="s">
        <v>16</v>
      </c>
      <c r="F68" s="7" t="s">
        <v>17</v>
      </c>
      <c r="G68" s="9">
        <v>33.47</v>
      </c>
      <c r="H68" s="13">
        <v>2</v>
      </c>
      <c r="I68" s="17">
        <v>3.347</v>
      </c>
      <c r="J68" s="9">
        <v>70.287000000000006</v>
      </c>
      <c r="K68" s="21">
        <v>43506</v>
      </c>
      <c r="L68" s="3">
        <v>0.65486111111111112</v>
      </c>
      <c r="M68" s="7" t="s">
        <v>18</v>
      </c>
      <c r="N68" s="19">
        <v>66.94</v>
      </c>
      <c r="O68" s="15">
        <v>4.7619047620000003</v>
      </c>
      <c r="P68" s="9">
        <v>3.347</v>
      </c>
      <c r="Q68" s="11">
        <v>6.7</v>
      </c>
    </row>
    <row r="69" spans="1:17" x14ac:dyDescent="0.25">
      <c r="A69" s="5" t="s">
        <v>97</v>
      </c>
      <c r="B69" s="7" t="s">
        <v>36</v>
      </c>
      <c r="C69" s="7" t="s">
        <v>37</v>
      </c>
      <c r="D69" s="7" t="s">
        <v>15</v>
      </c>
      <c r="E69" s="7" t="s">
        <v>16</v>
      </c>
      <c r="F69" s="7" t="s">
        <v>40</v>
      </c>
      <c r="G69" s="9">
        <v>97.61</v>
      </c>
      <c r="H69" s="13">
        <v>6</v>
      </c>
      <c r="I69" s="17">
        <v>29.283000000000001</v>
      </c>
      <c r="J69" s="9">
        <v>614.94299999999998</v>
      </c>
      <c r="K69" s="21">
        <v>43472</v>
      </c>
      <c r="L69" s="3">
        <v>0.62569444444444444</v>
      </c>
      <c r="M69" s="7" t="s">
        <v>18</v>
      </c>
      <c r="N69" s="19">
        <v>585.66</v>
      </c>
      <c r="O69" s="15">
        <v>4.7619047620000003</v>
      </c>
      <c r="P69" s="9">
        <v>29.283000000000001</v>
      </c>
      <c r="Q69" s="11">
        <v>9.9</v>
      </c>
    </row>
    <row r="70" spans="1:17" x14ac:dyDescent="0.25">
      <c r="A70" s="5" t="s">
        <v>98</v>
      </c>
      <c r="B70" s="7" t="s">
        <v>13</v>
      </c>
      <c r="C70" s="7" t="s">
        <v>14</v>
      </c>
      <c r="D70" s="7" t="s">
        <v>21</v>
      </c>
      <c r="E70" s="7" t="s">
        <v>25</v>
      </c>
      <c r="F70" s="7" t="s">
        <v>30</v>
      </c>
      <c r="G70" s="9">
        <v>78.77</v>
      </c>
      <c r="H70" s="13">
        <v>10</v>
      </c>
      <c r="I70" s="17">
        <v>39.384999999999998</v>
      </c>
      <c r="J70" s="9">
        <v>827.08500000000004</v>
      </c>
      <c r="K70" s="21">
        <v>43489</v>
      </c>
      <c r="L70" s="3">
        <v>0.41944444444444445</v>
      </c>
      <c r="M70" s="7" t="s">
        <v>23</v>
      </c>
      <c r="N70" s="19">
        <v>787.7</v>
      </c>
      <c r="O70" s="15">
        <v>4.7619047620000003</v>
      </c>
      <c r="P70" s="9">
        <v>39.384999999999998</v>
      </c>
      <c r="Q70" s="11">
        <v>6.4</v>
      </c>
    </row>
    <row r="71" spans="1:17" x14ac:dyDescent="0.25">
      <c r="A71" s="5" t="s">
        <v>99</v>
      </c>
      <c r="B71" s="7" t="s">
        <v>13</v>
      </c>
      <c r="C71" s="7" t="s">
        <v>14</v>
      </c>
      <c r="D71" s="7" t="s">
        <v>15</v>
      </c>
      <c r="E71" s="7" t="s">
        <v>16</v>
      </c>
      <c r="F71" s="7" t="s">
        <v>17</v>
      </c>
      <c r="G71" s="9">
        <v>18.329999999999998</v>
      </c>
      <c r="H71" s="13">
        <v>1</v>
      </c>
      <c r="I71" s="17">
        <v>0.91649999999999998</v>
      </c>
      <c r="J71" s="9">
        <v>19.246500000000001</v>
      </c>
      <c r="K71" s="21">
        <v>43498</v>
      </c>
      <c r="L71" s="3">
        <v>0.78472222222222221</v>
      </c>
      <c r="M71" s="7" t="s">
        <v>23</v>
      </c>
      <c r="N71" s="19">
        <v>18.329999999999998</v>
      </c>
      <c r="O71" s="15">
        <v>4.7619047620000003</v>
      </c>
      <c r="P71" s="9">
        <v>0.91649999999999998</v>
      </c>
      <c r="Q71" s="11">
        <v>4.3</v>
      </c>
    </row>
    <row r="72" spans="1:17" x14ac:dyDescent="0.25">
      <c r="A72" s="5" t="s">
        <v>100</v>
      </c>
      <c r="B72" s="7" t="s">
        <v>20</v>
      </c>
      <c r="C72" s="7" t="s">
        <v>1034</v>
      </c>
      <c r="D72" s="7" t="s">
        <v>21</v>
      </c>
      <c r="E72" s="7" t="s">
        <v>25</v>
      </c>
      <c r="F72" s="7" t="s">
        <v>38</v>
      </c>
      <c r="G72" s="9">
        <v>89.48</v>
      </c>
      <c r="H72" s="13">
        <v>10</v>
      </c>
      <c r="I72" s="17">
        <v>44.74</v>
      </c>
      <c r="J72" s="9">
        <v>939.54</v>
      </c>
      <c r="K72" s="21">
        <v>43471</v>
      </c>
      <c r="L72" s="3">
        <v>0.53194444444444444</v>
      </c>
      <c r="M72" s="7" t="s">
        <v>27</v>
      </c>
      <c r="N72" s="19">
        <v>894.8</v>
      </c>
      <c r="O72" s="15">
        <v>4.7619047620000003</v>
      </c>
      <c r="P72" s="9">
        <v>44.74</v>
      </c>
      <c r="Q72" s="11">
        <v>9.6</v>
      </c>
    </row>
    <row r="73" spans="1:17" x14ac:dyDescent="0.25">
      <c r="A73" s="5" t="s">
        <v>101</v>
      </c>
      <c r="B73" s="7" t="s">
        <v>20</v>
      </c>
      <c r="C73" s="7" t="s">
        <v>1034</v>
      </c>
      <c r="D73" s="7" t="s">
        <v>21</v>
      </c>
      <c r="E73" s="7" t="s">
        <v>25</v>
      </c>
      <c r="F73" s="7" t="s">
        <v>40</v>
      </c>
      <c r="G73" s="9">
        <v>62.12</v>
      </c>
      <c r="H73" s="13">
        <v>10</v>
      </c>
      <c r="I73" s="17">
        <v>31.06</v>
      </c>
      <c r="J73" s="9">
        <v>652.26</v>
      </c>
      <c r="K73" s="21">
        <v>43507</v>
      </c>
      <c r="L73" s="3">
        <v>0.67986111111111114</v>
      </c>
      <c r="M73" s="7" t="s">
        <v>23</v>
      </c>
      <c r="N73" s="19">
        <v>621.20000000000005</v>
      </c>
      <c r="O73" s="15">
        <v>4.7619047620000003</v>
      </c>
      <c r="P73" s="9">
        <v>31.06</v>
      </c>
      <c r="Q73" s="11">
        <v>5.9</v>
      </c>
    </row>
    <row r="74" spans="1:17" x14ac:dyDescent="0.25">
      <c r="A74" s="5" t="s">
        <v>102</v>
      </c>
      <c r="B74" s="7" t="s">
        <v>36</v>
      </c>
      <c r="C74" s="7" t="s">
        <v>37</v>
      </c>
      <c r="D74" s="7" t="s">
        <v>15</v>
      </c>
      <c r="E74" s="7" t="s">
        <v>16</v>
      </c>
      <c r="F74" s="7" t="s">
        <v>38</v>
      </c>
      <c r="G74" s="9">
        <v>48.52</v>
      </c>
      <c r="H74" s="13">
        <v>3</v>
      </c>
      <c r="I74" s="17">
        <v>7.2779999999999996</v>
      </c>
      <c r="J74" s="9">
        <v>152.83799999999999</v>
      </c>
      <c r="K74" s="21">
        <v>43529</v>
      </c>
      <c r="L74" s="3">
        <v>0.76180555555555551</v>
      </c>
      <c r="M74" s="7" t="s">
        <v>18</v>
      </c>
      <c r="N74" s="19">
        <v>145.56</v>
      </c>
      <c r="O74" s="15">
        <v>4.7619047620000003</v>
      </c>
      <c r="P74" s="9">
        <v>7.2779999999999996</v>
      </c>
      <c r="Q74" s="11">
        <v>4</v>
      </c>
    </row>
    <row r="75" spans="1:17" x14ac:dyDescent="0.25">
      <c r="A75" s="5" t="s">
        <v>103</v>
      </c>
      <c r="B75" s="7" t="s">
        <v>20</v>
      </c>
      <c r="C75" s="7" t="s">
        <v>1034</v>
      </c>
      <c r="D75" s="7" t="s">
        <v>21</v>
      </c>
      <c r="E75" s="7" t="s">
        <v>16</v>
      </c>
      <c r="F75" s="7" t="s">
        <v>22</v>
      </c>
      <c r="G75" s="9">
        <v>75.91</v>
      </c>
      <c r="H75" s="13">
        <v>6</v>
      </c>
      <c r="I75" s="17">
        <v>22.773</v>
      </c>
      <c r="J75" s="9">
        <v>478.233</v>
      </c>
      <c r="K75" s="21">
        <v>43533</v>
      </c>
      <c r="L75" s="3">
        <v>0.76458333333333328</v>
      </c>
      <c r="M75" s="7" t="s">
        <v>23</v>
      </c>
      <c r="N75" s="19">
        <v>455.46</v>
      </c>
      <c r="O75" s="15">
        <v>4.7619047620000003</v>
      </c>
      <c r="P75" s="9">
        <v>22.773</v>
      </c>
      <c r="Q75" s="11">
        <v>8.6999999999999993</v>
      </c>
    </row>
    <row r="76" spans="1:17" x14ac:dyDescent="0.25">
      <c r="A76" s="5" t="s">
        <v>104</v>
      </c>
      <c r="B76" s="7" t="s">
        <v>13</v>
      </c>
      <c r="C76" s="7" t="s">
        <v>14</v>
      </c>
      <c r="D76" s="7" t="s">
        <v>21</v>
      </c>
      <c r="E76" s="7" t="s">
        <v>25</v>
      </c>
      <c r="F76" s="7" t="s">
        <v>26</v>
      </c>
      <c r="G76" s="9">
        <v>74.67</v>
      </c>
      <c r="H76" s="13">
        <v>9</v>
      </c>
      <c r="I76" s="17">
        <v>33.601500000000001</v>
      </c>
      <c r="J76" s="9">
        <v>705.63149999999996</v>
      </c>
      <c r="K76" s="21">
        <v>43487</v>
      </c>
      <c r="L76" s="3">
        <v>0.4548611111111111</v>
      </c>
      <c r="M76" s="7" t="s">
        <v>18</v>
      </c>
      <c r="N76" s="19">
        <v>672.03</v>
      </c>
      <c r="O76" s="15">
        <v>4.7619047620000003</v>
      </c>
      <c r="P76" s="9">
        <v>33.601500000000001</v>
      </c>
      <c r="Q76" s="11">
        <v>9.4</v>
      </c>
    </row>
    <row r="77" spans="1:17" x14ac:dyDescent="0.25">
      <c r="A77" s="5" t="s">
        <v>105</v>
      </c>
      <c r="B77" s="7" t="s">
        <v>20</v>
      </c>
      <c r="C77" s="7" t="s">
        <v>1034</v>
      </c>
      <c r="D77" s="7" t="s">
        <v>21</v>
      </c>
      <c r="E77" s="7" t="s">
        <v>16</v>
      </c>
      <c r="F77" s="7" t="s">
        <v>22</v>
      </c>
      <c r="G77" s="9">
        <v>41.65</v>
      </c>
      <c r="H77" s="13">
        <v>10</v>
      </c>
      <c r="I77" s="17">
        <v>20.824999999999999</v>
      </c>
      <c r="J77" s="9">
        <v>437.32499999999999</v>
      </c>
      <c r="K77" s="21">
        <v>43478</v>
      </c>
      <c r="L77" s="3">
        <v>0.71111111111111114</v>
      </c>
      <c r="M77" s="7" t="s">
        <v>27</v>
      </c>
      <c r="N77" s="19">
        <v>416.5</v>
      </c>
      <c r="O77" s="15">
        <v>4.7619047620000003</v>
      </c>
      <c r="P77" s="9">
        <v>20.824999999999999</v>
      </c>
      <c r="Q77" s="11">
        <v>5.4</v>
      </c>
    </row>
    <row r="78" spans="1:17" x14ac:dyDescent="0.25">
      <c r="A78" s="5" t="s">
        <v>106</v>
      </c>
      <c r="B78" s="7" t="s">
        <v>20</v>
      </c>
      <c r="C78" s="7" t="s">
        <v>1034</v>
      </c>
      <c r="D78" s="7" t="s">
        <v>15</v>
      </c>
      <c r="E78" s="7" t="s">
        <v>25</v>
      </c>
      <c r="F78" s="7" t="s">
        <v>40</v>
      </c>
      <c r="G78" s="9">
        <v>49.04</v>
      </c>
      <c r="H78" s="13">
        <v>9</v>
      </c>
      <c r="I78" s="17">
        <v>22.068000000000001</v>
      </c>
      <c r="J78" s="9">
        <v>463.428</v>
      </c>
      <c r="K78" s="21">
        <v>43474</v>
      </c>
      <c r="L78" s="3">
        <v>0.59722222222222221</v>
      </c>
      <c r="M78" s="7" t="s">
        <v>27</v>
      </c>
      <c r="N78" s="19">
        <v>441.36</v>
      </c>
      <c r="O78" s="15">
        <v>4.7619047620000003</v>
      </c>
      <c r="P78" s="9">
        <v>22.068000000000001</v>
      </c>
      <c r="Q78" s="11">
        <v>8.6</v>
      </c>
    </row>
    <row r="79" spans="1:17" x14ac:dyDescent="0.25">
      <c r="A79" s="5" t="s">
        <v>107</v>
      </c>
      <c r="B79" s="7" t="s">
        <v>13</v>
      </c>
      <c r="C79" s="7" t="s">
        <v>14</v>
      </c>
      <c r="D79" s="7" t="s">
        <v>15</v>
      </c>
      <c r="E79" s="7" t="s">
        <v>16</v>
      </c>
      <c r="F79" s="7" t="s">
        <v>40</v>
      </c>
      <c r="G79" s="9">
        <v>20.010000000000002</v>
      </c>
      <c r="H79" s="13">
        <v>9</v>
      </c>
      <c r="I79" s="17">
        <v>9.0045000000000002</v>
      </c>
      <c r="J79" s="9">
        <v>189.09450000000001</v>
      </c>
      <c r="K79" s="21">
        <v>43477</v>
      </c>
      <c r="L79" s="3">
        <v>0.65833333333333333</v>
      </c>
      <c r="M79" s="7" t="s">
        <v>27</v>
      </c>
      <c r="N79" s="19">
        <v>180.09</v>
      </c>
      <c r="O79" s="15">
        <v>4.7619047620000003</v>
      </c>
      <c r="P79" s="9">
        <v>9.0045000000000002</v>
      </c>
      <c r="Q79" s="11">
        <v>5.7</v>
      </c>
    </row>
    <row r="80" spans="1:17" x14ac:dyDescent="0.25">
      <c r="A80" s="5" t="s">
        <v>108</v>
      </c>
      <c r="B80" s="7" t="s">
        <v>20</v>
      </c>
      <c r="C80" s="7" t="s">
        <v>1034</v>
      </c>
      <c r="D80" s="7" t="s">
        <v>15</v>
      </c>
      <c r="E80" s="7" t="s">
        <v>16</v>
      </c>
      <c r="F80" s="7" t="s">
        <v>38</v>
      </c>
      <c r="G80" s="9">
        <v>78.31</v>
      </c>
      <c r="H80" s="13">
        <v>10</v>
      </c>
      <c r="I80" s="17">
        <v>39.155000000000001</v>
      </c>
      <c r="J80" s="9">
        <v>822.255</v>
      </c>
      <c r="K80" s="21">
        <v>43529</v>
      </c>
      <c r="L80" s="3">
        <v>0.68333333333333335</v>
      </c>
      <c r="M80" s="7" t="s">
        <v>18</v>
      </c>
      <c r="N80" s="19">
        <v>783.1</v>
      </c>
      <c r="O80" s="15">
        <v>4.7619047620000003</v>
      </c>
      <c r="P80" s="9">
        <v>39.155000000000001</v>
      </c>
      <c r="Q80" s="11">
        <v>6.6</v>
      </c>
    </row>
    <row r="81" spans="1:17" x14ac:dyDescent="0.25">
      <c r="A81" s="5" t="s">
        <v>109</v>
      </c>
      <c r="B81" s="7" t="s">
        <v>20</v>
      </c>
      <c r="C81" s="7" t="s">
        <v>1034</v>
      </c>
      <c r="D81" s="7" t="s">
        <v>21</v>
      </c>
      <c r="E81" s="7" t="s">
        <v>16</v>
      </c>
      <c r="F81" s="7" t="s">
        <v>17</v>
      </c>
      <c r="G81" s="9">
        <v>20.38</v>
      </c>
      <c r="H81" s="13">
        <v>5</v>
      </c>
      <c r="I81" s="17">
        <v>5.0949999999999998</v>
      </c>
      <c r="J81" s="9">
        <v>106.995</v>
      </c>
      <c r="K81" s="21">
        <v>43487</v>
      </c>
      <c r="L81" s="3">
        <v>0.78888888888888886</v>
      </c>
      <c r="M81" s="7" t="s">
        <v>23</v>
      </c>
      <c r="N81" s="19">
        <v>101.9</v>
      </c>
      <c r="O81" s="15">
        <v>4.7619047620000003</v>
      </c>
      <c r="P81" s="9">
        <v>5.0949999999999998</v>
      </c>
      <c r="Q81" s="11">
        <v>6</v>
      </c>
    </row>
    <row r="82" spans="1:17" x14ac:dyDescent="0.25">
      <c r="A82" s="5" t="s">
        <v>110</v>
      </c>
      <c r="B82" s="7" t="s">
        <v>20</v>
      </c>
      <c r="C82" s="7" t="s">
        <v>1034</v>
      </c>
      <c r="D82" s="7" t="s">
        <v>21</v>
      </c>
      <c r="E82" s="7" t="s">
        <v>16</v>
      </c>
      <c r="F82" s="7" t="s">
        <v>17</v>
      </c>
      <c r="G82" s="9">
        <v>99.19</v>
      </c>
      <c r="H82" s="13">
        <v>6</v>
      </c>
      <c r="I82" s="17">
        <v>29.757000000000001</v>
      </c>
      <c r="J82" s="9">
        <v>624.89700000000005</v>
      </c>
      <c r="K82" s="21">
        <v>43486</v>
      </c>
      <c r="L82" s="3">
        <v>0.61250000000000004</v>
      </c>
      <c r="M82" s="7" t="s">
        <v>27</v>
      </c>
      <c r="N82" s="19">
        <v>595.14</v>
      </c>
      <c r="O82" s="15">
        <v>4.7619047620000003</v>
      </c>
      <c r="P82" s="9">
        <v>29.757000000000001</v>
      </c>
      <c r="Q82" s="11">
        <v>5.5</v>
      </c>
    </row>
    <row r="83" spans="1:17" x14ac:dyDescent="0.25">
      <c r="A83" s="5" t="s">
        <v>111</v>
      </c>
      <c r="B83" s="7" t="s">
        <v>36</v>
      </c>
      <c r="C83" s="7" t="s">
        <v>37</v>
      </c>
      <c r="D83" s="7" t="s">
        <v>21</v>
      </c>
      <c r="E83" s="7" t="s">
        <v>16</v>
      </c>
      <c r="F83" s="7" t="s">
        <v>38</v>
      </c>
      <c r="G83" s="9">
        <v>96.68</v>
      </c>
      <c r="H83" s="13">
        <v>3</v>
      </c>
      <c r="I83" s="17">
        <v>14.502000000000001</v>
      </c>
      <c r="J83" s="9">
        <v>304.54199999999997</v>
      </c>
      <c r="K83" s="21">
        <v>43491</v>
      </c>
      <c r="L83" s="3">
        <v>0.8305555555555556</v>
      </c>
      <c r="M83" s="7" t="s">
        <v>18</v>
      </c>
      <c r="N83" s="19">
        <v>290.04000000000002</v>
      </c>
      <c r="O83" s="15">
        <v>4.7619047620000003</v>
      </c>
      <c r="P83" s="9">
        <v>14.502000000000001</v>
      </c>
      <c r="Q83" s="11">
        <v>6.4</v>
      </c>
    </row>
    <row r="84" spans="1:17" x14ac:dyDescent="0.25">
      <c r="A84" s="5" t="s">
        <v>112</v>
      </c>
      <c r="B84" s="7" t="s">
        <v>20</v>
      </c>
      <c r="C84" s="7" t="s">
        <v>1034</v>
      </c>
      <c r="D84" s="7" t="s">
        <v>21</v>
      </c>
      <c r="E84" s="7" t="s">
        <v>25</v>
      </c>
      <c r="F84" s="7" t="s">
        <v>38</v>
      </c>
      <c r="G84" s="9">
        <v>19.25</v>
      </c>
      <c r="H84" s="13">
        <v>8</v>
      </c>
      <c r="I84" s="17">
        <v>7.7</v>
      </c>
      <c r="J84" s="9">
        <v>161.69999999999999</v>
      </c>
      <c r="K84" s="21">
        <v>43488</v>
      </c>
      <c r="L84" s="3">
        <v>0.77569444444444446</v>
      </c>
      <c r="M84" s="7" t="s">
        <v>18</v>
      </c>
      <c r="N84" s="19">
        <v>154</v>
      </c>
      <c r="O84" s="15">
        <v>4.7619047620000003</v>
      </c>
      <c r="P84" s="9">
        <v>7.7</v>
      </c>
      <c r="Q84" s="11">
        <v>6.6</v>
      </c>
    </row>
    <row r="85" spans="1:17" x14ac:dyDescent="0.25">
      <c r="A85" s="5" t="s">
        <v>113</v>
      </c>
      <c r="B85" s="7" t="s">
        <v>20</v>
      </c>
      <c r="C85" s="7" t="s">
        <v>1034</v>
      </c>
      <c r="D85" s="7" t="s">
        <v>15</v>
      </c>
      <c r="E85" s="7" t="s">
        <v>16</v>
      </c>
      <c r="F85" s="7" t="s">
        <v>38</v>
      </c>
      <c r="G85" s="9">
        <v>80.36</v>
      </c>
      <c r="H85" s="13">
        <v>4</v>
      </c>
      <c r="I85" s="17">
        <v>16.071999999999999</v>
      </c>
      <c r="J85" s="9">
        <v>337.512</v>
      </c>
      <c r="K85" s="21">
        <v>43519</v>
      </c>
      <c r="L85" s="3">
        <v>0.78125</v>
      </c>
      <c r="M85" s="7" t="s">
        <v>27</v>
      </c>
      <c r="N85" s="19">
        <v>321.44</v>
      </c>
      <c r="O85" s="15">
        <v>4.7619047620000003</v>
      </c>
      <c r="P85" s="9">
        <v>16.071999999999999</v>
      </c>
      <c r="Q85" s="11">
        <v>8.3000000000000007</v>
      </c>
    </row>
    <row r="86" spans="1:17" x14ac:dyDescent="0.25">
      <c r="A86" s="5" t="s">
        <v>114</v>
      </c>
      <c r="B86" s="7" t="s">
        <v>20</v>
      </c>
      <c r="C86" s="7" t="s">
        <v>1034</v>
      </c>
      <c r="D86" s="7" t="s">
        <v>15</v>
      </c>
      <c r="E86" s="7" t="s">
        <v>25</v>
      </c>
      <c r="F86" s="7" t="s">
        <v>30</v>
      </c>
      <c r="G86" s="9">
        <v>48.91</v>
      </c>
      <c r="H86" s="13">
        <v>5</v>
      </c>
      <c r="I86" s="17">
        <v>12.227499999999999</v>
      </c>
      <c r="J86" s="9">
        <v>256.77749999999997</v>
      </c>
      <c r="K86" s="21">
        <v>43533</v>
      </c>
      <c r="L86" s="3">
        <v>0.4284722222222222</v>
      </c>
      <c r="M86" s="7" t="s">
        <v>23</v>
      </c>
      <c r="N86" s="19">
        <v>244.55</v>
      </c>
      <c r="O86" s="15">
        <v>4.7619047620000003</v>
      </c>
      <c r="P86" s="9">
        <v>12.227499999999999</v>
      </c>
      <c r="Q86" s="11">
        <v>6.6</v>
      </c>
    </row>
    <row r="87" spans="1:17" x14ac:dyDescent="0.25">
      <c r="A87" s="5" t="s">
        <v>115</v>
      </c>
      <c r="B87" s="7" t="s">
        <v>20</v>
      </c>
      <c r="C87" s="7" t="s">
        <v>1034</v>
      </c>
      <c r="D87" s="7" t="s">
        <v>21</v>
      </c>
      <c r="E87" s="7" t="s">
        <v>16</v>
      </c>
      <c r="F87" s="7" t="s">
        <v>30</v>
      </c>
      <c r="G87" s="9">
        <v>83.06</v>
      </c>
      <c r="H87" s="13">
        <v>7</v>
      </c>
      <c r="I87" s="17">
        <v>29.071000000000002</v>
      </c>
      <c r="J87" s="9">
        <v>610.49099999999999</v>
      </c>
      <c r="K87" s="21">
        <v>43529</v>
      </c>
      <c r="L87" s="3">
        <v>0.60486111111111107</v>
      </c>
      <c r="M87" s="7" t="s">
        <v>18</v>
      </c>
      <c r="N87" s="19">
        <v>581.41999999999996</v>
      </c>
      <c r="O87" s="15">
        <v>4.7619047620000003</v>
      </c>
      <c r="P87" s="9">
        <v>29.071000000000002</v>
      </c>
      <c r="Q87" s="11">
        <v>4</v>
      </c>
    </row>
    <row r="88" spans="1:17" x14ac:dyDescent="0.25">
      <c r="A88" s="5" t="s">
        <v>116</v>
      </c>
      <c r="B88" s="7" t="s">
        <v>20</v>
      </c>
      <c r="C88" s="7" t="s">
        <v>1034</v>
      </c>
      <c r="D88" s="7" t="s">
        <v>21</v>
      </c>
      <c r="E88" s="7" t="s">
        <v>25</v>
      </c>
      <c r="F88" s="7" t="s">
        <v>40</v>
      </c>
      <c r="G88" s="9">
        <v>76.52</v>
      </c>
      <c r="H88" s="13">
        <v>5</v>
      </c>
      <c r="I88" s="17">
        <v>19.13</v>
      </c>
      <c r="J88" s="9">
        <v>401.73</v>
      </c>
      <c r="K88" s="21">
        <v>43549</v>
      </c>
      <c r="L88" s="3">
        <v>0.43263888888888891</v>
      </c>
      <c r="M88" s="7" t="s">
        <v>23</v>
      </c>
      <c r="N88" s="19">
        <v>382.6</v>
      </c>
      <c r="O88" s="15">
        <v>4.7619047620000003</v>
      </c>
      <c r="P88" s="9">
        <v>19.13</v>
      </c>
      <c r="Q88" s="11">
        <v>9.9</v>
      </c>
    </row>
    <row r="89" spans="1:17" x14ac:dyDescent="0.25">
      <c r="A89" s="5" t="s">
        <v>117</v>
      </c>
      <c r="B89" s="7" t="s">
        <v>13</v>
      </c>
      <c r="C89" s="7" t="s">
        <v>14</v>
      </c>
      <c r="D89" s="7" t="s">
        <v>15</v>
      </c>
      <c r="E89" s="7" t="s">
        <v>25</v>
      </c>
      <c r="F89" s="7" t="s">
        <v>38</v>
      </c>
      <c r="G89" s="9">
        <v>49.38</v>
      </c>
      <c r="H89" s="13">
        <v>7</v>
      </c>
      <c r="I89" s="17">
        <v>17.283000000000001</v>
      </c>
      <c r="J89" s="9">
        <v>362.94299999999998</v>
      </c>
      <c r="K89" s="21">
        <v>43551</v>
      </c>
      <c r="L89" s="3">
        <v>0.85763888888888884</v>
      </c>
      <c r="M89" s="7" t="s">
        <v>27</v>
      </c>
      <c r="N89" s="19">
        <v>345.66</v>
      </c>
      <c r="O89" s="15">
        <v>4.7619047620000003</v>
      </c>
      <c r="P89" s="9">
        <v>17.283000000000001</v>
      </c>
      <c r="Q89" s="11">
        <v>7.3</v>
      </c>
    </row>
    <row r="90" spans="1:17" x14ac:dyDescent="0.25">
      <c r="A90" s="5" t="s">
        <v>118</v>
      </c>
      <c r="B90" s="7" t="s">
        <v>13</v>
      </c>
      <c r="C90" s="7" t="s">
        <v>14</v>
      </c>
      <c r="D90" s="7" t="s">
        <v>21</v>
      </c>
      <c r="E90" s="7" t="s">
        <v>25</v>
      </c>
      <c r="F90" s="7" t="s">
        <v>30</v>
      </c>
      <c r="G90" s="9">
        <v>42.47</v>
      </c>
      <c r="H90" s="13">
        <v>1</v>
      </c>
      <c r="I90" s="17">
        <v>2.1234999999999999</v>
      </c>
      <c r="J90" s="9">
        <v>44.593499999999999</v>
      </c>
      <c r="K90" s="21">
        <v>43467</v>
      </c>
      <c r="L90" s="3">
        <v>0.70625000000000004</v>
      </c>
      <c r="M90" s="7" t="s">
        <v>23</v>
      </c>
      <c r="N90" s="19">
        <v>42.47</v>
      </c>
      <c r="O90" s="15">
        <v>4.7619047620000003</v>
      </c>
      <c r="P90" s="9">
        <v>2.1234999999999999</v>
      </c>
      <c r="Q90" s="11">
        <v>5.7</v>
      </c>
    </row>
    <row r="91" spans="1:17" x14ac:dyDescent="0.25">
      <c r="A91" s="5" t="s">
        <v>119</v>
      </c>
      <c r="B91" s="7" t="s">
        <v>36</v>
      </c>
      <c r="C91" s="7" t="s">
        <v>37</v>
      </c>
      <c r="D91" s="7" t="s">
        <v>21</v>
      </c>
      <c r="E91" s="7" t="s">
        <v>16</v>
      </c>
      <c r="F91" s="7" t="s">
        <v>17</v>
      </c>
      <c r="G91" s="9">
        <v>76.989999999999995</v>
      </c>
      <c r="H91" s="13">
        <v>6</v>
      </c>
      <c r="I91" s="17">
        <v>23.097000000000001</v>
      </c>
      <c r="J91" s="9">
        <v>485.03699999999998</v>
      </c>
      <c r="K91" s="21">
        <v>43523</v>
      </c>
      <c r="L91" s="3">
        <v>0.74652777777777779</v>
      </c>
      <c r="M91" s="7" t="s">
        <v>23</v>
      </c>
      <c r="N91" s="19">
        <v>461.94</v>
      </c>
      <c r="O91" s="15">
        <v>4.7619047620000003</v>
      </c>
      <c r="P91" s="9">
        <v>23.097000000000001</v>
      </c>
      <c r="Q91" s="11">
        <v>6.1</v>
      </c>
    </row>
    <row r="92" spans="1:17" x14ac:dyDescent="0.25">
      <c r="A92" s="5" t="s">
        <v>120</v>
      </c>
      <c r="B92" s="7" t="s">
        <v>20</v>
      </c>
      <c r="C92" s="7" t="s">
        <v>1034</v>
      </c>
      <c r="D92" s="7" t="s">
        <v>15</v>
      </c>
      <c r="E92" s="7" t="s">
        <v>16</v>
      </c>
      <c r="F92" s="7" t="s">
        <v>26</v>
      </c>
      <c r="G92" s="9">
        <v>47.38</v>
      </c>
      <c r="H92" s="13">
        <v>4</v>
      </c>
      <c r="I92" s="17">
        <v>9.4760000000000009</v>
      </c>
      <c r="J92" s="9">
        <v>198.99600000000001</v>
      </c>
      <c r="K92" s="21">
        <v>43488</v>
      </c>
      <c r="L92" s="3">
        <v>0.43402777777777779</v>
      </c>
      <c r="M92" s="7" t="s">
        <v>23</v>
      </c>
      <c r="N92" s="19">
        <v>189.52</v>
      </c>
      <c r="O92" s="15">
        <v>4.7619047620000003</v>
      </c>
      <c r="P92" s="9">
        <v>9.4760000000000009</v>
      </c>
      <c r="Q92" s="11">
        <v>7.1</v>
      </c>
    </row>
    <row r="93" spans="1:17" x14ac:dyDescent="0.25">
      <c r="A93" s="5" t="s">
        <v>121</v>
      </c>
      <c r="B93" s="7" t="s">
        <v>20</v>
      </c>
      <c r="C93" s="7" t="s">
        <v>1034</v>
      </c>
      <c r="D93" s="7" t="s">
        <v>21</v>
      </c>
      <c r="E93" s="7" t="s">
        <v>16</v>
      </c>
      <c r="F93" s="7" t="s">
        <v>30</v>
      </c>
      <c r="G93" s="9">
        <v>44.86</v>
      </c>
      <c r="H93" s="13">
        <v>10</v>
      </c>
      <c r="I93" s="17">
        <v>22.43</v>
      </c>
      <c r="J93" s="9">
        <v>471.03</v>
      </c>
      <c r="K93" s="21">
        <v>43491</v>
      </c>
      <c r="L93" s="3">
        <v>0.82916666666666672</v>
      </c>
      <c r="M93" s="7" t="s">
        <v>18</v>
      </c>
      <c r="N93" s="19">
        <v>448.6</v>
      </c>
      <c r="O93" s="15">
        <v>4.7619047620000003</v>
      </c>
      <c r="P93" s="9">
        <v>22.43</v>
      </c>
      <c r="Q93" s="11">
        <v>8.1999999999999993</v>
      </c>
    </row>
    <row r="94" spans="1:17" x14ac:dyDescent="0.25">
      <c r="A94" s="5" t="s">
        <v>122</v>
      </c>
      <c r="B94" s="7" t="s">
        <v>13</v>
      </c>
      <c r="C94" s="7" t="s">
        <v>14</v>
      </c>
      <c r="D94" s="7" t="s">
        <v>15</v>
      </c>
      <c r="E94" s="7" t="s">
        <v>16</v>
      </c>
      <c r="F94" s="7" t="s">
        <v>30</v>
      </c>
      <c r="G94" s="9">
        <v>21.98</v>
      </c>
      <c r="H94" s="13">
        <v>7</v>
      </c>
      <c r="I94" s="17">
        <v>7.6929999999999996</v>
      </c>
      <c r="J94" s="9">
        <v>161.553</v>
      </c>
      <c r="K94" s="21">
        <v>43475</v>
      </c>
      <c r="L94" s="3">
        <v>0.6958333333333333</v>
      </c>
      <c r="M94" s="7" t="s">
        <v>18</v>
      </c>
      <c r="N94" s="19">
        <v>153.86000000000001</v>
      </c>
      <c r="O94" s="15">
        <v>4.7619047620000003</v>
      </c>
      <c r="P94" s="9">
        <v>7.6929999999999996</v>
      </c>
      <c r="Q94" s="11">
        <v>5.0999999999999996</v>
      </c>
    </row>
    <row r="95" spans="1:17" x14ac:dyDescent="0.25">
      <c r="A95" s="5" t="s">
        <v>123</v>
      </c>
      <c r="B95" s="7" t="s">
        <v>36</v>
      </c>
      <c r="C95" s="7" t="s">
        <v>37</v>
      </c>
      <c r="D95" s="7" t="s">
        <v>15</v>
      </c>
      <c r="E95" s="7" t="s">
        <v>25</v>
      </c>
      <c r="F95" s="7" t="s">
        <v>17</v>
      </c>
      <c r="G95" s="9">
        <v>64.36</v>
      </c>
      <c r="H95" s="13">
        <v>9</v>
      </c>
      <c r="I95" s="17">
        <v>28.962</v>
      </c>
      <c r="J95" s="9">
        <v>608.202</v>
      </c>
      <c r="K95" s="21">
        <v>43536</v>
      </c>
      <c r="L95" s="3">
        <v>0.50624999999999998</v>
      </c>
      <c r="M95" s="7" t="s">
        <v>27</v>
      </c>
      <c r="N95" s="19">
        <v>579.24</v>
      </c>
      <c r="O95" s="15">
        <v>4.7619047620000003</v>
      </c>
      <c r="P95" s="9">
        <v>28.962</v>
      </c>
      <c r="Q95" s="11">
        <v>8.6</v>
      </c>
    </row>
    <row r="96" spans="1:17" x14ac:dyDescent="0.25">
      <c r="A96" s="5" t="s">
        <v>124</v>
      </c>
      <c r="B96" s="7" t="s">
        <v>20</v>
      </c>
      <c r="C96" s="7" t="s">
        <v>1034</v>
      </c>
      <c r="D96" s="7" t="s">
        <v>21</v>
      </c>
      <c r="E96" s="7" t="s">
        <v>25</v>
      </c>
      <c r="F96" s="7" t="s">
        <v>17</v>
      </c>
      <c r="G96" s="9">
        <v>89.75</v>
      </c>
      <c r="H96" s="13">
        <v>1</v>
      </c>
      <c r="I96" s="17">
        <v>4.4874999999999998</v>
      </c>
      <c r="J96" s="9">
        <v>94.237499999999997</v>
      </c>
      <c r="K96" s="21">
        <v>43502</v>
      </c>
      <c r="L96" s="3">
        <v>0.83680555555555558</v>
      </c>
      <c r="M96" s="7" t="s">
        <v>27</v>
      </c>
      <c r="N96" s="19">
        <v>89.75</v>
      </c>
      <c r="O96" s="15">
        <v>4.7619047620000003</v>
      </c>
      <c r="P96" s="9">
        <v>4.4874999999999998</v>
      </c>
      <c r="Q96" s="11">
        <v>6.6</v>
      </c>
    </row>
    <row r="97" spans="1:17" x14ac:dyDescent="0.25">
      <c r="A97" s="5" t="s">
        <v>125</v>
      </c>
      <c r="B97" s="7" t="s">
        <v>13</v>
      </c>
      <c r="C97" s="7" t="s">
        <v>14</v>
      </c>
      <c r="D97" s="7" t="s">
        <v>21</v>
      </c>
      <c r="E97" s="7" t="s">
        <v>25</v>
      </c>
      <c r="F97" s="7" t="s">
        <v>22</v>
      </c>
      <c r="G97" s="9">
        <v>97.16</v>
      </c>
      <c r="H97" s="13">
        <v>1</v>
      </c>
      <c r="I97" s="17">
        <v>4.8579999999999997</v>
      </c>
      <c r="J97" s="9">
        <v>102.018</v>
      </c>
      <c r="K97" s="21">
        <v>43532</v>
      </c>
      <c r="L97" s="3">
        <v>0.85972222222222228</v>
      </c>
      <c r="M97" s="7" t="s">
        <v>18</v>
      </c>
      <c r="N97" s="19">
        <v>97.16</v>
      </c>
      <c r="O97" s="15">
        <v>4.7619047620000003</v>
      </c>
      <c r="P97" s="9">
        <v>4.8579999999999997</v>
      </c>
      <c r="Q97" s="11">
        <v>7.2</v>
      </c>
    </row>
    <row r="98" spans="1:17" x14ac:dyDescent="0.25">
      <c r="A98" s="5" t="s">
        <v>126</v>
      </c>
      <c r="B98" s="7" t="s">
        <v>36</v>
      </c>
      <c r="C98" s="7" t="s">
        <v>37</v>
      </c>
      <c r="D98" s="7" t="s">
        <v>21</v>
      </c>
      <c r="E98" s="7" t="s">
        <v>25</v>
      </c>
      <c r="F98" s="7" t="s">
        <v>17</v>
      </c>
      <c r="G98" s="9">
        <v>87.87</v>
      </c>
      <c r="H98" s="13">
        <v>10</v>
      </c>
      <c r="I98" s="17">
        <v>43.935000000000002</v>
      </c>
      <c r="J98" s="9">
        <v>922.63499999999999</v>
      </c>
      <c r="K98" s="21">
        <v>43553</v>
      </c>
      <c r="L98" s="3">
        <v>0.43402777777777779</v>
      </c>
      <c r="M98" s="7" t="s">
        <v>18</v>
      </c>
      <c r="N98" s="19">
        <v>878.7</v>
      </c>
      <c r="O98" s="15">
        <v>4.7619047620000003</v>
      </c>
      <c r="P98" s="9">
        <v>43.935000000000002</v>
      </c>
      <c r="Q98" s="11">
        <v>5.0999999999999996</v>
      </c>
    </row>
    <row r="99" spans="1:17" x14ac:dyDescent="0.25">
      <c r="A99" s="5" t="s">
        <v>127</v>
      </c>
      <c r="B99" s="7" t="s">
        <v>20</v>
      </c>
      <c r="C99" s="7" t="s">
        <v>1034</v>
      </c>
      <c r="D99" s="7" t="s">
        <v>21</v>
      </c>
      <c r="E99" s="7" t="s">
        <v>16</v>
      </c>
      <c r="F99" s="7" t="s">
        <v>22</v>
      </c>
      <c r="G99" s="9">
        <v>12.45</v>
      </c>
      <c r="H99" s="13">
        <v>6</v>
      </c>
      <c r="I99" s="17">
        <v>3.7349999999999999</v>
      </c>
      <c r="J99" s="9">
        <v>78.435000000000002</v>
      </c>
      <c r="K99" s="21">
        <v>43505</v>
      </c>
      <c r="L99" s="3">
        <v>0.5493055555555556</v>
      </c>
      <c r="M99" s="7" t="s">
        <v>23</v>
      </c>
      <c r="N99" s="19">
        <v>74.7</v>
      </c>
      <c r="O99" s="15">
        <v>4.7619047620000003</v>
      </c>
      <c r="P99" s="9">
        <v>3.7349999999999999</v>
      </c>
      <c r="Q99" s="11">
        <v>4.0999999999999996</v>
      </c>
    </row>
    <row r="100" spans="1:17" x14ac:dyDescent="0.25">
      <c r="A100" s="5" t="s">
        <v>128</v>
      </c>
      <c r="B100" s="7" t="s">
        <v>13</v>
      </c>
      <c r="C100" s="7" t="s">
        <v>14</v>
      </c>
      <c r="D100" s="7" t="s">
        <v>21</v>
      </c>
      <c r="E100" s="7" t="s">
        <v>25</v>
      </c>
      <c r="F100" s="7" t="s">
        <v>38</v>
      </c>
      <c r="G100" s="9">
        <v>52.75</v>
      </c>
      <c r="H100" s="13">
        <v>3</v>
      </c>
      <c r="I100" s="17">
        <v>7.9124999999999996</v>
      </c>
      <c r="J100" s="9">
        <v>166.16249999999999</v>
      </c>
      <c r="K100" s="21">
        <v>43547</v>
      </c>
      <c r="L100" s="3">
        <v>0.42777777777777776</v>
      </c>
      <c r="M100" s="7" t="s">
        <v>18</v>
      </c>
      <c r="N100" s="19">
        <v>158.25</v>
      </c>
      <c r="O100" s="15">
        <v>4.7619047620000003</v>
      </c>
      <c r="P100" s="9">
        <v>7.9124999999999996</v>
      </c>
      <c r="Q100" s="11">
        <v>9.3000000000000007</v>
      </c>
    </row>
    <row r="101" spans="1:17" x14ac:dyDescent="0.25">
      <c r="A101" s="5" t="s">
        <v>129</v>
      </c>
      <c r="B101" s="7" t="s">
        <v>36</v>
      </c>
      <c r="C101" s="7" t="s">
        <v>37</v>
      </c>
      <c r="D101" s="7" t="s">
        <v>21</v>
      </c>
      <c r="E101" s="7" t="s">
        <v>25</v>
      </c>
      <c r="F101" s="7" t="s">
        <v>26</v>
      </c>
      <c r="G101" s="9">
        <v>82.7</v>
      </c>
      <c r="H101" s="13">
        <v>6</v>
      </c>
      <c r="I101" s="17">
        <v>24.81</v>
      </c>
      <c r="J101" s="9">
        <v>521.01</v>
      </c>
      <c r="K101" s="21">
        <v>43529</v>
      </c>
      <c r="L101" s="3">
        <v>0.75972222222222219</v>
      </c>
      <c r="M101" s="7" t="s">
        <v>23</v>
      </c>
      <c r="N101" s="19">
        <v>496.2</v>
      </c>
      <c r="O101" s="15">
        <v>4.7619047620000003</v>
      </c>
      <c r="P101" s="9">
        <v>24.81</v>
      </c>
      <c r="Q101" s="11">
        <v>7.4</v>
      </c>
    </row>
    <row r="102" spans="1:17" x14ac:dyDescent="0.25">
      <c r="A102" s="5" t="s">
        <v>130</v>
      </c>
      <c r="B102" s="7" t="s">
        <v>20</v>
      </c>
      <c r="C102" s="7" t="s">
        <v>1034</v>
      </c>
      <c r="D102" s="7" t="s">
        <v>15</v>
      </c>
      <c r="E102" s="7" t="s">
        <v>25</v>
      </c>
      <c r="F102" s="7" t="s">
        <v>40</v>
      </c>
      <c r="G102" s="9">
        <v>48.71</v>
      </c>
      <c r="H102" s="13">
        <v>1</v>
      </c>
      <c r="I102" s="17">
        <v>2.4355000000000002</v>
      </c>
      <c r="J102" s="9">
        <v>51.145499999999998</v>
      </c>
      <c r="K102" s="21">
        <v>43550</v>
      </c>
      <c r="L102" s="3">
        <v>0.80555555555555558</v>
      </c>
      <c r="M102" s="7" t="s">
        <v>23</v>
      </c>
      <c r="N102" s="19">
        <v>48.71</v>
      </c>
      <c r="O102" s="15">
        <v>4.7619047620000003</v>
      </c>
      <c r="P102" s="9">
        <v>2.4355000000000002</v>
      </c>
      <c r="Q102" s="11">
        <v>4.0999999999999996</v>
      </c>
    </row>
    <row r="103" spans="1:17" x14ac:dyDescent="0.25">
      <c r="A103" s="5" t="s">
        <v>131</v>
      </c>
      <c r="B103" s="7" t="s">
        <v>20</v>
      </c>
      <c r="C103" s="7" t="s">
        <v>1034</v>
      </c>
      <c r="D103" s="7" t="s">
        <v>21</v>
      </c>
      <c r="E103" s="7" t="s">
        <v>25</v>
      </c>
      <c r="F103" s="7" t="s">
        <v>40</v>
      </c>
      <c r="G103" s="9">
        <v>78.55</v>
      </c>
      <c r="H103" s="13">
        <v>9</v>
      </c>
      <c r="I103" s="17">
        <v>35.347499999999997</v>
      </c>
      <c r="J103" s="9">
        <v>742.29750000000001</v>
      </c>
      <c r="K103" s="21">
        <v>43525</v>
      </c>
      <c r="L103" s="3">
        <v>0.55694444444444446</v>
      </c>
      <c r="M103" s="7" t="s">
        <v>23</v>
      </c>
      <c r="N103" s="19">
        <v>706.95</v>
      </c>
      <c r="O103" s="15">
        <v>4.7619047620000003</v>
      </c>
      <c r="P103" s="9">
        <v>35.347499999999997</v>
      </c>
      <c r="Q103" s="11">
        <v>7.2</v>
      </c>
    </row>
    <row r="104" spans="1:17" x14ac:dyDescent="0.25">
      <c r="A104" s="5" t="s">
        <v>132</v>
      </c>
      <c r="B104" s="7" t="s">
        <v>20</v>
      </c>
      <c r="C104" s="7" t="s">
        <v>1034</v>
      </c>
      <c r="D104" s="7" t="s">
        <v>21</v>
      </c>
      <c r="E104" s="7" t="s">
        <v>16</v>
      </c>
      <c r="F104" s="7" t="s">
        <v>22</v>
      </c>
      <c r="G104" s="9">
        <v>23.07</v>
      </c>
      <c r="H104" s="13">
        <v>9</v>
      </c>
      <c r="I104" s="17">
        <v>10.381500000000001</v>
      </c>
      <c r="J104" s="9">
        <v>218.01150000000001</v>
      </c>
      <c r="K104" s="21">
        <v>43497</v>
      </c>
      <c r="L104" s="3">
        <v>0.47708333333333336</v>
      </c>
      <c r="M104" s="7" t="s">
        <v>23</v>
      </c>
      <c r="N104" s="19">
        <v>207.63</v>
      </c>
      <c r="O104" s="15">
        <v>4.7619047620000003</v>
      </c>
      <c r="P104" s="9">
        <v>10.381500000000001</v>
      </c>
      <c r="Q104" s="11">
        <v>4.9000000000000004</v>
      </c>
    </row>
    <row r="105" spans="1:17" x14ac:dyDescent="0.25">
      <c r="A105" s="5" t="s">
        <v>133</v>
      </c>
      <c r="B105" s="7" t="s">
        <v>13</v>
      </c>
      <c r="C105" s="7" t="s">
        <v>14</v>
      </c>
      <c r="D105" s="7" t="s">
        <v>21</v>
      </c>
      <c r="E105" s="7" t="s">
        <v>25</v>
      </c>
      <c r="F105" s="7" t="s">
        <v>38</v>
      </c>
      <c r="G105" s="9">
        <v>58.26</v>
      </c>
      <c r="H105" s="13">
        <v>6</v>
      </c>
      <c r="I105" s="17">
        <v>17.478000000000002</v>
      </c>
      <c r="J105" s="9">
        <v>367.03800000000001</v>
      </c>
      <c r="K105" s="21">
        <v>43552</v>
      </c>
      <c r="L105" s="3">
        <v>0.69722222222222219</v>
      </c>
      <c r="M105" s="7" t="s">
        <v>23</v>
      </c>
      <c r="N105" s="19">
        <v>349.56</v>
      </c>
      <c r="O105" s="15">
        <v>4.7619047620000003</v>
      </c>
      <c r="P105" s="9">
        <v>17.478000000000002</v>
      </c>
      <c r="Q105" s="11">
        <v>9.9</v>
      </c>
    </row>
    <row r="106" spans="1:17" x14ac:dyDescent="0.25">
      <c r="A106" s="5" t="s">
        <v>134</v>
      </c>
      <c r="B106" s="7" t="s">
        <v>36</v>
      </c>
      <c r="C106" s="7" t="s">
        <v>37</v>
      </c>
      <c r="D106" s="7" t="s">
        <v>21</v>
      </c>
      <c r="E106" s="7" t="s">
        <v>25</v>
      </c>
      <c r="F106" s="7" t="s">
        <v>17</v>
      </c>
      <c r="G106" s="9">
        <v>30.35</v>
      </c>
      <c r="H106" s="13">
        <v>7</v>
      </c>
      <c r="I106" s="17">
        <v>10.6225</v>
      </c>
      <c r="J106" s="9">
        <v>223.07249999999999</v>
      </c>
      <c r="K106" s="21">
        <v>43543</v>
      </c>
      <c r="L106" s="3">
        <v>0.7631944444444444</v>
      </c>
      <c r="M106" s="7" t="s">
        <v>23</v>
      </c>
      <c r="N106" s="19">
        <v>212.45</v>
      </c>
      <c r="O106" s="15">
        <v>4.7619047620000003</v>
      </c>
      <c r="P106" s="9">
        <v>10.6225</v>
      </c>
      <c r="Q106" s="11">
        <v>8</v>
      </c>
    </row>
    <row r="107" spans="1:17" x14ac:dyDescent="0.25">
      <c r="A107" s="5" t="s">
        <v>135</v>
      </c>
      <c r="B107" s="7" t="s">
        <v>13</v>
      </c>
      <c r="C107" s="7" t="s">
        <v>14</v>
      </c>
      <c r="D107" s="7" t="s">
        <v>15</v>
      </c>
      <c r="E107" s="7" t="s">
        <v>25</v>
      </c>
      <c r="F107" s="7" t="s">
        <v>22</v>
      </c>
      <c r="G107" s="9">
        <v>88.67</v>
      </c>
      <c r="H107" s="13">
        <v>10</v>
      </c>
      <c r="I107" s="17">
        <v>44.335000000000001</v>
      </c>
      <c r="J107" s="9">
        <v>931.03499999999997</v>
      </c>
      <c r="K107" s="21">
        <v>43477</v>
      </c>
      <c r="L107" s="3">
        <v>0.61805555555555558</v>
      </c>
      <c r="M107" s="7" t="s">
        <v>18</v>
      </c>
      <c r="N107" s="19">
        <v>886.7</v>
      </c>
      <c r="O107" s="15">
        <v>4.7619047620000003</v>
      </c>
      <c r="P107" s="9">
        <v>44.335000000000001</v>
      </c>
      <c r="Q107" s="11">
        <v>7.3</v>
      </c>
    </row>
    <row r="108" spans="1:17" x14ac:dyDescent="0.25">
      <c r="A108" s="5" t="s">
        <v>136</v>
      </c>
      <c r="B108" s="7" t="s">
        <v>20</v>
      </c>
      <c r="C108" s="7" t="s">
        <v>1034</v>
      </c>
      <c r="D108" s="7" t="s">
        <v>21</v>
      </c>
      <c r="E108" s="7" t="s">
        <v>25</v>
      </c>
      <c r="F108" s="7" t="s">
        <v>40</v>
      </c>
      <c r="G108" s="9">
        <v>27.38</v>
      </c>
      <c r="H108" s="13">
        <v>6</v>
      </c>
      <c r="I108" s="17">
        <v>8.2140000000000004</v>
      </c>
      <c r="J108" s="9">
        <v>172.494</v>
      </c>
      <c r="K108" s="21">
        <v>43470</v>
      </c>
      <c r="L108" s="3">
        <v>0.87083333333333335</v>
      </c>
      <c r="M108" s="7" t="s">
        <v>27</v>
      </c>
      <c r="N108" s="19">
        <v>164.28</v>
      </c>
      <c r="O108" s="15">
        <v>4.7619047620000003</v>
      </c>
      <c r="P108" s="9">
        <v>8.2140000000000004</v>
      </c>
      <c r="Q108" s="11">
        <v>7.9</v>
      </c>
    </row>
    <row r="109" spans="1:17" x14ac:dyDescent="0.25">
      <c r="A109" s="5" t="s">
        <v>137</v>
      </c>
      <c r="B109" s="7" t="s">
        <v>13</v>
      </c>
      <c r="C109" s="7" t="s">
        <v>14</v>
      </c>
      <c r="D109" s="7" t="s">
        <v>21</v>
      </c>
      <c r="E109" s="7" t="s">
        <v>25</v>
      </c>
      <c r="F109" s="7" t="s">
        <v>30</v>
      </c>
      <c r="G109" s="9">
        <v>62.13</v>
      </c>
      <c r="H109" s="13">
        <v>6</v>
      </c>
      <c r="I109" s="17">
        <v>18.638999999999999</v>
      </c>
      <c r="J109" s="9">
        <v>391.41899999999998</v>
      </c>
      <c r="K109" s="21">
        <v>43546</v>
      </c>
      <c r="L109" s="3">
        <v>0.84652777777777777</v>
      </c>
      <c r="M109" s="7" t="s">
        <v>23</v>
      </c>
      <c r="N109" s="19">
        <v>372.78</v>
      </c>
      <c r="O109" s="15">
        <v>4.7619047620000003</v>
      </c>
      <c r="P109" s="9">
        <v>18.638999999999999</v>
      </c>
      <c r="Q109" s="11">
        <v>7.4</v>
      </c>
    </row>
    <row r="110" spans="1:17" x14ac:dyDescent="0.25">
      <c r="A110" s="5" t="s">
        <v>138</v>
      </c>
      <c r="B110" s="7" t="s">
        <v>20</v>
      </c>
      <c r="C110" s="7" t="s">
        <v>1034</v>
      </c>
      <c r="D110" s="7" t="s">
        <v>21</v>
      </c>
      <c r="E110" s="7" t="s">
        <v>16</v>
      </c>
      <c r="F110" s="7" t="s">
        <v>38</v>
      </c>
      <c r="G110" s="9">
        <v>33.979999999999997</v>
      </c>
      <c r="H110" s="13">
        <v>9</v>
      </c>
      <c r="I110" s="17">
        <v>15.291</v>
      </c>
      <c r="J110" s="9">
        <v>321.11099999999999</v>
      </c>
      <c r="K110" s="21">
        <v>43548</v>
      </c>
      <c r="L110" s="3">
        <v>0.4465277777777778</v>
      </c>
      <c r="M110" s="7" t="s">
        <v>23</v>
      </c>
      <c r="N110" s="19">
        <v>305.82</v>
      </c>
      <c r="O110" s="15">
        <v>4.7619047620000003</v>
      </c>
      <c r="P110" s="9">
        <v>15.291</v>
      </c>
      <c r="Q110" s="11">
        <v>4.2</v>
      </c>
    </row>
    <row r="111" spans="1:17" x14ac:dyDescent="0.25">
      <c r="A111" s="5" t="s">
        <v>139</v>
      </c>
      <c r="B111" s="7" t="s">
        <v>20</v>
      </c>
      <c r="C111" s="7" t="s">
        <v>1034</v>
      </c>
      <c r="D111" s="7" t="s">
        <v>15</v>
      </c>
      <c r="E111" s="7" t="s">
        <v>25</v>
      </c>
      <c r="F111" s="7" t="s">
        <v>22</v>
      </c>
      <c r="G111" s="9">
        <v>81.97</v>
      </c>
      <c r="H111" s="13">
        <v>10</v>
      </c>
      <c r="I111" s="17">
        <v>40.984999999999999</v>
      </c>
      <c r="J111" s="9">
        <v>860.68499999999995</v>
      </c>
      <c r="K111" s="21">
        <v>43527</v>
      </c>
      <c r="L111" s="3">
        <v>0.60416666666666663</v>
      </c>
      <c r="M111" s="7" t="s">
        <v>23</v>
      </c>
      <c r="N111" s="19">
        <v>819.7</v>
      </c>
      <c r="O111" s="15">
        <v>4.7619047620000003</v>
      </c>
      <c r="P111" s="9">
        <v>40.984999999999999</v>
      </c>
      <c r="Q111" s="11">
        <v>9.1999999999999993</v>
      </c>
    </row>
    <row r="112" spans="1:17" x14ac:dyDescent="0.25">
      <c r="A112" s="5" t="s">
        <v>140</v>
      </c>
      <c r="B112" s="7" t="s">
        <v>36</v>
      </c>
      <c r="C112" s="7" t="s">
        <v>37</v>
      </c>
      <c r="D112" s="7" t="s">
        <v>15</v>
      </c>
      <c r="E112" s="7" t="s">
        <v>16</v>
      </c>
      <c r="F112" s="7" t="s">
        <v>30</v>
      </c>
      <c r="G112" s="9">
        <v>16.489999999999998</v>
      </c>
      <c r="H112" s="13">
        <v>2</v>
      </c>
      <c r="I112" s="17">
        <v>1.649</v>
      </c>
      <c r="J112" s="9">
        <v>34.628999999999998</v>
      </c>
      <c r="K112" s="21">
        <v>43501</v>
      </c>
      <c r="L112" s="3">
        <v>0.48055555555555557</v>
      </c>
      <c r="M112" s="7" t="s">
        <v>18</v>
      </c>
      <c r="N112" s="19">
        <v>32.979999999999997</v>
      </c>
      <c r="O112" s="15">
        <v>4.7619047620000003</v>
      </c>
      <c r="P112" s="9">
        <v>1.649</v>
      </c>
      <c r="Q112" s="11">
        <v>4.5999999999999996</v>
      </c>
    </row>
    <row r="113" spans="1:17" x14ac:dyDescent="0.25">
      <c r="A113" s="5" t="s">
        <v>141</v>
      </c>
      <c r="B113" s="7" t="s">
        <v>20</v>
      </c>
      <c r="C113" s="7" t="s">
        <v>1034</v>
      </c>
      <c r="D113" s="7" t="s">
        <v>15</v>
      </c>
      <c r="E113" s="7" t="s">
        <v>16</v>
      </c>
      <c r="F113" s="7" t="s">
        <v>17</v>
      </c>
      <c r="G113" s="9">
        <v>98.21</v>
      </c>
      <c r="H113" s="13">
        <v>3</v>
      </c>
      <c r="I113" s="17">
        <v>14.7315</v>
      </c>
      <c r="J113" s="9">
        <v>309.36149999999998</v>
      </c>
      <c r="K113" s="21">
        <v>43501</v>
      </c>
      <c r="L113" s="3">
        <v>0.44513888888888886</v>
      </c>
      <c r="M113" s="7" t="s">
        <v>27</v>
      </c>
      <c r="N113" s="19">
        <v>294.63</v>
      </c>
      <c r="O113" s="15">
        <v>4.7619047620000003</v>
      </c>
      <c r="P113" s="9">
        <v>14.7315</v>
      </c>
      <c r="Q113" s="11">
        <v>7.8</v>
      </c>
    </row>
    <row r="114" spans="1:17" x14ac:dyDescent="0.25">
      <c r="A114" s="5" t="s">
        <v>142</v>
      </c>
      <c r="B114" s="7" t="s">
        <v>36</v>
      </c>
      <c r="C114" s="7" t="s">
        <v>37</v>
      </c>
      <c r="D114" s="7" t="s">
        <v>21</v>
      </c>
      <c r="E114" s="7" t="s">
        <v>16</v>
      </c>
      <c r="F114" s="7" t="s">
        <v>40</v>
      </c>
      <c r="G114" s="9">
        <v>72.84</v>
      </c>
      <c r="H114" s="13">
        <v>7</v>
      </c>
      <c r="I114" s="17">
        <v>25.494</v>
      </c>
      <c r="J114" s="9">
        <v>535.37400000000002</v>
      </c>
      <c r="K114" s="21">
        <v>43511</v>
      </c>
      <c r="L114" s="3">
        <v>0.53055555555555556</v>
      </c>
      <c r="M114" s="7" t="s">
        <v>23</v>
      </c>
      <c r="N114" s="19">
        <v>509.88</v>
      </c>
      <c r="O114" s="15">
        <v>4.7619047620000003</v>
      </c>
      <c r="P114" s="9">
        <v>25.494</v>
      </c>
      <c r="Q114" s="11">
        <v>8.4</v>
      </c>
    </row>
    <row r="115" spans="1:17" x14ac:dyDescent="0.25">
      <c r="A115" s="5" t="s">
        <v>143</v>
      </c>
      <c r="B115" s="7" t="s">
        <v>13</v>
      </c>
      <c r="C115" s="7" t="s">
        <v>14</v>
      </c>
      <c r="D115" s="7" t="s">
        <v>15</v>
      </c>
      <c r="E115" s="7" t="s">
        <v>25</v>
      </c>
      <c r="F115" s="7" t="s">
        <v>26</v>
      </c>
      <c r="G115" s="9">
        <v>58.07</v>
      </c>
      <c r="H115" s="13">
        <v>9</v>
      </c>
      <c r="I115" s="17">
        <v>26.131499999999999</v>
      </c>
      <c r="J115" s="9">
        <v>548.76149999999996</v>
      </c>
      <c r="K115" s="21">
        <v>43484</v>
      </c>
      <c r="L115" s="3">
        <v>0.83819444444444446</v>
      </c>
      <c r="M115" s="7" t="s">
        <v>18</v>
      </c>
      <c r="N115" s="19">
        <v>522.63</v>
      </c>
      <c r="O115" s="15">
        <v>4.7619047620000003</v>
      </c>
      <c r="P115" s="9">
        <v>26.131499999999999</v>
      </c>
      <c r="Q115" s="11">
        <v>4.3</v>
      </c>
    </row>
    <row r="116" spans="1:17" x14ac:dyDescent="0.25">
      <c r="A116" s="5" t="s">
        <v>144</v>
      </c>
      <c r="B116" s="7" t="s">
        <v>20</v>
      </c>
      <c r="C116" s="7" t="s">
        <v>1034</v>
      </c>
      <c r="D116" s="7" t="s">
        <v>15</v>
      </c>
      <c r="E116" s="7" t="s">
        <v>16</v>
      </c>
      <c r="F116" s="7" t="s">
        <v>26</v>
      </c>
      <c r="G116" s="9">
        <v>80.790000000000006</v>
      </c>
      <c r="H116" s="13">
        <v>9</v>
      </c>
      <c r="I116" s="17">
        <v>36.355499999999999</v>
      </c>
      <c r="J116" s="9">
        <v>763.46550000000002</v>
      </c>
      <c r="K116" s="21">
        <v>43497</v>
      </c>
      <c r="L116" s="3">
        <v>0.85486111111111107</v>
      </c>
      <c r="M116" s="7" t="s">
        <v>27</v>
      </c>
      <c r="N116" s="19">
        <v>727.11</v>
      </c>
      <c r="O116" s="15">
        <v>4.7619047620000003</v>
      </c>
      <c r="P116" s="9">
        <v>36.355499999999999</v>
      </c>
      <c r="Q116" s="11">
        <v>9.5</v>
      </c>
    </row>
    <row r="117" spans="1:17" x14ac:dyDescent="0.25">
      <c r="A117" s="5" t="s">
        <v>145</v>
      </c>
      <c r="B117" s="7" t="s">
        <v>20</v>
      </c>
      <c r="C117" s="7" t="s">
        <v>1034</v>
      </c>
      <c r="D117" s="7" t="s">
        <v>21</v>
      </c>
      <c r="E117" s="7" t="s">
        <v>16</v>
      </c>
      <c r="F117" s="7" t="s">
        <v>40</v>
      </c>
      <c r="G117" s="9">
        <v>27.02</v>
      </c>
      <c r="H117" s="13">
        <v>3</v>
      </c>
      <c r="I117" s="17">
        <v>4.0529999999999999</v>
      </c>
      <c r="J117" s="9">
        <v>85.113</v>
      </c>
      <c r="K117" s="21">
        <v>43526</v>
      </c>
      <c r="L117" s="3">
        <v>0.54236111111111107</v>
      </c>
      <c r="M117" s="7" t="s">
        <v>27</v>
      </c>
      <c r="N117" s="19">
        <v>81.06</v>
      </c>
      <c r="O117" s="15">
        <v>4.7619047620000003</v>
      </c>
      <c r="P117" s="9">
        <v>4.0529999999999999</v>
      </c>
      <c r="Q117" s="11">
        <v>7.1</v>
      </c>
    </row>
    <row r="118" spans="1:17" x14ac:dyDescent="0.25">
      <c r="A118" s="5" t="s">
        <v>146</v>
      </c>
      <c r="B118" s="7" t="s">
        <v>36</v>
      </c>
      <c r="C118" s="7" t="s">
        <v>37</v>
      </c>
      <c r="D118" s="7" t="s">
        <v>15</v>
      </c>
      <c r="E118" s="7" t="s">
        <v>25</v>
      </c>
      <c r="F118" s="7" t="s">
        <v>40</v>
      </c>
      <c r="G118" s="9">
        <v>21.94</v>
      </c>
      <c r="H118" s="13">
        <v>5</v>
      </c>
      <c r="I118" s="17">
        <v>5.4850000000000003</v>
      </c>
      <c r="J118" s="9">
        <v>115.185</v>
      </c>
      <c r="K118" s="21">
        <v>43529</v>
      </c>
      <c r="L118" s="3">
        <v>0.52013888888888893</v>
      </c>
      <c r="M118" s="7" t="s">
        <v>18</v>
      </c>
      <c r="N118" s="19">
        <v>109.7</v>
      </c>
      <c r="O118" s="15">
        <v>4.7619047620000003</v>
      </c>
      <c r="P118" s="9">
        <v>5.4850000000000003</v>
      </c>
      <c r="Q118" s="11">
        <v>5.3</v>
      </c>
    </row>
    <row r="119" spans="1:17" x14ac:dyDescent="0.25">
      <c r="A119" s="5" t="s">
        <v>147</v>
      </c>
      <c r="B119" s="7" t="s">
        <v>36</v>
      </c>
      <c r="C119" s="7" t="s">
        <v>37</v>
      </c>
      <c r="D119" s="7" t="s">
        <v>15</v>
      </c>
      <c r="E119" s="7" t="s">
        <v>25</v>
      </c>
      <c r="F119" s="7" t="s">
        <v>40</v>
      </c>
      <c r="G119" s="9">
        <v>51.36</v>
      </c>
      <c r="H119" s="13">
        <v>1</v>
      </c>
      <c r="I119" s="17">
        <v>2.5680000000000001</v>
      </c>
      <c r="J119" s="9">
        <v>53.927999999999997</v>
      </c>
      <c r="K119" s="21">
        <v>43481</v>
      </c>
      <c r="L119" s="3">
        <v>0.6430555555555556</v>
      </c>
      <c r="M119" s="7" t="s">
        <v>18</v>
      </c>
      <c r="N119" s="19">
        <v>51.36</v>
      </c>
      <c r="O119" s="15">
        <v>4.7619047620000003</v>
      </c>
      <c r="P119" s="9">
        <v>2.5680000000000001</v>
      </c>
      <c r="Q119" s="11">
        <v>5.2</v>
      </c>
    </row>
    <row r="120" spans="1:17" x14ac:dyDescent="0.25">
      <c r="A120" s="5" t="s">
        <v>148</v>
      </c>
      <c r="B120" s="7" t="s">
        <v>13</v>
      </c>
      <c r="C120" s="7" t="s">
        <v>14</v>
      </c>
      <c r="D120" s="7" t="s">
        <v>21</v>
      </c>
      <c r="E120" s="7" t="s">
        <v>16</v>
      </c>
      <c r="F120" s="7" t="s">
        <v>38</v>
      </c>
      <c r="G120" s="9">
        <v>10.96</v>
      </c>
      <c r="H120" s="13">
        <v>10</v>
      </c>
      <c r="I120" s="17">
        <v>5.48</v>
      </c>
      <c r="J120" s="9">
        <v>115.08</v>
      </c>
      <c r="K120" s="21">
        <v>43498</v>
      </c>
      <c r="L120" s="3">
        <v>0.8666666666666667</v>
      </c>
      <c r="M120" s="7" t="s">
        <v>18</v>
      </c>
      <c r="N120" s="19">
        <v>109.6</v>
      </c>
      <c r="O120" s="15">
        <v>4.7619047620000003</v>
      </c>
      <c r="P120" s="9">
        <v>5.48</v>
      </c>
      <c r="Q120" s="11">
        <v>6</v>
      </c>
    </row>
    <row r="121" spans="1:17" x14ac:dyDescent="0.25">
      <c r="A121" s="5" t="s">
        <v>149</v>
      </c>
      <c r="B121" s="7" t="s">
        <v>36</v>
      </c>
      <c r="C121" s="7" t="s">
        <v>37</v>
      </c>
      <c r="D121" s="7" t="s">
        <v>21</v>
      </c>
      <c r="E121" s="7" t="s">
        <v>25</v>
      </c>
      <c r="F121" s="7" t="s">
        <v>26</v>
      </c>
      <c r="G121" s="9">
        <v>53.44</v>
      </c>
      <c r="H121" s="13">
        <v>2</v>
      </c>
      <c r="I121" s="17">
        <v>5.3440000000000003</v>
      </c>
      <c r="J121" s="9">
        <v>112.224</v>
      </c>
      <c r="K121" s="21">
        <v>43485</v>
      </c>
      <c r="L121" s="3">
        <v>0.85972222222222228</v>
      </c>
      <c r="M121" s="7" t="s">
        <v>18</v>
      </c>
      <c r="N121" s="19">
        <v>106.88</v>
      </c>
      <c r="O121" s="15">
        <v>4.7619047620000003</v>
      </c>
      <c r="P121" s="9">
        <v>5.3440000000000003</v>
      </c>
      <c r="Q121" s="11">
        <v>4.0999999999999996</v>
      </c>
    </row>
    <row r="122" spans="1:17" x14ac:dyDescent="0.25">
      <c r="A122" s="5" t="s">
        <v>150</v>
      </c>
      <c r="B122" s="7" t="s">
        <v>13</v>
      </c>
      <c r="C122" s="7" t="s">
        <v>14</v>
      </c>
      <c r="D122" s="7" t="s">
        <v>21</v>
      </c>
      <c r="E122" s="7" t="s">
        <v>16</v>
      </c>
      <c r="F122" s="7" t="s">
        <v>22</v>
      </c>
      <c r="G122" s="9">
        <v>99.56</v>
      </c>
      <c r="H122" s="13">
        <v>8</v>
      </c>
      <c r="I122" s="17">
        <v>39.823999999999998</v>
      </c>
      <c r="J122" s="9">
        <v>836.30399999999997</v>
      </c>
      <c r="K122" s="21">
        <v>43510</v>
      </c>
      <c r="L122" s="3">
        <v>0.7104166666666667</v>
      </c>
      <c r="M122" s="7" t="s">
        <v>27</v>
      </c>
      <c r="N122" s="19">
        <v>796.48</v>
      </c>
      <c r="O122" s="15">
        <v>4.7619047620000003</v>
      </c>
      <c r="P122" s="9">
        <v>39.823999999999998</v>
      </c>
      <c r="Q122" s="11">
        <v>5.2</v>
      </c>
    </row>
    <row r="123" spans="1:17" x14ac:dyDescent="0.25">
      <c r="A123" s="5" t="s">
        <v>151</v>
      </c>
      <c r="B123" s="7" t="s">
        <v>20</v>
      </c>
      <c r="C123" s="7" t="s">
        <v>1034</v>
      </c>
      <c r="D123" s="7" t="s">
        <v>15</v>
      </c>
      <c r="E123" s="7" t="s">
        <v>25</v>
      </c>
      <c r="F123" s="7" t="s">
        <v>30</v>
      </c>
      <c r="G123" s="9">
        <v>57.12</v>
      </c>
      <c r="H123" s="13">
        <v>7</v>
      </c>
      <c r="I123" s="17">
        <v>19.992000000000001</v>
      </c>
      <c r="J123" s="9">
        <v>419.83199999999999</v>
      </c>
      <c r="K123" s="21">
        <v>43477</v>
      </c>
      <c r="L123" s="3">
        <v>0.50138888888888888</v>
      </c>
      <c r="M123" s="7" t="s">
        <v>27</v>
      </c>
      <c r="N123" s="19">
        <v>399.84</v>
      </c>
      <c r="O123" s="15">
        <v>4.7619047620000003</v>
      </c>
      <c r="P123" s="9">
        <v>19.992000000000001</v>
      </c>
      <c r="Q123" s="11">
        <v>6.5</v>
      </c>
    </row>
    <row r="124" spans="1:17" x14ac:dyDescent="0.25">
      <c r="A124" s="5" t="s">
        <v>152</v>
      </c>
      <c r="B124" s="7" t="s">
        <v>36</v>
      </c>
      <c r="C124" s="7" t="s">
        <v>37</v>
      </c>
      <c r="D124" s="7" t="s">
        <v>15</v>
      </c>
      <c r="E124" s="7" t="s">
        <v>25</v>
      </c>
      <c r="F124" s="7" t="s">
        <v>30</v>
      </c>
      <c r="G124" s="9">
        <v>99.96</v>
      </c>
      <c r="H124" s="13">
        <v>9</v>
      </c>
      <c r="I124" s="17">
        <v>44.981999999999999</v>
      </c>
      <c r="J124" s="9">
        <v>944.62199999999996</v>
      </c>
      <c r="K124" s="21">
        <v>43533</v>
      </c>
      <c r="L124" s="3">
        <v>0.72638888888888886</v>
      </c>
      <c r="M124" s="7" t="s">
        <v>27</v>
      </c>
      <c r="N124" s="19">
        <v>899.64</v>
      </c>
      <c r="O124" s="15">
        <v>4.7619047620000003</v>
      </c>
      <c r="P124" s="9">
        <v>44.981999999999999</v>
      </c>
      <c r="Q124" s="11">
        <v>4.2</v>
      </c>
    </row>
    <row r="125" spans="1:17" x14ac:dyDescent="0.25">
      <c r="A125" s="5" t="s">
        <v>153</v>
      </c>
      <c r="B125" s="7" t="s">
        <v>20</v>
      </c>
      <c r="C125" s="7" t="s">
        <v>1034</v>
      </c>
      <c r="D125" s="7" t="s">
        <v>15</v>
      </c>
      <c r="E125" s="7" t="s">
        <v>25</v>
      </c>
      <c r="F125" s="7" t="s">
        <v>26</v>
      </c>
      <c r="G125" s="9">
        <v>63.91</v>
      </c>
      <c r="H125" s="13">
        <v>8</v>
      </c>
      <c r="I125" s="17">
        <v>25.564</v>
      </c>
      <c r="J125" s="9">
        <v>536.84400000000005</v>
      </c>
      <c r="K125" s="21">
        <v>43537</v>
      </c>
      <c r="L125" s="3">
        <v>0.82777777777777772</v>
      </c>
      <c r="M125" s="7" t="s">
        <v>27</v>
      </c>
      <c r="N125" s="19">
        <v>511.28</v>
      </c>
      <c r="O125" s="15">
        <v>4.7619047620000003</v>
      </c>
      <c r="P125" s="9">
        <v>25.564</v>
      </c>
      <c r="Q125" s="11">
        <v>4.5999999999999996</v>
      </c>
    </row>
    <row r="126" spans="1:17" x14ac:dyDescent="0.25">
      <c r="A126" s="5" t="s">
        <v>154</v>
      </c>
      <c r="B126" s="7" t="s">
        <v>36</v>
      </c>
      <c r="C126" s="7" t="s">
        <v>37</v>
      </c>
      <c r="D126" s="7" t="s">
        <v>15</v>
      </c>
      <c r="E126" s="7" t="s">
        <v>16</v>
      </c>
      <c r="F126" s="7" t="s">
        <v>40</v>
      </c>
      <c r="G126" s="9">
        <v>56.47</v>
      </c>
      <c r="H126" s="13">
        <v>8</v>
      </c>
      <c r="I126" s="17">
        <v>22.588000000000001</v>
      </c>
      <c r="J126" s="9">
        <v>474.34800000000001</v>
      </c>
      <c r="K126" s="21">
        <v>43533</v>
      </c>
      <c r="L126" s="3">
        <v>0.62291666666666667</v>
      </c>
      <c r="M126" s="7" t="s">
        <v>18</v>
      </c>
      <c r="N126" s="19">
        <v>451.76</v>
      </c>
      <c r="O126" s="15">
        <v>4.7619047620000003</v>
      </c>
      <c r="P126" s="9">
        <v>22.588000000000001</v>
      </c>
      <c r="Q126" s="11">
        <v>7.3</v>
      </c>
    </row>
    <row r="127" spans="1:17" x14ac:dyDescent="0.25">
      <c r="A127" s="5" t="s">
        <v>155</v>
      </c>
      <c r="B127" s="7" t="s">
        <v>13</v>
      </c>
      <c r="C127" s="7" t="s">
        <v>14</v>
      </c>
      <c r="D127" s="7" t="s">
        <v>21</v>
      </c>
      <c r="E127" s="7" t="s">
        <v>16</v>
      </c>
      <c r="F127" s="7" t="s">
        <v>26</v>
      </c>
      <c r="G127" s="9">
        <v>93.69</v>
      </c>
      <c r="H127" s="13">
        <v>7</v>
      </c>
      <c r="I127" s="17">
        <v>32.791499999999999</v>
      </c>
      <c r="J127" s="9">
        <v>688.62149999999997</v>
      </c>
      <c r="K127" s="21">
        <v>43534</v>
      </c>
      <c r="L127" s="3">
        <v>0.78055555555555556</v>
      </c>
      <c r="M127" s="7" t="s">
        <v>27</v>
      </c>
      <c r="N127" s="19">
        <v>655.83</v>
      </c>
      <c r="O127" s="15">
        <v>4.7619047620000003</v>
      </c>
      <c r="P127" s="9">
        <v>32.791499999999999</v>
      </c>
      <c r="Q127" s="11">
        <v>4.5</v>
      </c>
    </row>
    <row r="128" spans="1:17" x14ac:dyDescent="0.25">
      <c r="A128" s="5" t="s">
        <v>156</v>
      </c>
      <c r="B128" s="7" t="s">
        <v>13</v>
      </c>
      <c r="C128" s="7" t="s">
        <v>14</v>
      </c>
      <c r="D128" s="7" t="s">
        <v>21</v>
      </c>
      <c r="E128" s="7" t="s">
        <v>16</v>
      </c>
      <c r="F128" s="7" t="s">
        <v>30</v>
      </c>
      <c r="G128" s="9">
        <v>32.25</v>
      </c>
      <c r="H128" s="13">
        <v>5</v>
      </c>
      <c r="I128" s="17">
        <v>8.0625</v>
      </c>
      <c r="J128" s="9">
        <v>169.3125</v>
      </c>
      <c r="K128" s="21">
        <v>43492</v>
      </c>
      <c r="L128" s="3">
        <v>0.55972222222222223</v>
      </c>
      <c r="M128" s="7" t="s">
        <v>23</v>
      </c>
      <c r="N128" s="19">
        <v>161.25</v>
      </c>
      <c r="O128" s="15">
        <v>4.7619047620000003</v>
      </c>
      <c r="P128" s="9">
        <v>8.0625</v>
      </c>
      <c r="Q128" s="11">
        <v>9</v>
      </c>
    </row>
    <row r="129" spans="1:17" x14ac:dyDescent="0.25">
      <c r="A129" s="5" t="s">
        <v>157</v>
      </c>
      <c r="B129" s="7" t="s">
        <v>20</v>
      </c>
      <c r="C129" s="7" t="s">
        <v>1034</v>
      </c>
      <c r="D129" s="7" t="s">
        <v>21</v>
      </c>
      <c r="E129" s="7" t="s">
        <v>16</v>
      </c>
      <c r="F129" s="7" t="s">
        <v>40</v>
      </c>
      <c r="G129" s="9">
        <v>31.73</v>
      </c>
      <c r="H129" s="13">
        <v>9</v>
      </c>
      <c r="I129" s="17">
        <v>14.278499999999999</v>
      </c>
      <c r="J129" s="9">
        <v>299.8485</v>
      </c>
      <c r="K129" s="21">
        <v>43473</v>
      </c>
      <c r="L129" s="3">
        <v>0.67847222222222225</v>
      </c>
      <c r="M129" s="7" t="s">
        <v>27</v>
      </c>
      <c r="N129" s="19">
        <v>285.57</v>
      </c>
      <c r="O129" s="15">
        <v>4.7619047620000003</v>
      </c>
      <c r="P129" s="9">
        <v>14.278499999999999</v>
      </c>
      <c r="Q129" s="11">
        <v>5.9</v>
      </c>
    </row>
    <row r="130" spans="1:17" x14ac:dyDescent="0.25">
      <c r="A130" s="5" t="s">
        <v>158</v>
      </c>
      <c r="B130" s="7" t="s">
        <v>20</v>
      </c>
      <c r="C130" s="7" t="s">
        <v>1034</v>
      </c>
      <c r="D130" s="7" t="s">
        <v>15</v>
      </c>
      <c r="E130" s="7" t="s">
        <v>16</v>
      </c>
      <c r="F130" s="7" t="s">
        <v>38</v>
      </c>
      <c r="G130" s="9">
        <v>68.540000000000006</v>
      </c>
      <c r="H130" s="13">
        <v>8</v>
      </c>
      <c r="I130" s="17">
        <v>27.416</v>
      </c>
      <c r="J130" s="9">
        <v>575.73599999999999</v>
      </c>
      <c r="K130" s="21">
        <v>43473</v>
      </c>
      <c r="L130" s="3">
        <v>0.6645833333333333</v>
      </c>
      <c r="M130" s="7" t="s">
        <v>18</v>
      </c>
      <c r="N130" s="19">
        <v>548.32000000000005</v>
      </c>
      <c r="O130" s="15">
        <v>4.7619047620000003</v>
      </c>
      <c r="P130" s="9">
        <v>27.416</v>
      </c>
      <c r="Q130" s="11">
        <v>8.5</v>
      </c>
    </row>
    <row r="131" spans="1:17" x14ac:dyDescent="0.25">
      <c r="A131" s="5" t="s">
        <v>159</v>
      </c>
      <c r="B131" s="7" t="s">
        <v>36</v>
      </c>
      <c r="C131" s="7" t="s">
        <v>37</v>
      </c>
      <c r="D131" s="7" t="s">
        <v>21</v>
      </c>
      <c r="E131" s="7" t="s">
        <v>16</v>
      </c>
      <c r="F131" s="7" t="s">
        <v>30</v>
      </c>
      <c r="G131" s="9">
        <v>90.28</v>
      </c>
      <c r="H131" s="13">
        <v>9</v>
      </c>
      <c r="I131" s="17">
        <v>40.625999999999998</v>
      </c>
      <c r="J131" s="9">
        <v>853.14599999999996</v>
      </c>
      <c r="K131" s="21">
        <v>43504</v>
      </c>
      <c r="L131" s="3">
        <v>0.46875</v>
      </c>
      <c r="M131" s="7" t="s">
        <v>18</v>
      </c>
      <c r="N131" s="19">
        <v>812.52</v>
      </c>
      <c r="O131" s="15">
        <v>4.7619047620000003</v>
      </c>
      <c r="P131" s="9">
        <v>40.625999999999998</v>
      </c>
      <c r="Q131" s="11">
        <v>7.2</v>
      </c>
    </row>
    <row r="132" spans="1:17" x14ac:dyDescent="0.25">
      <c r="A132" s="5" t="s">
        <v>160</v>
      </c>
      <c r="B132" s="7" t="s">
        <v>36</v>
      </c>
      <c r="C132" s="7" t="s">
        <v>37</v>
      </c>
      <c r="D132" s="7" t="s">
        <v>21</v>
      </c>
      <c r="E132" s="7" t="s">
        <v>16</v>
      </c>
      <c r="F132" s="7" t="s">
        <v>40</v>
      </c>
      <c r="G132" s="9">
        <v>39.619999999999997</v>
      </c>
      <c r="H132" s="13">
        <v>7</v>
      </c>
      <c r="I132" s="17">
        <v>13.867000000000001</v>
      </c>
      <c r="J132" s="9">
        <v>291.20699999999999</v>
      </c>
      <c r="K132" s="21">
        <v>43490</v>
      </c>
      <c r="L132" s="3">
        <v>0.5541666666666667</v>
      </c>
      <c r="M132" s="7" t="s">
        <v>23</v>
      </c>
      <c r="N132" s="19">
        <v>277.33999999999997</v>
      </c>
      <c r="O132" s="15">
        <v>4.7619047620000003</v>
      </c>
      <c r="P132" s="9">
        <v>13.867000000000001</v>
      </c>
      <c r="Q132" s="11">
        <v>7.5</v>
      </c>
    </row>
    <row r="133" spans="1:17" x14ac:dyDescent="0.25">
      <c r="A133" s="5" t="s">
        <v>161</v>
      </c>
      <c r="B133" s="7" t="s">
        <v>13</v>
      </c>
      <c r="C133" s="7" t="s">
        <v>14</v>
      </c>
      <c r="D133" s="7" t="s">
        <v>15</v>
      </c>
      <c r="E133" s="7" t="s">
        <v>16</v>
      </c>
      <c r="F133" s="7" t="s">
        <v>30</v>
      </c>
      <c r="G133" s="9">
        <v>92.13</v>
      </c>
      <c r="H133" s="13">
        <v>6</v>
      </c>
      <c r="I133" s="17">
        <v>27.638999999999999</v>
      </c>
      <c r="J133" s="9">
        <v>580.41899999999998</v>
      </c>
      <c r="K133" s="21">
        <v>43530</v>
      </c>
      <c r="L133" s="3">
        <v>0.8569444444444444</v>
      </c>
      <c r="M133" s="7" t="s">
        <v>23</v>
      </c>
      <c r="N133" s="19">
        <v>552.78</v>
      </c>
      <c r="O133" s="15">
        <v>4.7619047620000003</v>
      </c>
      <c r="P133" s="9">
        <v>27.638999999999999</v>
      </c>
      <c r="Q133" s="11">
        <v>8.3000000000000007</v>
      </c>
    </row>
    <row r="134" spans="1:17" x14ac:dyDescent="0.25">
      <c r="A134" s="5" t="s">
        <v>162</v>
      </c>
      <c r="B134" s="7" t="s">
        <v>36</v>
      </c>
      <c r="C134" s="7" t="s">
        <v>37</v>
      </c>
      <c r="D134" s="7" t="s">
        <v>21</v>
      </c>
      <c r="E134" s="7" t="s">
        <v>16</v>
      </c>
      <c r="F134" s="7" t="s">
        <v>30</v>
      </c>
      <c r="G134" s="9">
        <v>34.840000000000003</v>
      </c>
      <c r="H134" s="13">
        <v>4</v>
      </c>
      <c r="I134" s="17">
        <v>6.968</v>
      </c>
      <c r="J134" s="9">
        <v>146.328</v>
      </c>
      <c r="K134" s="21">
        <v>43506</v>
      </c>
      <c r="L134" s="3">
        <v>0.77500000000000002</v>
      </c>
      <c r="M134" s="7" t="s">
        <v>23</v>
      </c>
      <c r="N134" s="19">
        <v>139.36000000000001</v>
      </c>
      <c r="O134" s="15">
        <v>4.7619047620000003</v>
      </c>
      <c r="P134" s="9">
        <v>6.968</v>
      </c>
      <c r="Q134" s="11">
        <v>7.4</v>
      </c>
    </row>
    <row r="135" spans="1:17" x14ac:dyDescent="0.25">
      <c r="A135" s="5" t="s">
        <v>163</v>
      </c>
      <c r="B135" s="7" t="s">
        <v>36</v>
      </c>
      <c r="C135" s="7" t="s">
        <v>37</v>
      </c>
      <c r="D135" s="7" t="s">
        <v>15</v>
      </c>
      <c r="E135" s="7" t="s">
        <v>25</v>
      </c>
      <c r="F135" s="7" t="s">
        <v>22</v>
      </c>
      <c r="G135" s="9">
        <v>87.45</v>
      </c>
      <c r="H135" s="13">
        <v>6</v>
      </c>
      <c r="I135" s="17">
        <v>26.234999999999999</v>
      </c>
      <c r="J135" s="9">
        <v>550.93499999999995</v>
      </c>
      <c r="K135" s="21">
        <v>43513</v>
      </c>
      <c r="L135" s="3">
        <v>0.61111111111111116</v>
      </c>
      <c r="M135" s="7" t="s">
        <v>27</v>
      </c>
      <c r="N135" s="19">
        <v>524.70000000000005</v>
      </c>
      <c r="O135" s="15">
        <v>4.7619047620000003</v>
      </c>
      <c r="P135" s="9">
        <v>26.234999999999999</v>
      </c>
      <c r="Q135" s="11">
        <v>8.8000000000000007</v>
      </c>
    </row>
    <row r="136" spans="1:17" x14ac:dyDescent="0.25">
      <c r="A136" s="5" t="s">
        <v>164</v>
      </c>
      <c r="B136" s="7" t="s">
        <v>20</v>
      </c>
      <c r="C136" s="7" t="s">
        <v>1034</v>
      </c>
      <c r="D136" s="7" t="s">
        <v>21</v>
      </c>
      <c r="E136" s="7" t="s">
        <v>16</v>
      </c>
      <c r="F136" s="7" t="s">
        <v>17</v>
      </c>
      <c r="G136" s="9">
        <v>81.3</v>
      </c>
      <c r="H136" s="13">
        <v>6</v>
      </c>
      <c r="I136" s="17">
        <v>24.39</v>
      </c>
      <c r="J136" s="9">
        <v>512.19000000000005</v>
      </c>
      <c r="K136" s="21">
        <v>43532</v>
      </c>
      <c r="L136" s="3">
        <v>0.69652777777777775</v>
      </c>
      <c r="M136" s="7" t="s">
        <v>18</v>
      </c>
      <c r="N136" s="19">
        <v>487.8</v>
      </c>
      <c r="O136" s="15">
        <v>4.7619047620000003</v>
      </c>
      <c r="P136" s="9">
        <v>24.39</v>
      </c>
      <c r="Q136" s="11">
        <v>5.3</v>
      </c>
    </row>
    <row r="137" spans="1:17" x14ac:dyDescent="0.25">
      <c r="A137" s="5" t="s">
        <v>165</v>
      </c>
      <c r="B137" s="7" t="s">
        <v>20</v>
      </c>
      <c r="C137" s="7" t="s">
        <v>1034</v>
      </c>
      <c r="D137" s="7" t="s">
        <v>21</v>
      </c>
      <c r="E137" s="7" t="s">
        <v>25</v>
      </c>
      <c r="F137" s="7" t="s">
        <v>40</v>
      </c>
      <c r="G137" s="9">
        <v>90.22</v>
      </c>
      <c r="H137" s="13">
        <v>3</v>
      </c>
      <c r="I137" s="17">
        <v>13.532999999999999</v>
      </c>
      <c r="J137" s="9">
        <v>284.19299999999998</v>
      </c>
      <c r="K137" s="21">
        <v>43514</v>
      </c>
      <c r="L137" s="3">
        <v>0.81874999999999998</v>
      </c>
      <c r="M137" s="7" t="s">
        <v>23</v>
      </c>
      <c r="N137" s="19">
        <v>270.66000000000003</v>
      </c>
      <c r="O137" s="15">
        <v>4.7619047620000003</v>
      </c>
      <c r="P137" s="9">
        <v>13.532999999999999</v>
      </c>
      <c r="Q137" s="11">
        <v>6.2</v>
      </c>
    </row>
    <row r="138" spans="1:17" x14ac:dyDescent="0.25">
      <c r="A138" s="5" t="s">
        <v>166</v>
      </c>
      <c r="B138" s="7" t="s">
        <v>13</v>
      </c>
      <c r="C138" s="7" t="s">
        <v>14</v>
      </c>
      <c r="D138" s="7" t="s">
        <v>21</v>
      </c>
      <c r="E138" s="7" t="s">
        <v>16</v>
      </c>
      <c r="F138" s="7" t="s">
        <v>22</v>
      </c>
      <c r="G138" s="9">
        <v>26.31</v>
      </c>
      <c r="H138" s="13">
        <v>5</v>
      </c>
      <c r="I138" s="17">
        <v>6.5774999999999997</v>
      </c>
      <c r="J138" s="9">
        <v>138.1275</v>
      </c>
      <c r="K138" s="21">
        <v>43483</v>
      </c>
      <c r="L138" s="3">
        <v>0.87430555555555556</v>
      </c>
      <c r="M138" s="7" t="s">
        <v>27</v>
      </c>
      <c r="N138" s="19">
        <v>131.55000000000001</v>
      </c>
      <c r="O138" s="15">
        <v>4.7619047620000003</v>
      </c>
      <c r="P138" s="9">
        <v>6.5774999999999997</v>
      </c>
      <c r="Q138" s="11">
        <v>8.8000000000000007</v>
      </c>
    </row>
    <row r="139" spans="1:17" x14ac:dyDescent="0.25">
      <c r="A139" s="5" t="s">
        <v>167</v>
      </c>
      <c r="B139" s="7" t="s">
        <v>13</v>
      </c>
      <c r="C139" s="7" t="s">
        <v>14</v>
      </c>
      <c r="D139" s="7" t="s">
        <v>15</v>
      </c>
      <c r="E139" s="7" t="s">
        <v>16</v>
      </c>
      <c r="F139" s="7" t="s">
        <v>26</v>
      </c>
      <c r="G139" s="9">
        <v>34.42</v>
      </c>
      <c r="H139" s="13">
        <v>6</v>
      </c>
      <c r="I139" s="17">
        <v>10.326000000000001</v>
      </c>
      <c r="J139" s="9">
        <v>216.846</v>
      </c>
      <c r="K139" s="21">
        <v>43514</v>
      </c>
      <c r="L139" s="3">
        <v>0.65208333333333335</v>
      </c>
      <c r="M139" s="7" t="s">
        <v>23</v>
      </c>
      <c r="N139" s="19">
        <v>206.52</v>
      </c>
      <c r="O139" s="15">
        <v>4.7619047620000003</v>
      </c>
      <c r="P139" s="9">
        <v>10.326000000000001</v>
      </c>
      <c r="Q139" s="11">
        <v>9.8000000000000007</v>
      </c>
    </row>
    <row r="140" spans="1:17" x14ac:dyDescent="0.25">
      <c r="A140" s="5" t="s">
        <v>168</v>
      </c>
      <c r="B140" s="7" t="s">
        <v>36</v>
      </c>
      <c r="C140" s="7" t="s">
        <v>37</v>
      </c>
      <c r="D140" s="7" t="s">
        <v>21</v>
      </c>
      <c r="E140" s="7" t="s">
        <v>25</v>
      </c>
      <c r="F140" s="7" t="s">
        <v>30</v>
      </c>
      <c r="G140" s="9">
        <v>51.91</v>
      </c>
      <c r="H140" s="13">
        <v>10</v>
      </c>
      <c r="I140" s="17">
        <v>25.954999999999998</v>
      </c>
      <c r="J140" s="9">
        <v>545.05499999999995</v>
      </c>
      <c r="K140" s="21">
        <v>43512</v>
      </c>
      <c r="L140" s="3">
        <v>0.51458333333333328</v>
      </c>
      <c r="M140" s="7" t="s">
        <v>23</v>
      </c>
      <c r="N140" s="19">
        <v>519.1</v>
      </c>
      <c r="O140" s="15">
        <v>4.7619047620000003</v>
      </c>
      <c r="P140" s="9">
        <v>25.954999999999998</v>
      </c>
      <c r="Q140" s="11">
        <v>8.1999999999999993</v>
      </c>
    </row>
    <row r="141" spans="1:17" x14ac:dyDescent="0.25">
      <c r="A141" s="5" t="s">
        <v>169</v>
      </c>
      <c r="B141" s="7" t="s">
        <v>13</v>
      </c>
      <c r="C141" s="7" t="s">
        <v>14</v>
      </c>
      <c r="D141" s="7" t="s">
        <v>21</v>
      </c>
      <c r="E141" s="7" t="s">
        <v>25</v>
      </c>
      <c r="F141" s="7" t="s">
        <v>30</v>
      </c>
      <c r="G141" s="9">
        <v>72.5</v>
      </c>
      <c r="H141" s="13">
        <v>8</v>
      </c>
      <c r="I141" s="17">
        <v>29</v>
      </c>
      <c r="J141" s="9">
        <v>609</v>
      </c>
      <c r="K141" s="21">
        <v>43540</v>
      </c>
      <c r="L141" s="3">
        <v>0.80902777777777779</v>
      </c>
      <c r="M141" s="7" t="s">
        <v>18</v>
      </c>
      <c r="N141" s="19">
        <v>580</v>
      </c>
      <c r="O141" s="15">
        <v>4.7619047620000003</v>
      </c>
      <c r="P141" s="9">
        <v>29</v>
      </c>
      <c r="Q141" s="11">
        <v>9.1999999999999993</v>
      </c>
    </row>
    <row r="142" spans="1:17" x14ac:dyDescent="0.25">
      <c r="A142" s="5" t="s">
        <v>170</v>
      </c>
      <c r="B142" s="7" t="s">
        <v>20</v>
      </c>
      <c r="C142" s="7" t="s">
        <v>1034</v>
      </c>
      <c r="D142" s="7" t="s">
        <v>15</v>
      </c>
      <c r="E142" s="7" t="s">
        <v>16</v>
      </c>
      <c r="F142" s="7" t="s">
        <v>30</v>
      </c>
      <c r="G142" s="9">
        <v>89.8</v>
      </c>
      <c r="H142" s="13">
        <v>10</v>
      </c>
      <c r="I142" s="17">
        <v>44.9</v>
      </c>
      <c r="J142" s="9">
        <v>942.9</v>
      </c>
      <c r="K142" s="21">
        <v>43488</v>
      </c>
      <c r="L142" s="3">
        <v>0.54166666666666663</v>
      </c>
      <c r="M142" s="7" t="s">
        <v>27</v>
      </c>
      <c r="N142" s="19">
        <v>898</v>
      </c>
      <c r="O142" s="15">
        <v>4.7619047620000003</v>
      </c>
      <c r="P142" s="9">
        <v>44.9</v>
      </c>
      <c r="Q142" s="11">
        <v>5.4</v>
      </c>
    </row>
    <row r="143" spans="1:17" x14ac:dyDescent="0.25">
      <c r="A143" s="5" t="s">
        <v>171</v>
      </c>
      <c r="B143" s="7" t="s">
        <v>20</v>
      </c>
      <c r="C143" s="7" t="s">
        <v>1034</v>
      </c>
      <c r="D143" s="7" t="s">
        <v>15</v>
      </c>
      <c r="E143" s="7" t="s">
        <v>25</v>
      </c>
      <c r="F143" s="7" t="s">
        <v>17</v>
      </c>
      <c r="G143" s="9">
        <v>90.5</v>
      </c>
      <c r="H143" s="13">
        <v>10</v>
      </c>
      <c r="I143" s="17">
        <v>45.25</v>
      </c>
      <c r="J143" s="9">
        <v>950.25</v>
      </c>
      <c r="K143" s="21">
        <v>43490</v>
      </c>
      <c r="L143" s="3">
        <v>0.57499999999999996</v>
      </c>
      <c r="M143" s="7" t="s">
        <v>23</v>
      </c>
      <c r="N143" s="19">
        <v>905</v>
      </c>
      <c r="O143" s="15">
        <v>4.7619047620000003</v>
      </c>
      <c r="P143" s="9">
        <v>45.25</v>
      </c>
      <c r="Q143" s="11">
        <v>8.1</v>
      </c>
    </row>
    <row r="144" spans="1:17" x14ac:dyDescent="0.25">
      <c r="A144" s="5" t="s">
        <v>172</v>
      </c>
      <c r="B144" s="7" t="s">
        <v>20</v>
      </c>
      <c r="C144" s="7" t="s">
        <v>1034</v>
      </c>
      <c r="D144" s="7" t="s">
        <v>15</v>
      </c>
      <c r="E144" s="7" t="s">
        <v>16</v>
      </c>
      <c r="F144" s="7" t="s">
        <v>17</v>
      </c>
      <c r="G144" s="9">
        <v>68.599999999999994</v>
      </c>
      <c r="H144" s="13">
        <v>10</v>
      </c>
      <c r="I144" s="17">
        <v>34.299999999999997</v>
      </c>
      <c r="J144" s="9">
        <v>720.3</v>
      </c>
      <c r="K144" s="21">
        <v>43501</v>
      </c>
      <c r="L144" s="3">
        <v>0.83125000000000004</v>
      </c>
      <c r="M144" s="7" t="s">
        <v>23</v>
      </c>
      <c r="N144" s="19">
        <v>686</v>
      </c>
      <c r="O144" s="15">
        <v>4.7619047620000003</v>
      </c>
      <c r="P144" s="9">
        <v>34.299999999999997</v>
      </c>
      <c r="Q144" s="11">
        <v>9.1</v>
      </c>
    </row>
    <row r="145" spans="1:17" x14ac:dyDescent="0.25">
      <c r="A145" s="5" t="s">
        <v>173</v>
      </c>
      <c r="B145" s="7" t="s">
        <v>20</v>
      </c>
      <c r="C145" s="7" t="s">
        <v>1034</v>
      </c>
      <c r="D145" s="7" t="s">
        <v>15</v>
      </c>
      <c r="E145" s="7" t="s">
        <v>16</v>
      </c>
      <c r="F145" s="7" t="s">
        <v>38</v>
      </c>
      <c r="G145" s="9">
        <v>30.41</v>
      </c>
      <c r="H145" s="13">
        <v>1</v>
      </c>
      <c r="I145" s="17">
        <v>1.5205</v>
      </c>
      <c r="J145" s="9">
        <v>31.930499999999999</v>
      </c>
      <c r="K145" s="21">
        <v>43518</v>
      </c>
      <c r="L145" s="3">
        <v>0.44166666666666665</v>
      </c>
      <c r="M145" s="7" t="s">
        <v>27</v>
      </c>
      <c r="N145" s="19">
        <v>30.41</v>
      </c>
      <c r="O145" s="15">
        <v>4.7619047620000003</v>
      </c>
      <c r="P145" s="9">
        <v>1.5205</v>
      </c>
      <c r="Q145" s="11">
        <v>8.4</v>
      </c>
    </row>
    <row r="146" spans="1:17" x14ac:dyDescent="0.25">
      <c r="A146" s="5" t="s">
        <v>174</v>
      </c>
      <c r="B146" s="7" t="s">
        <v>13</v>
      </c>
      <c r="C146" s="7" t="s">
        <v>14</v>
      </c>
      <c r="D146" s="7" t="s">
        <v>21</v>
      </c>
      <c r="E146" s="7" t="s">
        <v>16</v>
      </c>
      <c r="F146" s="7" t="s">
        <v>26</v>
      </c>
      <c r="G146" s="9">
        <v>77.95</v>
      </c>
      <c r="H146" s="13">
        <v>6</v>
      </c>
      <c r="I146" s="17">
        <v>23.385000000000002</v>
      </c>
      <c r="J146" s="9">
        <v>491.08499999999998</v>
      </c>
      <c r="K146" s="21">
        <v>43486</v>
      </c>
      <c r="L146" s="3">
        <v>0.69236111111111109</v>
      </c>
      <c r="M146" s="7" t="s">
        <v>18</v>
      </c>
      <c r="N146" s="19">
        <v>467.7</v>
      </c>
      <c r="O146" s="15">
        <v>4.7619047620000003</v>
      </c>
      <c r="P146" s="9">
        <v>23.385000000000002</v>
      </c>
      <c r="Q146" s="11">
        <v>8</v>
      </c>
    </row>
    <row r="147" spans="1:17" x14ac:dyDescent="0.25">
      <c r="A147" s="5" t="s">
        <v>175</v>
      </c>
      <c r="B147" s="7" t="s">
        <v>20</v>
      </c>
      <c r="C147" s="7" t="s">
        <v>1034</v>
      </c>
      <c r="D147" s="7" t="s">
        <v>21</v>
      </c>
      <c r="E147" s="7" t="s">
        <v>16</v>
      </c>
      <c r="F147" s="7" t="s">
        <v>17</v>
      </c>
      <c r="G147" s="9">
        <v>46.26</v>
      </c>
      <c r="H147" s="13">
        <v>6</v>
      </c>
      <c r="I147" s="17">
        <v>13.878</v>
      </c>
      <c r="J147" s="9">
        <v>291.43799999999999</v>
      </c>
      <c r="K147" s="21">
        <v>43532</v>
      </c>
      <c r="L147" s="3">
        <v>0.71597222222222223</v>
      </c>
      <c r="M147" s="7" t="s">
        <v>27</v>
      </c>
      <c r="N147" s="19">
        <v>277.56</v>
      </c>
      <c r="O147" s="15">
        <v>4.7619047620000003</v>
      </c>
      <c r="P147" s="9">
        <v>13.878</v>
      </c>
      <c r="Q147" s="11">
        <v>9.5</v>
      </c>
    </row>
    <row r="148" spans="1:17" x14ac:dyDescent="0.25">
      <c r="A148" s="5" t="s">
        <v>176</v>
      </c>
      <c r="B148" s="7" t="s">
        <v>13</v>
      </c>
      <c r="C148" s="7" t="s">
        <v>14</v>
      </c>
      <c r="D148" s="7" t="s">
        <v>15</v>
      </c>
      <c r="E148" s="7" t="s">
        <v>16</v>
      </c>
      <c r="F148" s="7" t="s">
        <v>40</v>
      </c>
      <c r="G148" s="9">
        <v>30.14</v>
      </c>
      <c r="H148" s="13">
        <v>10</v>
      </c>
      <c r="I148" s="17">
        <v>15.07</v>
      </c>
      <c r="J148" s="9">
        <v>316.47000000000003</v>
      </c>
      <c r="K148" s="21">
        <v>43506</v>
      </c>
      <c r="L148" s="3">
        <v>0.51944444444444449</v>
      </c>
      <c r="M148" s="7" t="s">
        <v>18</v>
      </c>
      <c r="N148" s="19">
        <v>301.39999999999998</v>
      </c>
      <c r="O148" s="15">
        <v>4.7619047620000003</v>
      </c>
      <c r="P148" s="9">
        <v>15.07</v>
      </c>
      <c r="Q148" s="11">
        <v>9.1999999999999993</v>
      </c>
    </row>
    <row r="149" spans="1:17" x14ac:dyDescent="0.25">
      <c r="A149" s="5" t="s">
        <v>177</v>
      </c>
      <c r="B149" s="7" t="s">
        <v>20</v>
      </c>
      <c r="C149" s="7" t="s">
        <v>1034</v>
      </c>
      <c r="D149" s="7" t="s">
        <v>21</v>
      </c>
      <c r="E149" s="7" t="s">
        <v>25</v>
      </c>
      <c r="F149" s="7" t="s">
        <v>17</v>
      </c>
      <c r="G149" s="9">
        <v>66.14</v>
      </c>
      <c r="H149" s="13">
        <v>4</v>
      </c>
      <c r="I149" s="17">
        <v>13.228</v>
      </c>
      <c r="J149" s="9">
        <v>277.78800000000001</v>
      </c>
      <c r="K149" s="21">
        <v>43543</v>
      </c>
      <c r="L149" s="3">
        <v>0.53194444444444444</v>
      </c>
      <c r="M149" s="7" t="s">
        <v>27</v>
      </c>
      <c r="N149" s="19">
        <v>264.56</v>
      </c>
      <c r="O149" s="15">
        <v>4.7619047620000003</v>
      </c>
      <c r="P149" s="9">
        <v>13.228</v>
      </c>
      <c r="Q149" s="11">
        <v>5.6</v>
      </c>
    </row>
    <row r="150" spans="1:17" x14ac:dyDescent="0.25">
      <c r="A150" s="5" t="s">
        <v>178</v>
      </c>
      <c r="B150" s="7" t="s">
        <v>36</v>
      </c>
      <c r="C150" s="7" t="s">
        <v>37</v>
      </c>
      <c r="D150" s="7" t="s">
        <v>15</v>
      </c>
      <c r="E150" s="7" t="s">
        <v>25</v>
      </c>
      <c r="F150" s="7" t="s">
        <v>26</v>
      </c>
      <c r="G150" s="9">
        <v>71.86</v>
      </c>
      <c r="H150" s="13">
        <v>8</v>
      </c>
      <c r="I150" s="17">
        <v>28.744</v>
      </c>
      <c r="J150" s="9">
        <v>603.62400000000002</v>
      </c>
      <c r="K150" s="21">
        <v>43530</v>
      </c>
      <c r="L150" s="3">
        <v>0.62986111111111109</v>
      </c>
      <c r="M150" s="7" t="s">
        <v>27</v>
      </c>
      <c r="N150" s="19">
        <v>574.88</v>
      </c>
      <c r="O150" s="15">
        <v>4.7619047620000003</v>
      </c>
      <c r="P150" s="9">
        <v>28.744</v>
      </c>
      <c r="Q150" s="11">
        <v>6.2</v>
      </c>
    </row>
    <row r="151" spans="1:17" x14ac:dyDescent="0.25">
      <c r="A151" s="5" t="s">
        <v>179</v>
      </c>
      <c r="B151" s="7" t="s">
        <v>13</v>
      </c>
      <c r="C151" s="7" t="s">
        <v>14</v>
      </c>
      <c r="D151" s="7" t="s">
        <v>21</v>
      </c>
      <c r="E151" s="7" t="s">
        <v>25</v>
      </c>
      <c r="F151" s="7" t="s">
        <v>17</v>
      </c>
      <c r="G151" s="9">
        <v>32.46</v>
      </c>
      <c r="H151" s="13">
        <v>8</v>
      </c>
      <c r="I151" s="17">
        <v>12.984</v>
      </c>
      <c r="J151" s="9">
        <v>272.66399999999999</v>
      </c>
      <c r="K151" s="21">
        <v>43551</v>
      </c>
      <c r="L151" s="3">
        <v>0.57499999999999996</v>
      </c>
      <c r="M151" s="7" t="s">
        <v>27</v>
      </c>
      <c r="N151" s="19">
        <v>259.68</v>
      </c>
      <c r="O151" s="15">
        <v>4.7619047620000003</v>
      </c>
      <c r="P151" s="9">
        <v>12.984</v>
      </c>
      <c r="Q151" s="11">
        <v>4.9000000000000004</v>
      </c>
    </row>
    <row r="152" spans="1:17" x14ac:dyDescent="0.25">
      <c r="A152" s="5" t="s">
        <v>180</v>
      </c>
      <c r="B152" s="7" t="s">
        <v>36</v>
      </c>
      <c r="C152" s="7" t="s">
        <v>37</v>
      </c>
      <c r="D152" s="7" t="s">
        <v>15</v>
      </c>
      <c r="E152" s="7" t="s">
        <v>16</v>
      </c>
      <c r="F152" s="7" t="s">
        <v>40</v>
      </c>
      <c r="G152" s="9">
        <v>91.54</v>
      </c>
      <c r="H152" s="13">
        <v>4</v>
      </c>
      <c r="I152" s="17">
        <v>18.308</v>
      </c>
      <c r="J152" s="9">
        <v>384.46800000000002</v>
      </c>
      <c r="K152" s="21">
        <v>43547</v>
      </c>
      <c r="L152" s="3">
        <v>0.80555555555555558</v>
      </c>
      <c r="M152" s="7" t="s">
        <v>27</v>
      </c>
      <c r="N152" s="19">
        <v>366.16</v>
      </c>
      <c r="O152" s="15">
        <v>4.7619047620000003</v>
      </c>
      <c r="P152" s="9">
        <v>18.308</v>
      </c>
      <c r="Q152" s="11">
        <v>4.8</v>
      </c>
    </row>
    <row r="153" spans="1:17" x14ac:dyDescent="0.25">
      <c r="A153" s="5" t="s">
        <v>181</v>
      </c>
      <c r="B153" s="7" t="s">
        <v>20</v>
      </c>
      <c r="C153" s="7" t="s">
        <v>1034</v>
      </c>
      <c r="D153" s="7" t="s">
        <v>15</v>
      </c>
      <c r="E153" s="7" t="s">
        <v>25</v>
      </c>
      <c r="F153" s="7" t="s">
        <v>30</v>
      </c>
      <c r="G153" s="9">
        <v>34.56</v>
      </c>
      <c r="H153" s="13">
        <v>7</v>
      </c>
      <c r="I153" s="17">
        <v>12.096</v>
      </c>
      <c r="J153" s="9">
        <v>254.01599999999999</v>
      </c>
      <c r="K153" s="21">
        <v>43535</v>
      </c>
      <c r="L153" s="3">
        <v>0.67152777777777772</v>
      </c>
      <c r="M153" s="7" t="s">
        <v>27</v>
      </c>
      <c r="N153" s="19">
        <v>241.92</v>
      </c>
      <c r="O153" s="15">
        <v>4.7619047620000003</v>
      </c>
      <c r="P153" s="9">
        <v>12.096</v>
      </c>
      <c r="Q153" s="11">
        <v>7.3</v>
      </c>
    </row>
    <row r="154" spans="1:17" x14ac:dyDescent="0.25">
      <c r="A154" s="5" t="s">
        <v>182</v>
      </c>
      <c r="B154" s="7" t="s">
        <v>13</v>
      </c>
      <c r="C154" s="7" t="s">
        <v>14</v>
      </c>
      <c r="D154" s="7" t="s">
        <v>21</v>
      </c>
      <c r="E154" s="7" t="s">
        <v>25</v>
      </c>
      <c r="F154" s="7" t="s">
        <v>40</v>
      </c>
      <c r="G154" s="9">
        <v>83.24</v>
      </c>
      <c r="H154" s="13">
        <v>9</v>
      </c>
      <c r="I154" s="17">
        <v>37.457999999999998</v>
      </c>
      <c r="J154" s="9">
        <v>786.61800000000005</v>
      </c>
      <c r="K154" s="21">
        <v>43494</v>
      </c>
      <c r="L154" s="3">
        <v>0.49722222222222223</v>
      </c>
      <c r="M154" s="7" t="s">
        <v>27</v>
      </c>
      <c r="N154" s="19">
        <v>749.16</v>
      </c>
      <c r="O154" s="15">
        <v>4.7619047620000003</v>
      </c>
      <c r="P154" s="9">
        <v>37.457999999999998</v>
      </c>
      <c r="Q154" s="11">
        <v>7.4</v>
      </c>
    </row>
    <row r="155" spans="1:17" x14ac:dyDescent="0.25">
      <c r="A155" s="5" t="s">
        <v>183</v>
      </c>
      <c r="B155" s="7" t="s">
        <v>20</v>
      </c>
      <c r="C155" s="7" t="s">
        <v>1034</v>
      </c>
      <c r="D155" s="7" t="s">
        <v>21</v>
      </c>
      <c r="E155" s="7" t="s">
        <v>16</v>
      </c>
      <c r="F155" s="7" t="s">
        <v>38</v>
      </c>
      <c r="G155" s="9">
        <v>16.48</v>
      </c>
      <c r="H155" s="13">
        <v>6</v>
      </c>
      <c r="I155" s="17">
        <v>4.944</v>
      </c>
      <c r="J155" s="9">
        <v>103.824</v>
      </c>
      <c r="K155" s="21">
        <v>43503</v>
      </c>
      <c r="L155" s="3">
        <v>0.76597222222222228</v>
      </c>
      <c r="M155" s="7" t="s">
        <v>18</v>
      </c>
      <c r="N155" s="19">
        <v>98.88</v>
      </c>
      <c r="O155" s="15">
        <v>4.7619047620000003</v>
      </c>
      <c r="P155" s="9">
        <v>4.944</v>
      </c>
      <c r="Q155" s="11">
        <v>9.9</v>
      </c>
    </row>
    <row r="156" spans="1:17" x14ac:dyDescent="0.25">
      <c r="A156" s="5" t="s">
        <v>184</v>
      </c>
      <c r="B156" s="7" t="s">
        <v>20</v>
      </c>
      <c r="C156" s="7" t="s">
        <v>1034</v>
      </c>
      <c r="D156" s="7" t="s">
        <v>21</v>
      </c>
      <c r="E156" s="7" t="s">
        <v>16</v>
      </c>
      <c r="F156" s="7" t="s">
        <v>30</v>
      </c>
      <c r="G156" s="9">
        <v>80.97</v>
      </c>
      <c r="H156" s="13">
        <v>8</v>
      </c>
      <c r="I156" s="17">
        <v>32.387999999999998</v>
      </c>
      <c r="J156" s="9">
        <v>680.14800000000002</v>
      </c>
      <c r="K156" s="21">
        <v>43493</v>
      </c>
      <c r="L156" s="3">
        <v>0.54513888888888884</v>
      </c>
      <c r="M156" s="7" t="s">
        <v>23</v>
      </c>
      <c r="N156" s="19">
        <v>647.76</v>
      </c>
      <c r="O156" s="15">
        <v>4.7619047620000003</v>
      </c>
      <c r="P156" s="9">
        <v>32.387999999999998</v>
      </c>
      <c r="Q156" s="11">
        <v>9.3000000000000007</v>
      </c>
    </row>
    <row r="157" spans="1:17" x14ac:dyDescent="0.25">
      <c r="A157" s="5" t="s">
        <v>185</v>
      </c>
      <c r="B157" s="7" t="s">
        <v>13</v>
      </c>
      <c r="C157" s="7" t="s">
        <v>14</v>
      </c>
      <c r="D157" s="7" t="s">
        <v>15</v>
      </c>
      <c r="E157" s="7" t="s">
        <v>25</v>
      </c>
      <c r="F157" s="7" t="s">
        <v>38</v>
      </c>
      <c r="G157" s="9">
        <v>92.29</v>
      </c>
      <c r="H157" s="13">
        <v>5</v>
      </c>
      <c r="I157" s="17">
        <v>23.072500000000002</v>
      </c>
      <c r="J157" s="9">
        <v>484.52249999999998</v>
      </c>
      <c r="K157" s="21">
        <v>43516</v>
      </c>
      <c r="L157" s="3">
        <v>0.66319444444444442</v>
      </c>
      <c r="M157" s="7" t="s">
        <v>27</v>
      </c>
      <c r="N157" s="19">
        <v>461.45</v>
      </c>
      <c r="O157" s="15">
        <v>4.7619047620000003</v>
      </c>
      <c r="P157" s="9">
        <v>23.072500000000002</v>
      </c>
      <c r="Q157" s="11">
        <v>9</v>
      </c>
    </row>
    <row r="158" spans="1:17" x14ac:dyDescent="0.25">
      <c r="A158" s="5" t="s">
        <v>186</v>
      </c>
      <c r="B158" s="7" t="s">
        <v>36</v>
      </c>
      <c r="C158" s="7" t="s">
        <v>37</v>
      </c>
      <c r="D158" s="7" t="s">
        <v>15</v>
      </c>
      <c r="E158" s="7" t="s">
        <v>25</v>
      </c>
      <c r="F158" s="7" t="s">
        <v>22</v>
      </c>
      <c r="G158" s="9">
        <v>72.17</v>
      </c>
      <c r="H158" s="13">
        <v>1</v>
      </c>
      <c r="I158" s="17">
        <v>3.6084999999999998</v>
      </c>
      <c r="J158" s="9">
        <v>75.778499999999994</v>
      </c>
      <c r="K158" s="21">
        <v>43469</v>
      </c>
      <c r="L158" s="3">
        <v>0.81944444444444442</v>
      </c>
      <c r="M158" s="7" t="s">
        <v>23</v>
      </c>
      <c r="N158" s="19">
        <v>72.17</v>
      </c>
      <c r="O158" s="15">
        <v>4.7619047620000003</v>
      </c>
      <c r="P158" s="9">
        <v>3.6084999999999998</v>
      </c>
      <c r="Q158" s="11">
        <v>6.1</v>
      </c>
    </row>
    <row r="159" spans="1:17" x14ac:dyDescent="0.25">
      <c r="A159" s="5" t="s">
        <v>187</v>
      </c>
      <c r="B159" s="7" t="s">
        <v>36</v>
      </c>
      <c r="C159" s="7" t="s">
        <v>37</v>
      </c>
      <c r="D159" s="7" t="s">
        <v>21</v>
      </c>
      <c r="E159" s="7" t="s">
        <v>25</v>
      </c>
      <c r="F159" s="7" t="s">
        <v>26</v>
      </c>
      <c r="G159" s="9">
        <v>50.28</v>
      </c>
      <c r="H159" s="13">
        <v>5</v>
      </c>
      <c r="I159" s="17">
        <v>12.57</v>
      </c>
      <c r="J159" s="9">
        <v>263.97000000000003</v>
      </c>
      <c r="K159" s="21">
        <v>43531</v>
      </c>
      <c r="L159" s="3">
        <v>0.58194444444444449</v>
      </c>
      <c r="M159" s="7" t="s">
        <v>18</v>
      </c>
      <c r="N159" s="19">
        <v>251.4</v>
      </c>
      <c r="O159" s="15">
        <v>4.7619047620000003</v>
      </c>
      <c r="P159" s="9">
        <v>12.57</v>
      </c>
      <c r="Q159" s="11">
        <v>9.6999999999999993</v>
      </c>
    </row>
    <row r="160" spans="1:17" x14ac:dyDescent="0.25">
      <c r="A160" s="5" t="s">
        <v>188</v>
      </c>
      <c r="B160" s="7" t="s">
        <v>36</v>
      </c>
      <c r="C160" s="7" t="s">
        <v>37</v>
      </c>
      <c r="D160" s="7" t="s">
        <v>15</v>
      </c>
      <c r="E160" s="7" t="s">
        <v>25</v>
      </c>
      <c r="F160" s="7" t="s">
        <v>17</v>
      </c>
      <c r="G160" s="9">
        <v>97.22</v>
      </c>
      <c r="H160" s="13">
        <v>9</v>
      </c>
      <c r="I160" s="17">
        <v>43.749000000000002</v>
      </c>
      <c r="J160" s="9">
        <v>918.72900000000004</v>
      </c>
      <c r="K160" s="21">
        <v>43554</v>
      </c>
      <c r="L160" s="3">
        <v>0.61319444444444449</v>
      </c>
      <c r="M160" s="7" t="s">
        <v>18</v>
      </c>
      <c r="N160" s="19">
        <v>874.98</v>
      </c>
      <c r="O160" s="15">
        <v>4.7619047620000003</v>
      </c>
      <c r="P160" s="9">
        <v>43.749000000000002</v>
      </c>
      <c r="Q160" s="11">
        <v>6</v>
      </c>
    </row>
    <row r="161" spans="1:17" x14ac:dyDescent="0.25">
      <c r="A161" s="5" t="s">
        <v>189</v>
      </c>
      <c r="B161" s="7" t="s">
        <v>36</v>
      </c>
      <c r="C161" s="7" t="s">
        <v>37</v>
      </c>
      <c r="D161" s="7" t="s">
        <v>21</v>
      </c>
      <c r="E161" s="7" t="s">
        <v>25</v>
      </c>
      <c r="F161" s="7" t="s">
        <v>30</v>
      </c>
      <c r="G161" s="9">
        <v>93.39</v>
      </c>
      <c r="H161" s="13">
        <v>6</v>
      </c>
      <c r="I161" s="17">
        <v>28.016999999999999</v>
      </c>
      <c r="J161" s="9">
        <v>588.35699999999997</v>
      </c>
      <c r="K161" s="21">
        <v>43551</v>
      </c>
      <c r="L161" s="3">
        <v>0.8041666666666667</v>
      </c>
      <c r="M161" s="7" t="s">
        <v>18</v>
      </c>
      <c r="N161" s="19">
        <v>560.34</v>
      </c>
      <c r="O161" s="15">
        <v>4.7619047620000003</v>
      </c>
      <c r="P161" s="9">
        <v>28.016999999999999</v>
      </c>
      <c r="Q161" s="11">
        <v>10</v>
      </c>
    </row>
    <row r="162" spans="1:17" x14ac:dyDescent="0.25">
      <c r="A162" s="5" t="s">
        <v>190</v>
      </c>
      <c r="B162" s="7" t="s">
        <v>20</v>
      </c>
      <c r="C162" s="7" t="s">
        <v>1034</v>
      </c>
      <c r="D162" s="7" t="s">
        <v>21</v>
      </c>
      <c r="E162" s="7" t="s">
        <v>16</v>
      </c>
      <c r="F162" s="7" t="s">
        <v>38</v>
      </c>
      <c r="G162" s="9">
        <v>43.18</v>
      </c>
      <c r="H162" s="13">
        <v>8</v>
      </c>
      <c r="I162" s="17">
        <v>17.271999999999998</v>
      </c>
      <c r="J162" s="9">
        <v>362.71199999999999</v>
      </c>
      <c r="K162" s="21">
        <v>43484</v>
      </c>
      <c r="L162" s="3">
        <v>0.81874999999999998</v>
      </c>
      <c r="M162" s="7" t="s">
        <v>27</v>
      </c>
      <c r="N162" s="19">
        <v>345.44</v>
      </c>
      <c r="O162" s="15">
        <v>4.7619047620000003</v>
      </c>
      <c r="P162" s="9">
        <v>17.271999999999998</v>
      </c>
      <c r="Q162" s="11">
        <v>8.3000000000000007</v>
      </c>
    </row>
    <row r="163" spans="1:17" x14ac:dyDescent="0.25">
      <c r="A163" s="5" t="s">
        <v>191</v>
      </c>
      <c r="B163" s="7" t="s">
        <v>13</v>
      </c>
      <c r="C163" s="7" t="s">
        <v>14</v>
      </c>
      <c r="D163" s="7" t="s">
        <v>21</v>
      </c>
      <c r="E163" s="7" t="s">
        <v>25</v>
      </c>
      <c r="F163" s="7" t="s">
        <v>30</v>
      </c>
      <c r="G163" s="9">
        <v>63.69</v>
      </c>
      <c r="H163" s="13">
        <v>1</v>
      </c>
      <c r="I163" s="17">
        <v>3.1844999999999999</v>
      </c>
      <c r="J163" s="9">
        <v>66.874499999999998</v>
      </c>
      <c r="K163" s="21">
        <v>43521</v>
      </c>
      <c r="L163" s="3">
        <v>0.68125000000000002</v>
      </c>
      <c r="M163" s="7" t="s">
        <v>23</v>
      </c>
      <c r="N163" s="19">
        <v>63.69</v>
      </c>
      <c r="O163" s="15">
        <v>4.7619047620000003</v>
      </c>
      <c r="P163" s="9">
        <v>3.1844999999999999</v>
      </c>
      <c r="Q163" s="11">
        <v>6</v>
      </c>
    </row>
    <row r="164" spans="1:17" x14ac:dyDescent="0.25">
      <c r="A164" s="5" t="s">
        <v>192</v>
      </c>
      <c r="B164" s="7" t="s">
        <v>13</v>
      </c>
      <c r="C164" s="7" t="s">
        <v>14</v>
      </c>
      <c r="D164" s="7" t="s">
        <v>21</v>
      </c>
      <c r="E164" s="7" t="s">
        <v>25</v>
      </c>
      <c r="F164" s="7" t="s">
        <v>38</v>
      </c>
      <c r="G164" s="9">
        <v>45.79</v>
      </c>
      <c r="H164" s="13">
        <v>7</v>
      </c>
      <c r="I164" s="17">
        <v>16.026499999999999</v>
      </c>
      <c r="J164" s="9">
        <v>336.55650000000003</v>
      </c>
      <c r="K164" s="21">
        <v>43537</v>
      </c>
      <c r="L164" s="3">
        <v>0.82222222222222219</v>
      </c>
      <c r="M164" s="7" t="s">
        <v>27</v>
      </c>
      <c r="N164" s="19">
        <v>320.52999999999997</v>
      </c>
      <c r="O164" s="15">
        <v>4.7619047620000003</v>
      </c>
      <c r="P164" s="9">
        <v>16.026499999999999</v>
      </c>
      <c r="Q164" s="11">
        <v>7</v>
      </c>
    </row>
    <row r="165" spans="1:17" x14ac:dyDescent="0.25">
      <c r="A165" s="5" t="s">
        <v>193</v>
      </c>
      <c r="B165" s="7" t="s">
        <v>20</v>
      </c>
      <c r="C165" s="7" t="s">
        <v>1034</v>
      </c>
      <c r="D165" s="7" t="s">
        <v>21</v>
      </c>
      <c r="E165" s="7" t="s">
        <v>25</v>
      </c>
      <c r="F165" s="7" t="s">
        <v>30</v>
      </c>
      <c r="G165" s="9">
        <v>76.400000000000006</v>
      </c>
      <c r="H165" s="13">
        <v>2</v>
      </c>
      <c r="I165" s="17">
        <v>7.64</v>
      </c>
      <c r="J165" s="9">
        <v>160.44</v>
      </c>
      <c r="K165" s="21">
        <v>43495</v>
      </c>
      <c r="L165" s="3">
        <v>0.8208333333333333</v>
      </c>
      <c r="M165" s="7" t="s">
        <v>18</v>
      </c>
      <c r="N165" s="19">
        <v>152.80000000000001</v>
      </c>
      <c r="O165" s="15">
        <v>4.7619047620000003</v>
      </c>
      <c r="P165" s="9">
        <v>7.64</v>
      </c>
      <c r="Q165" s="11">
        <v>6.5</v>
      </c>
    </row>
    <row r="166" spans="1:17" x14ac:dyDescent="0.25">
      <c r="A166" s="5" t="s">
        <v>194</v>
      </c>
      <c r="B166" s="7" t="s">
        <v>36</v>
      </c>
      <c r="C166" s="7" t="s">
        <v>37</v>
      </c>
      <c r="D166" s="7" t="s">
        <v>21</v>
      </c>
      <c r="E166" s="7" t="s">
        <v>25</v>
      </c>
      <c r="F166" s="7" t="s">
        <v>38</v>
      </c>
      <c r="G166" s="9">
        <v>39.9</v>
      </c>
      <c r="H166" s="13">
        <v>10</v>
      </c>
      <c r="I166" s="17">
        <v>19.95</v>
      </c>
      <c r="J166" s="9">
        <v>418.95</v>
      </c>
      <c r="K166" s="21">
        <v>43516</v>
      </c>
      <c r="L166" s="3">
        <v>0.64166666666666672</v>
      </c>
      <c r="M166" s="7" t="s">
        <v>27</v>
      </c>
      <c r="N166" s="19">
        <v>399</v>
      </c>
      <c r="O166" s="15">
        <v>4.7619047620000003</v>
      </c>
      <c r="P166" s="9">
        <v>19.95</v>
      </c>
      <c r="Q166" s="11">
        <v>5.9</v>
      </c>
    </row>
    <row r="167" spans="1:17" x14ac:dyDescent="0.25">
      <c r="A167" s="5" t="s">
        <v>195</v>
      </c>
      <c r="B167" s="7" t="s">
        <v>36</v>
      </c>
      <c r="C167" s="7" t="s">
        <v>37</v>
      </c>
      <c r="D167" s="7" t="s">
        <v>15</v>
      </c>
      <c r="E167" s="7" t="s">
        <v>25</v>
      </c>
      <c r="F167" s="7" t="s">
        <v>17</v>
      </c>
      <c r="G167" s="9">
        <v>42.57</v>
      </c>
      <c r="H167" s="13">
        <v>8</v>
      </c>
      <c r="I167" s="17">
        <v>17.027999999999999</v>
      </c>
      <c r="J167" s="9">
        <v>357.58800000000002</v>
      </c>
      <c r="K167" s="21">
        <v>43521</v>
      </c>
      <c r="L167" s="3">
        <v>0.59166666666666667</v>
      </c>
      <c r="M167" s="7" t="s">
        <v>18</v>
      </c>
      <c r="N167" s="19">
        <v>340.56</v>
      </c>
      <c r="O167" s="15">
        <v>4.7619047620000003</v>
      </c>
      <c r="P167" s="9">
        <v>17.027999999999999</v>
      </c>
      <c r="Q167" s="11">
        <v>5.6</v>
      </c>
    </row>
    <row r="168" spans="1:17" x14ac:dyDescent="0.25">
      <c r="A168" s="5" t="s">
        <v>196</v>
      </c>
      <c r="B168" s="7" t="s">
        <v>20</v>
      </c>
      <c r="C168" s="7" t="s">
        <v>1034</v>
      </c>
      <c r="D168" s="7" t="s">
        <v>21</v>
      </c>
      <c r="E168" s="7" t="s">
        <v>25</v>
      </c>
      <c r="F168" s="7" t="s">
        <v>26</v>
      </c>
      <c r="G168" s="9">
        <v>95.58</v>
      </c>
      <c r="H168" s="13">
        <v>10</v>
      </c>
      <c r="I168" s="17">
        <v>47.79</v>
      </c>
      <c r="J168" s="9">
        <v>1003.59</v>
      </c>
      <c r="K168" s="21">
        <v>43481</v>
      </c>
      <c r="L168" s="3">
        <v>0.56388888888888888</v>
      </c>
      <c r="M168" s="7" t="s">
        <v>23</v>
      </c>
      <c r="N168" s="19">
        <v>955.8</v>
      </c>
      <c r="O168" s="15">
        <v>4.7619047620000003</v>
      </c>
      <c r="P168" s="9">
        <v>47.79</v>
      </c>
      <c r="Q168" s="11">
        <v>4.8</v>
      </c>
    </row>
    <row r="169" spans="1:17" x14ac:dyDescent="0.25">
      <c r="A169" s="5" t="s">
        <v>197</v>
      </c>
      <c r="B169" s="7" t="s">
        <v>13</v>
      </c>
      <c r="C169" s="7" t="s">
        <v>14</v>
      </c>
      <c r="D169" s="7" t="s">
        <v>21</v>
      </c>
      <c r="E169" s="7" t="s">
        <v>25</v>
      </c>
      <c r="F169" s="7" t="s">
        <v>40</v>
      </c>
      <c r="G169" s="9">
        <v>98.98</v>
      </c>
      <c r="H169" s="13">
        <v>10</v>
      </c>
      <c r="I169" s="17">
        <v>49.49</v>
      </c>
      <c r="J169" s="9">
        <v>1039.29</v>
      </c>
      <c r="K169" s="21">
        <v>43504</v>
      </c>
      <c r="L169" s="3">
        <v>0.68055555555555558</v>
      </c>
      <c r="M169" s="7" t="s">
        <v>27</v>
      </c>
      <c r="N169" s="19">
        <v>989.8</v>
      </c>
      <c r="O169" s="15">
        <v>4.7619047620000003</v>
      </c>
      <c r="P169" s="9">
        <v>49.49</v>
      </c>
      <c r="Q169" s="11">
        <v>8.6999999999999993</v>
      </c>
    </row>
    <row r="170" spans="1:17" x14ac:dyDescent="0.25">
      <c r="A170" s="5" t="s">
        <v>198</v>
      </c>
      <c r="B170" s="7" t="s">
        <v>13</v>
      </c>
      <c r="C170" s="7" t="s">
        <v>14</v>
      </c>
      <c r="D170" s="7" t="s">
        <v>21</v>
      </c>
      <c r="E170" s="7" t="s">
        <v>25</v>
      </c>
      <c r="F170" s="7" t="s">
        <v>38</v>
      </c>
      <c r="G170" s="9">
        <v>51.28</v>
      </c>
      <c r="H170" s="13">
        <v>6</v>
      </c>
      <c r="I170" s="17">
        <v>15.384</v>
      </c>
      <c r="J170" s="9">
        <v>323.06400000000002</v>
      </c>
      <c r="K170" s="21">
        <v>43484</v>
      </c>
      <c r="L170" s="3">
        <v>0.68819444444444444</v>
      </c>
      <c r="M170" s="7" t="s">
        <v>23</v>
      </c>
      <c r="N170" s="19">
        <v>307.68</v>
      </c>
      <c r="O170" s="15">
        <v>4.7619047620000003</v>
      </c>
      <c r="P170" s="9">
        <v>15.384</v>
      </c>
      <c r="Q170" s="11">
        <v>6.5</v>
      </c>
    </row>
    <row r="171" spans="1:17" x14ac:dyDescent="0.25">
      <c r="A171" s="5" t="s">
        <v>199</v>
      </c>
      <c r="B171" s="7" t="s">
        <v>13</v>
      </c>
      <c r="C171" s="7" t="s">
        <v>14</v>
      </c>
      <c r="D171" s="7" t="s">
        <v>15</v>
      </c>
      <c r="E171" s="7" t="s">
        <v>25</v>
      </c>
      <c r="F171" s="7" t="s">
        <v>30</v>
      </c>
      <c r="G171" s="9">
        <v>69.52</v>
      </c>
      <c r="H171" s="13">
        <v>7</v>
      </c>
      <c r="I171" s="17">
        <v>24.332000000000001</v>
      </c>
      <c r="J171" s="9">
        <v>510.97199999999998</v>
      </c>
      <c r="K171" s="21">
        <v>43497</v>
      </c>
      <c r="L171" s="3">
        <v>0.63194444444444442</v>
      </c>
      <c r="M171" s="7" t="s">
        <v>27</v>
      </c>
      <c r="N171" s="19">
        <v>486.64</v>
      </c>
      <c r="O171" s="15">
        <v>4.7619047620000003</v>
      </c>
      <c r="P171" s="9">
        <v>24.332000000000001</v>
      </c>
      <c r="Q171" s="11">
        <v>8.5</v>
      </c>
    </row>
    <row r="172" spans="1:17" x14ac:dyDescent="0.25">
      <c r="A172" s="5" t="s">
        <v>200</v>
      </c>
      <c r="B172" s="7" t="s">
        <v>13</v>
      </c>
      <c r="C172" s="7" t="s">
        <v>14</v>
      </c>
      <c r="D172" s="7" t="s">
        <v>21</v>
      </c>
      <c r="E172" s="7" t="s">
        <v>25</v>
      </c>
      <c r="F172" s="7" t="s">
        <v>17</v>
      </c>
      <c r="G172" s="9">
        <v>70.010000000000005</v>
      </c>
      <c r="H172" s="13">
        <v>5</v>
      </c>
      <c r="I172" s="17">
        <v>17.502500000000001</v>
      </c>
      <c r="J172" s="9">
        <v>367.55250000000001</v>
      </c>
      <c r="K172" s="21">
        <v>43468</v>
      </c>
      <c r="L172" s="3">
        <v>0.48333333333333334</v>
      </c>
      <c r="M172" s="7" t="s">
        <v>18</v>
      </c>
      <c r="N172" s="19">
        <v>350.05</v>
      </c>
      <c r="O172" s="15">
        <v>4.7619047620000003</v>
      </c>
      <c r="P172" s="9">
        <v>17.502500000000001</v>
      </c>
      <c r="Q172" s="11">
        <v>5.5</v>
      </c>
    </row>
    <row r="173" spans="1:17" x14ac:dyDescent="0.25">
      <c r="A173" s="5" t="s">
        <v>201</v>
      </c>
      <c r="B173" s="7" t="s">
        <v>36</v>
      </c>
      <c r="C173" s="7" t="s">
        <v>37</v>
      </c>
      <c r="D173" s="7" t="s">
        <v>15</v>
      </c>
      <c r="E173" s="7" t="s">
        <v>25</v>
      </c>
      <c r="F173" s="7" t="s">
        <v>38</v>
      </c>
      <c r="G173" s="9">
        <v>80.05</v>
      </c>
      <c r="H173" s="13">
        <v>5</v>
      </c>
      <c r="I173" s="17">
        <v>20.012499999999999</v>
      </c>
      <c r="J173" s="9">
        <v>420.26249999999999</v>
      </c>
      <c r="K173" s="21">
        <v>43491</v>
      </c>
      <c r="L173" s="3">
        <v>0.53125</v>
      </c>
      <c r="M173" s="7" t="s">
        <v>27</v>
      </c>
      <c r="N173" s="19">
        <v>400.25</v>
      </c>
      <c r="O173" s="15">
        <v>4.7619047620000003</v>
      </c>
      <c r="P173" s="9">
        <v>20.012499999999999</v>
      </c>
      <c r="Q173" s="11">
        <v>9.4</v>
      </c>
    </row>
    <row r="174" spans="1:17" x14ac:dyDescent="0.25">
      <c r="A174" s="5" t="s">
        <v>202</v>
      </c>
      <c r="B174" s="7" t="s">
        <v>20</v>
      </c>
      <c r="C174" s="7" t="s">
        <v>1034</v>
      </c>
      <c r="D174" s="7" t="s">
        <v>21</v>
      </c>
      <c r="E174" s="7" t="s">
        <v>25</v>
      </c>
      <c r="F174" s="7" t="s">
        <v>22</v>
      </c>
      <c r="G174" s="9">
        <v>20.85</v>
      </c>
      <c r="H174" s="13">
        <v>8</v>
      </c>
      <c r="I174" s="17">
        <v>8.34</v>
      </c>
      <c r="J174" s="9">
        <v>175.14</v>
      </c>
      <c r="K174" s="21">
        <v>43527</v>
      </c>
      <c r="L174" s="3">
        <v>0.80347222222222225</v>
      </c>
      <c r="M174" s="7" t="s">
        <v>23</v>
      </c>
      <c r="N174" s="19">
        <v>166.8</v>
      </c>
      <c r="O174" s="15">
        <v>4.7619047620000003</v>
      </c>
      <c r="P174" s="9">
        <v>8.34</v>
      </c>
      <c r="Q174" s="11">
        <v>6.3</v>
      </c>
    </row>
    <row r="175" spans="1:17" x14ac:dyDescent="0.25">
      <c r="A175" s="5" t="s">
        <v>203</v>
      </c>
      <c r="B175" s="7" t="s">
        <v>36</v>
      </c>
      <c r="C175" s="7" t="s">
        <v>37</v>
      </c>
      <c r="D175" s="7" t="s">
        <v>15</v>
      </c>
      <c r="E175" s="7" t="s">
        <v>25</v>
      </c>
      <c r="F175" s="7" t="s">
        <v>22</v>
      </c>
      <c r="G175" s="9">
        <v>52.89</v>
      </c>
      <c r="H175" s="13">
        <v>6</v>
      </c>
      <c r="I175" s="17">
        <v>15.867000000000001</v>
      </c>
      <c r="J175" s="9">
        <v>333.20699999999999</v>
      </c>
      <c r="K175" s="21">
        <v>43484</v>
      </c>
      <c r="L175" s="3">
        <v>0.7319444444444444</v>
      </c>
      <c r="M175" s="7" t="s">
        <v>27</v>
      </c>
      <c r="N175" s="19">
        <v>317.33999999999997</v>
      </c>
      <c r="O175" s="15">
        <v>4.7619047620000003</v>
      </c>
      <c r="P175" s="9">
        <v>15.867000000000001</v>
      </c>
      <c r="Q175" s="11">
        <v>9.8000000000000007</v>
      </c>
    </row>
    <row r="176" spans="1:17" x14ac:dyDescent="0.25">
      <c r="A176" s="5" t="s">
        <v>204</v>
      </c>
      <c r="B176" s="7" t="s">
        <v>36</v>
      </c>
      <c r="C176" s="7" t="s">
        <v>37</v>
      </c>
      <c r="D176" s="7" t="s">
        <v>21</v>
      </c>
      <c r="E176" s="7" t="s">
        <v>25</v>
      </c>
      <c r="F176" s="7" t="s">
        <v>38</v>
      </c>
      <c r="G176" s="9">
        <v>19.79</v>
      </c>
      <c r="H176" s="13">
        <v>8</v>
      </c>
      <c r="I176" s="17">
        <v>7.9160000000000004</v>
      </c>
      <c r="J176" s="9">
        <v>166.23599999999999</v>
      </c>
      <c r="K176" s="21">
        <v>43483</v>
      </c>
      <c r="L176" s="3">
        <v>0.50277777777777777</v>
      </c>
      <c r="M176" s="7" t="s">
        <v>18</v>
      </c>
      <c r="N176" s="19">
        <v>158.32</v>
      </c>
      <c r="O176" s="15">
        <v>4.7619047620000003</v>
      </c>
      <c r="P176" s="9">
        <v>7.9160000000000004</v>
      </c>
      <c r="Q176" s="11">
        <v>8.6999999999999993</v>
      </c>
    </row>
    <row r="177" spans="1:17" x14ac:dyDescent="0.25">
      <c r="A177" s="5" t="s">
        <v>205</v>
      </c>
      <c r="B177" s="7" t="s">
        <v>13</v>
      </c>
      <c r="C177" s="7" t="s">
        <v>14</v>
      </c>
      <c r="D177" s="7" t="s">
        <v>15</v>
      </c>
      <c r="E177" s="7" t="s">
        <v>25</v>
      </c>
      <c r="F177" s="7" t="s">
        <v>26</v>
      </c>
      <c r="G177" s="9">
        <v>33.840000000000003</v>
      </c>
      <c r="H177" s="13">
        <v>9</v>
      </c>
      <c r="I177" s="17">
        <v>15.228</v>
      </c>
      <c r="J177" s="9">
        <v>319.78800000000001</v>
      </c>
      <c r="K177" s="21">
        <v>43545</v>
      </c>
      <c r="L177" s="3">
        <v>0.68125000000000002</v>
      </c>
      <c r="M177" s="7" t="s">
        <v>18</v>
      </c>
      <c r="N177" s="19">
        <v>304.56</v>
      </c>
      <c r="O177" s="15">
        <v>4.7619047620000003</v>
      </c>
      <c r="P177" s="9">
        <v>15.228</v>
      </c>
      <c r="Q177" s="11">
        <v>8.8000000000000007</v>
      </c>
    </row>
    <row r="178" spans="1:17" x14ac:dyDescent="0.25">
      <c r="A178" s="5" t="s">
        <v>206</v>
      </c>
      <c r="B178" s="7" t="s">
        <v>13</v>
      </c>
      <c r="C178" s="7" t="s">
        <v>14</v>
      </c>
      <c r="D178" s="7" t="s">
        <v>15</v>
      </c>
      <c r="E178" s="7" t="s">
        <v>25</v>
      </c>
      <c r="F178" s="7" t="s">
        <v>38</v>
      </c>
      <c r="G178" s="9">
        <v>22.17</v>
      </c>
      <c r="H178" s="13">
        <v>8</v>
      </c>
      <c r="I178" s="17">
        <v>8.8680000000000003</v>
      </c>
      <c r="J178" s="9">
        <v>186.22800000000001</v>
      </c>
      <c r="K178" s="21">
        <v>43527</v>
      </c>
      <c r="L178" s="3">
        <v>0.70902777777777781</v>
      </c>
      <c r="M178" s="7" t="s">
        <v>27</v>
      </c>
      <c r="N178" s="19">
        <v>177.36</v>
      </c>
      <c r="O178" s="15">
        <v>4.7619047620000003</v>
      </c>
      <c r="P178" s="9">
        <v>8.8680000000000003</v>
      </c>
      <c r="Q178" s="11">
        <v>9.6</v>
      </c>
    </row>
    <row r="179" spans="1:17" x14ac:dyDescent="0.25">
      <c r="A179" s="5" t="s">
        <v>207</v>
      </c>
      <c r="B179" s="7" t="s">
        <v>20</v>
      </c>
      <c r="C179" s="7" t="s">
        <v>1034</v>
      </c>
      <c r="D179" s="7" t="s">
        <v>21</v>
      </c>
      <c r="E179" s="7" t="s">
        <v>16</v>
      </c>
      <c r="F179" s="7" t="s">
        <v>40</v>
      </c>
      <c r="G179" s="9">
        <v>22.51</v>
      </c>
      <c r="H179" s="13">
        <v>7</v>
      </c>
      <c r="I179" s="17">
        <v>7.8784999999999998</v>
      </c>
      <c r="J179" s="9">
        <v>165.4485</v>
      </c>
      <c r="K179" s="21">
        <v>43509</v>
      </c>
      <c r="L179" s="3">
        <v>0.4513888888888889</v>
      </c>
      <c r="M179" s="7" t="s">
        <v>27</v>
      </c>
      <c r="N179" s="19">
        <v>157.57</v>
      </c>
      <c r="O179" s="15">
        <v>4.7619047620000003</v>
      </c>
      <c r="P179" s="9">
        <v>7.8784999999999998</v>
      </c>
      <c r="Q179" s="11">
        <v>4.8</v>
      </c>
    </row>
    <row r="180" spans="1:17" x14ac:dyDescent="0.25">
      <c r="A180" s="5" t="s">
        <v>208</v>
      </c>
      <c r="B180" s="7" t="s">
        <v>13</v>
      </c>
      <c r="C180" s="7" t="s">
        <v>14</v>
      </c>
      <c r="D180" s="7" t="s">
        <v>21</v>
      </c>
      <c r="E180" s="7" t="s">
        <v>25</v>
      </c>
      <c r="F180" s="7" t="s">
        <v>38</v>
      </c>
      <c r="G180" s="9">
        <v>73.88</v>
      </c>
      <c r="H180" s="13">
        <v>6</v>
      </c>
      <c r="I180" s="17">
        <v>22.164000000000001</v>
      </c>
      <c r="J180" s="9">
        <v>465.44400000000002</v>
      </c>
      <c r="K180" s="21">
        <v>43547</v>
      </c>
      <c r="L180" s="3">
        <v>0.80277777777777781</v>
      </c>
      <c r="M180" s="7" t="s">
        <v>18</v>
      </c>
      <c r="N180" s="19">
        <v>443.28</v>
      </c>
      <c r="O180" s="15">
        <v>4.7619047620000003</v>
      </c>
      <c r="P180" s="9">
        <v>22.164000000000001</v>
      </c>
      <c r="Q180" s="11">
        <v>4.4000000000000004</v>
      </c>
    </row>
    <row r="181" spans="1:17" x14ac:dyDescent="0.25">
      <c r="A181" s="5" t="s">
        <v>209</v>
      </c>
      <c r="B181" s="7" t="s">
        <v>20</v>
      </c>
      <c r="C181" s="7" t="s">
        <v>1034</v>
      </c>
      <c r="D181" s="7" t="s">
        <v>15</v>
      </c>
      <c r="E181" s="7" t="s">
        <v>25</v>
      </c>
      <c r="F181" s="7" t="s">
        <v>17</v>
      </c>
      <c r="G181" s="9">
        <v>86.8</v>
      </c>
      <c r="H181" s="13">
        <v>3</v>
      </c>
      <c r="I181" s="17">
        <v>13.02</v>
      </c>
      <c r="J181" s="9">
        <v>273.42</v>
      </c>
      <c r="K181" s="21">
        <v>43493</v>
      </c>
      <c r="L181" s="3">
        <v>0.69930555555555551</v>
      </c>
      <c r="M181" s="7" t="s">
        <v>18</v>
      </c>
      <c r="N181" s="19">
        <v>260.39999999999998</v>
      </c>
      <c r="O181" s="15">
        <v>4.7619047620000003</v>
      </c>
      <c r="P181" s="9">
        <v>13.02</v>
      </c>
      <c r="Q181" s="11">
        <v>9.9</v>
      </c>
    </row>
    <row r="182" spans="1:17" x14ac:dyDescent="0.25">
      <c r="A182" s="5" t="s">
        <v>210</v>
      </c>
      <c r="B182" s="7" t="s">
        <v>20</v>
      </c>
      <c r="C182" s="7" t="s">
        <v>1034</v>
      </c>
      <c r="D182" s="7" t="s">
        <v>21</v>
      </c>
      <c r="E182" s="7" t="s">
        <v>25</v>
      </c>
      <c r="F182" s="7" t="s">
        <v>40</v>
      </c>
      <c r="G182" s="9">
        <v>64.260000000000005</v>
      </c>
      <c r="H182" s="13">
        <v>7</v>
      </c>
      <c r="I182" s="17">
        <v>22.491</v>
      </c>
      <c r="J182" s="9">
        <v>472.31099999999998</v>
      </c>
      <c r="K182" s="21">
        <v>43505</v>
      </c>
      <c r="L182" s="3">
        <v>0.41666666666666669</v>
      </c>
      <c r="M182" s="7" t="s">
        <v>23</v>
      </c>
      <c r="N182" s="19">
        <v>449.82</v>
      </c>
      <c r="O182" s="15">
        <v>4.7619047620000003</v>
      </c>
      <c r="P182" s="9">
        <v>22.491</v>
      </c>
      <c r="Q182" s="11">
        <v>5.7</v>
      </c>
    </row>
    <row r="183" spans="1:17" x14ac:dyDescent="0.25">
      <c r="A183" s="5" t="s">
        <v>211</v>
      </c>
      <c r="B183" s="7" t="s">
        <v>20</v>
      </c>
      <c r="C183" s="7" t="s">
        <v>1034</v>
      </c>
      <c r="D183" s="7" t="s">
        <v>15</v>
      </c>
      <c r="E183" s="7" t="s">
        <v>25</v>
      </c>
      <c r="F183" s="7" t="s">
        <v>38</v>
      </c>
      <c r="G183" s="9">
        <v>38.47</v>
      </c>
      <c r="H183" s="13">
        <v>8</v>
      </c>
      <c r="I183" s="17">
        <v>15.388</v>
      </c>
      <c r="J183" s="9">
        <v>323.14800000000002</v>
      </c>
      <c r="K183" s="21">
        <v>43488</v>
      </c>
      <c r="L183" s="3">
        <v>0.49375000000000002</v>
      </c>
      <c r="M183" s="7" t="s">
        <v>23</v>
      </c>
      <c r="N183" s="19">
        <v>307.76</v>
      </c>
      <c r="O183" s="15">
        <v>4.7619047620000003</v>
      </c>
      <c r="P183" s="9">
        <v>15.388</v>
      </c>
      <c r="Q183" s="11">
        <v>7.7</v>
      </c>
    </row>
    <row r="184" spans="1:17" x14ac:dyDescent="0.25">
      <c r="A184" s="5" t="s">
        <v>212</v>
      </c>
      <c r="B184" s="7" t="s">
        <v>13</v>
      </c>
      <c r="C184" s="7" t="s">
        <v>14</v>
      </c>
      <c r="D184" s="7" t="s">
        <v>15</v>
      </c>
      <c r="E184" s="7" t="s">
        <v>25</v>
      </c>
      <c r="F184" s="7" t="s">
        <v>30</v>
      </c>
      <c r="G184" s="9">
        <v>15.5</v>
      </c>
      <c r="H184" s="13">
        <v>10</v>
      </c>
      <c r="I184" s="17">
        <v>7.75</v>
      </c>
      <c r="J184" s="9">
        <v>162.75</v>
      </c>
      <c r="K184" s="21">
        <v>43547</v>
      </c>
      <c r="L184" s="3">
        <v>0.4548611111111111</v>
      </c>
      <c r="M184" s="7" t="s">
        <v>18</v>
      </c>
      <c r="N184" s="19">
        <v>155</v>
      </c>
      <c r="O184" s="15">
        <v>4.7619047620000003</v>
      </c>
      <c r="P184" s="9">
        <v>7.75</v>
      </c>
      <c r="Q184" s="11">
        <v>8</v>
      </c>
    </row>
    <row r="185" spans="1:17" x14ac:dyDescent="0.25">
      <c r="A185" s="5" t="s">
        <v>213</v>
      </c>
      <c r="B185" s="7" t="s">
        <v>20</v>
      </c>
      <c r="C185" s="7" t="s">
        <v>1034</v>
      </c>
      <c r="D185" s="7" t="s">
        <v>21</v>
      </c>
      <c r="E185" s="7" t="s">
        <v>25</v>
      </c>
      <c r="F185" s="7" t="s">
        <v>17</v>
      </c>
      <c r="G185" s="9">
        <v>34.31</v>
      </c>
      <c r="H185" s="13">
        <v>8</v>
      </c>
      <c r="I185" s="17">
        <v>13.724</v>
      </c>
      <c r="J185" s="9">
        <v>288.20400000000001</v>
      </c>
      <c r="K185" s="21">
        <v>43490</v>
      </c>
      <c r="L185" s="3">
        <v>0.625</v>
      </c>
      <c r="M185" s="7" t="s">
        <v>18</v>
      </c>
      <c r="N185" s="19">
        <v>274.48</v>
      </c>
      <c r="O185" s="15">
        <v>4.7619047620000003</v>
      </c>
      <c r="P185" s="9">
        <v>13.724</v>
      </c>
      <c r="Q185" s="11">
        <v>5.7</v>
      </c>
    </row>
    <row r="186" spans="1:17" x14ac:dyDescent="0.25">
      <c r="A186" s="5" t="s">
        <v>214</v>
      </c>
      <c r="B186" s="7" t="s">
        <v>13</v>
      </c>
      <c r="C186" s="7" t="s">
        <v>14</v>
      </c>
      <c r="D186" s="7" t="s">
        <v>21</v>
      </c>
      <c r="E186" s="7" t="s">
        <v>16</v>
      </c>
      <c r="F186" s="7" t="s">
        <v>30</v>
      </c>
      <c r="G186" s="9">
        <v>12.34</v>
      </c>
      <c r="H186" s="13">
        <v>7</v>
      </c>
      <c r="I186" s="17">
        <v>4.319</v>
      </c>
      <c r="J186" s="9">
        <v>90.698999999999998</v>
      </c>
      <c r="K186" s="21">
        <v>43528</v>
      </c>
      <c r="L186" s="3">
        <v>0.47152777777777777</v>
      </c>
      <c r="M186" s="7" t="s">
        <v>27</v>
      </c>
      <c r="N186" s="19">
        <v>86.38</v>
      </c>
      <c r="O186" s="15">
        <v>4.7619047620000003</v>
      </c>
      <c r="P186" s="9">
        <v>4.319</v>
      </c>
      <c r="Q186" s="11">
        <v>6.7</v>
      </c>
    </row>
    <row r="187" spans="1:17" x14ac:dyDescent="0.25">
      <c r="A187" s="5" t="s">
        <v>215</v>
      </c>
      <c r="B187" s="7" t="s">
        <v>36</v>
      </c>
      <c r="C187" s="7" t="s">
        <v>37</v>
      </c>
      <c r="D187" s="7" t="s">
        <v>15</v>
      </c>
      <c r="E187" s="7" t="s">
        <v>25</v>
      </c>
      <c r="F187" s="7" t="s">
        <v>38</v>
      </c>
      <c r="G187" s="9">
        <v>18.079999999999998</v>
      </c>
      <c r="H187" s="13">
        <v>3</v>
      </c>
      <c r="I187" s="17">
        <v>2.7120000000000002</v>
      </c>
      <c r="J187" s="9">
        <v>56.951999999999998</v>
      </c>
      <c r="K187" s="21">
        <v>43529</v>
      </c>
      <c r="L187" s="3">
        <v>0.82361111111111107</v>
      </c>
      <c r="M187" s="7" t="s">
        <v>18</v>
      </c>
      <c r="N187" s="19">
        <v>54.24</v>
      </c>
      <c r="O187" s="15">
        <v>4.7619047620000003</v>
      </c>
      <c r="P187" s="9">
        <v>2.7120000000000002</v>
      </c>
      <c r="Q187" s="11">
        <v>8</v>
      </c>
    </row>
    <row r="188" spans="1:17" x14ac:dyDescent="0.25">
      <c r="A188" s="5" t="s">
        <v>216</v>
      </c>
      <c r="B188" s="7" t="s">
        <v>36</v>
      </c>
      <c r="C188" s="7" t="s">
        <v>37</v>
      </c>
      <c r="D188" s="7" t="s">
        <v>15</v>
      </c>
      <c r="E188" s="7" t="s">
        <v>16</v>
      </c>
      <c r="F188" s="7" t="s">
        <v>26</v>
      </c>
      <c r="G188" s="9">
        <v>94.49</v>
      </c>
      <c r="H188" s="13">
        <v>8</v>
      </c>
      <c r="I188" s="17">
        <v>37.795999999999999</v>
      </c>
      <c r="J188" s="9">
        <v>793.71600000000001</v>
      </c>
      <c r="K188" s="21">
        <v>43527</v>
      </c>
      <c r="L188" s="3">
        <v>0.79166666666666663</v>
      </c>
      <c r="M188" s="7" t="s">
        <v>18</v>
      </c>
      <c r="N188" s="19">
        <v>755.92</v>
      </c>
      <c r="O188" s="15">
        <v>4.7619047620000003</v>
      </c>
      <c r="P188" s="9">
        <v>37.795999999999999</v>
      </c>
      <c r="Q188" s="11">
        <v>7.5</v>
      </c>
    </row>
    <row r="189" spans="1:17" x14ac:dyDescent="0.25">
      <c r="A189" s="5" t="s">
        <v>217</v>
      </c>
      <c r="B189" s="7" t="s">
        <v>36</v>
      </c>
      <c r="C189" s="7" t="s">
        <v>37</v>
      </c>
      <c r="D189" s="7" t="s">
        <v>15</v>
      </c>
      <c r="E189" s="7" t="s">
        <v>25</v>
      </c>
      <c r="F189" s="7" t="s">
        <v>26</v>
      </c>
      <c r="G189" s="9">
        <v>46.47</v>
      </c>
      <c r="H189" s="13">
        <v>4</v>
      </c>
      <c r="I189" s="17">
        <v>9.2940000000000005</v>
      </c>
      <c r="J189" s="9">
        <v>195.17400000000001</v>
      </c>
      <c r="K189" s="21">
        <v>43504</v>
      </c>
      <c r="L189" s="3">
        <v>0.45347222222222222</v>
      </c>
      <c r="M189" s="7" t="s">
        <v>23</v>
      </c>
      <c r="N189" s="19">
        <v>185.88</v>
      </c>
      <c r="O189" s="15">
        <v>4.7619047620000003</v>
      </c>
      <c r="P189" s="9">
        <v>9.2940000000000005</v>
      </c>
      <c r="Q189" s="11">
        <v>7</v>
      </c>
    </row>
    <row r="190" spans="1:17" x14ac:dyDescent="0.25">
      <c r="A190" s="5" t="s">
        <v>218</v>
      </c>
      <c r="B190" s="7" t="s">
        <v>13</v>
      </c>
      <c r="C190" s="7" t="s">
        <v>14</v>
      </c>
      <c r="D190" s="7" t="s">
        <v>21</v>
      </c>
      <c r="E190" s="7" t="s">
        <v>25</v>
      </c>
      <c r="F190" s="7" t="s">
        <v>26</v>
      </c>
      <c r="G190" s="9">
        <v>74.069999999999993</v>
      </c>
      <c r="H190" s="13">
        <v>1</v>
      </c>
      <c r="I190" s="17">
        <v>3.7035</v>
      </c>
      <c r="J190" s="9">
        <v>77.773499999999999</v>
      </c>
      <c r="K190" s="21">
        <v>43506</v>
      </c>
      <c r="L190" s="3">
        <v>0.53472222222222221</v>
      </c>
      <c r="M190" s="7" t="s">
        <v>18</v>
      </c>
      <c r="N190" s="19">
        <v>74.069999999999993</v>
      </c>
      <c r="O190" s="15">
        <v>4.7619047620000003</v>
      </c>
      <c r="P190" s="9">
        <v>3.7035</v>
      </c>
      <c r="Q190" s="11">
        <v>9.9</v>
      </c>
    </row>
    <row r="191" spans="1:17" x14ac:dyDescent="0.25">
      <c r="A191" s="5" t="s">
        <v>219</v>
      </c>
      <c r="B191" s="7" t="s">
        <v>20</v>
      </c>
      <c r="C191" s="7" t="s">
        <v>1034</v>
      </c>
      <c r="D191" s="7" t="s">
        <v>21</v>
      </c>
      <c r="E191" s="7" t="s">
        <v>16</v>
      </c>
      <c r="F191" s="7" t="s">
        <v>26</v>
      </c>
      <c r="G191" s="9">
        <v>69.81</v>
      </c>
      <c r="H191" s="13">
        <v>4</v>
      </c>
      <c r="I191" s="17">
        <v>13.962</v>
      </c>
      <c r="J191" s="9">
        <v>293.202</v>
      </c>
      <c r="K191" s="21">
        <v>43493</v>
      </c>
      <c r="L191" s="3">
        <v>0.86805555555555558</v>
      </c>
      <c r="M191" s="7" t="s">
        <v>27</v>
      </c>
      <c r="N191" s="19">
        <v>279.24</v>
      </c>
      <c r="O191" s="15">
        <v>4.7619047620000003</v>
      </c>
      <c r="P191" s="9">
        <v>13.962</v>
      </c>
      <c r="Q191" s="11">
        <v>5.9</v>
      </c>
    </row>
    <row r="192" spans="1:17" x14ac:dyDescent="0.25">
      <c r="A192" s="5" t="s">
        <v>220</v>
      </c>
      <c r="B192" s="7" t="s">
        <v>36</v>
      </c>
      <c r="C192" s="7" t="s">
        <v>37</v>
      </c>
      <c r="D192" s="7" t="s">
        <v>21</v>
      </c>
      <c r="E192" s="7" t="s">
        <v>16</v>
      </c>
      <c r="F192" s="7" t="s">
        <v>26</v>
      </c>
      <c r="G192" s="9">
        <v>77.040000000000006</v>
      </c>
      <c r="H192" s="13">
        <v>3</v>
      </c>
      <c r="I192" s="17">
        <v>11.555999999999999</v>
      </c>
      <c r="J192" s="9">
        <v>242.67599999999999</v>
      </c>
      <c r="K192" s="21">
        <v>43507</v>
      </c>
      <c r="L192" s="3">
        <v>0.44374999999999998</v>
      </c>
      <c r="M192" s="7" t="s">
        <v>27</v>
      </c>
      <c r="N192" s="19">
        <v>231.12</v>
      </c>
      <c r="O192" s="15">
        <v>4.7619047620000003</v>
      </c>
      <c r="P192" s="9">
        <v>11.555999999999999</v>
      </c>
      <c r="Q192" s="11">
        <v>7.2</v>
      </c>
    </row>
    <row r="193" spans="1:17" x14ac:dyDescent="0.25">
      <c r="A193" s="5" t="s">
        <v>221</v>
      </c>
      <c r="B193" s="7" t="s">
        <v>36</v>
      </c>
      <c r="C193" s="7" t="s">
        <v>37</v>
      </c>
      <c r="D193" s="7" t="s">
        <v>21</v>
      </c>
      <c r="E193" s="7" t="s">
        <v>16</v>
      </c>
      <c r="F193" s="7" t="s">
        <v>40</v>
      </c>
      <c r="G193" s="9">
        <v>73.52</v>
      </c>
      <c r="H193" s="13">
        <v>2</v>
      </c>
      <c r="I193" s="17">
        <v>7.3520000000000003</v>
      </c>
      <c r="J193" s="9">
        <v>154.392</v>
      </c>
      <c r="K193" s="21">
        <v>43480</v>
      </c>
      <c r="L193" s="3">
        <v>0.57013888888888886</v>
      </c>
      <c r="M193" s="7" t="s">
        <v>18</v>
      </c>
      <c r="N193" s="19">
        <v>147.04</v>
      </c>
      <c r="O193" s="15">
        <v>4.7619047620000003</v>
      </c>
      <c r="P193" s="9">
        <v>7.3520000000000003</v>
      </c>
      <c r="Q193" s="11">
        <v>4.5999999999999996</v>
      </c>
    </row>
    <row r="194" spans="1:17" x14ac:dyDescent="0.25">
      <c r="A194" s="5" t="s">
        <v>222</v>
      </c>
      <c r="B194" s="7" t="s">
        <v>20</v>
      </c>
      <c r="C194" s="7" t="s">
        <v>1034</v>
      </c>
      <c r="D194" s="7" t="s">
        <v>21</v>
      </c>
      <c r="E194" s="7" t="s">
        <v>16</v>
      </c>
      <c r="F194" s="7" t="s">
        <v>38</v>
      </c>
      <c r="G194" s="9">
        <v>87.8</v>
      </c>
      <c r="H194" s="13">
        <v>9</v>
      </c>
      <c r="I194" s="17">
        <v>39.51</v>
      </c>
      <c r="J194" s="9">
        <v>829.71</v>
      </c>
      <c r="K194" s="21">
        <v>43540</v>
      </c>
      <c r="L194" s="3">
        <v>0.79722222222222228</v>
      </c>
      <c r="M194" s="7" t="s">
        <v>23</v>
      </c>
      <c r="N194" s="19">
        <v>790.2</v>
      </c>
      <c r="O194" s="15">
        <v>4.7619047620000003</v>
      </c>
      <c r="P194" s="9">
        <v>39.51</v>
      </c>
      <c r="Q194" s="11">
        <v>9.1999999999999993</v>
      </c>
    </row>
    <row r="195" spans="1:17" x14ac:dyDescent="0.25">
      <c r="A195" s="5" t="s">
        <v>223</v>
      </c>
      <c r="B195" s="7" t="s">
        <v>36</v>
      </c>
      <c r="C195" s="7" t="s">
        <v>37</v>
      </c>
      <c r="D195" s="7" t="s">
        <v>21</v>
      </c>
      <c r="E195" s="7" t="s">
        <v>25</v>
      </c>
      <c r="F195" s="7" t="s">
        <v>26</v>
      </c>
      <c r="G195" s="9">
        <v>25.55</v>
      </c>
      <c r="H195" s="13">
        <v>4</v>
      </c>
      <c r="I195" s="17">
        <v>5.1100000000000003</v>
      </c>
      <c r="J195" s="9">
        <v>107.31</v>
      </c>
      <c r="K195" s="21">
        <v>43491</v>
      </c>
      <c r="L195" s="3">
        <v>0.84930555555555554</v>
      </c>
      <c r="M195" s="7" t="s">
        <v>18</v>
      </c>
      <c r="N195" s="19">
        <v>102.2</v>
      </c>
      <c r="O195" s="15">
        <v>4.7619047620000003</v>
      </c>
      <c r="P195" s="9">
        <v>5.1100000000000003</v>
      </c>
      <c r="Q195" s="11">
        <v>5.7</v>
      </c>
    </row>
    <row r="196" spans="1:17" x14ac:dyDescent="0.25">
      <c r="A196" s="5" t="s">
        <v>224</v>
      </c>
      <c r="B196" s="7" t="s">
        <v>13</v>
      </c>
      <c r="C196" s="7" t="s">
        <v>14</v>
      </c>
      <c r="D196" s="7" t="s">
        <v>21</v>
      </c>
      <c r="E196" s="7" t="s">
        <v>25</v>
      </c>
      <c r="F196" s="7" t="s">
        <v>22</v>
      </c>
      <c r="G196" s="9">
        <v>32.71</v>
      </c>
      <c r="H196" s="13">
        <v>5</v>
      </c>
      <c r="I196" s="17">
        <v>8.1775000000000002</v>
      </c>
      <c r="J196" s="9">
        <v>171.72749999999999</v>
      </c>
      <c r="K196" s="21">
        <v>43543</v>
      </c>
      <c r="L196" s="3">
        <v>0.47916666666666669</v>
      </c>
      <c r="M196" s="7" t="s">
        <v>27</v>
      </c>
      <c r="N196" s="19">
        <v>163.55000000000001</v>
      </c>
      <c r="O196" s="15">
        <v>4.7619047620000003</v>
      </c>
      <c r="P196" s="9">
        <v>8.1775000000000002</v>
      </c>
      <c r="Q196" s="11">
        <v>9.9</v>
      </c>
    </row>
    <row r="197" spans="1:17" x14ac:dyDescent="0.25">
      <c r="A197" s="5" t="s">
        <v>225</v>
      </c>
      <c r="B197" s="7" t="s">
        <v>20</v>
      </c>
      <c r="C197" s="7" t="s">
        <v>1034</v>
      </c>
      <c r="D197" s="7" t="s">
        <v>15</v>
      </c>
      <c r="E197" s="7" t="s">
        <v>16</v>
      </c>
      <c r="F197" s="7" t="s">
        <v>40</v>
      </c>
      <c r="G197" s="9">
        <v>74.290000000000006</v>
      </c>
      <c r="H197" s="13">
        <v>1</v>
      </c>
      <c r="I197" s="17">
        <v>3.7145000000000001</v>
      </c>
      <c r="J197" s="9">
        <v>78.004499999999993</v>
      </c>
      <c r="K197" s="21">
        <v>43478</v>
      </c>
      <c r="L197" s="3">
        <v>0.8125</v>
      </c>
      <c r="M197" s="7" t="s">
        <v>23</v>
      </c>
      <c r="N197" s="19">
        <v>74.290000000000006</v>
      </c>
      <c r="O197" s="15">
        <v>4.7619047620000003</v>
      </c>
      <c r="P197" s="9">
        <v>3.7145000000000001</v>
      </c>
      <c r="Q197" s="11">
        <v>5</v>
      </c>
    </row>
    <row r="198" spans="1:17" x14ac:dyDescent="0.25">
      <c r="A198" s="5" t="s">
        <v>226</v>
      </c>
      <c r="B198" s="7" t="s">
        <v>20</v>
      </c>
      <c r="C198" s="7" t="s">
        <v>1034</v>
      </c>
      <c r="D198" s="7" t="s">
        <v>15</v>
      </c>
      <c r="E198" s="7" t="s">
        <v>25</v>
      </c>
      <c r="F198" s="7" t="s">
        <v>17</v>
      </c>
      <c r="G198" s="9">
        <v>43.7</v>
      </c>
      <c r="H198" s="13">
        <v>2</v>
      </c>
      <c r="I198" s="17">
        <v>4.37</v>
      </c>
      <c r="J198" s="9">
        <v>91.77</v>
      </c>
      <c r="K198" s="21">
        <v>43550</v>
      </c>
      <c r="L198" s="3">
        <v>0.75208333333333333</v>
      </c>
      <c r="M198" s="7" t="s">
        <v>23</v>
      </c>
      <c r="N198" s="19">
        <v>87.4</v>
      </c>
      <c r="O198" s="15">
        <v>4.7619047620000003</v>
      </c>
      <c r="P198" s="9">
        <v>4.37</v>
      </c>
      <c r="Q198" s="11">
        <v>4.9000000000000004</v>
      </c>
    </row>
    <row r="199" spans="1:17" x14ac:dyDescent="0.25">
      <c r="A199" s="5" t="s">
        <v>227</v>
      </c>
      <c r="B199" s="7" t="s">
        <v>13</v>
      </c>
      <c r="C199" s="7" t="s">
        <v>14</v>
      </c>
      <c r="D199" s="7" t="s">
        <v>21</v>
      </c>
      <c r="E199" s="7" t="s">
        <v>16</v>
      </c>
      <c r="F199" s="7" t="s">
        <v>26</v>
      </c>
      <c r="G199" s="9">
        <v>25.29</v>
      </c>
      <c r="H199" s="13">
        <v>1</v>
      </c>
      <c r="I199" s="17">
        <v>1.2645</v>
      </c>
      <c r="J199" s="9">
        <v>26.554500000000001</v>
      </c>
      <c r="K199" s="21">
        <v>43547</v>
      </c>
      <c r="L199" s="3">
        <v>0.42569444444444443</v>
      </c>
      <c r="M199" s="7" t="s">
        <v>18</v>
      </c>
      <c r="N199" s="19">
        <v>25.29</v>
      </c>
      <c r="O199" s="15">
        <v>4.7619047620000003</v>
      </c>
      <c r="P199" s="9">
        <v>1.2645</v>
      </c>
      <c r="Q199" s="11">
        <v>6.1</v>
      </c>
    </row>
    <row r="200" spans="1:17" x14ac:dyDescent="0.25">
      <c r="A200" s="5" t="s">
        <v>228</v>
      </c>
      <c r="B200" s="7" t="s">
        <v>20</v>
      </c>
      <c r="C200" s="7" t="s">
        <v>1034</v>
      </c>
      <c r="D200" s="7" t="s">
        <v>21</v>
      </c>
      <c r="E200" s="7" t="s">
        <v>25</v>
      </c>
      <c r="F200" s="7" t="s">
        <v>17</v>
      </c>
      <c r="G200" s="9">
        <v>41.5</v>
      </c>
      <c r="H200" s="13">
        <v>4</v>
      </c>
      <c r="I200" s="17">
        <v>8.3000000000000007</v>
      </c>
      <c r="J200" s="9">
        <v>174.3</v>
      </c>
      <c r="K200" s="21">
        <v>43536</v>
      </c>
      <c r="L200" s="3">
        <v>0.83194444444444449</v>
      </c>
      <c r="M200" s="7" t="s">
        <v>27</v>
      </c>
      <c r="N200" s="19">
        <v>166</v>
      </c>
      <c r="O200" s="15">
        <v>4.7619047620000003</v>
      </c>
      <c r="P200" s="9">
        <v>8.3000000000000007</v>
      </c>
      <c r="Q200" s="11">
        <v>8.1999999999999993</v>
      </c>
    </row>
    <row r="201" spans="1:17" x14ac:dyDescent="0.25">
      <c r="A201" s="5" t="s">
        <v>229</v>
      </c>
      <c r="B201" s="7" t="s">
        <v>20</v>
      </c>
      <c r="C201" s="7" t="s">
        <v>1034</v>
      </c>
      <c r="D201" s="7" t="s">
        <v>15</v>
      </c>
      <c r="E201" s="7" t="s">
        <v>16</v>
      </c>
      <c r="F201" s="7" t="s">
        <v>38</v>
      </c>
      <c r="G201" s="9">
        <v>71.39</v>
      </c>
      <c r="H201" s="13">
        <v>5</v>
      </c>
      <c r="I201" s="17">
        <v>17.8475</v>
      </c>
      <c r="J201" s="9">
        <v>374.79750000000001</v>
      </c>
      <c r="K201" s="21">
        <v>43513</v>
      </c>
      <c r="L201" s="3">
        <v>0.83125000000000004</v>
      </c>
      <c r="M201" s="7" t="s">
        <v>27</v>
      </c>
      <c r="N201" s="19">
        <v>356.95</v>
      </c>
      <c r="O201" s="15">
        <v>4.7619047620000003</v>
      </c>
      <c r="P201" s="9">
        <v>17.8475</v>
      </c>
      <c r="Q201" s="11">
        <v>5.5</v>
      </c>
    </row>
    <row r="202" spans="1:17" x14ac:dyDescent="0.25">
      <c r="A202" s="5" t="s">
        <v>230</v>
      </c>
      <c r="B202" s="7" t="s">
        <v>20</v>
      </c>
      <c r="C202" s="7" t="s">
        <v>1034</v>
      </c>
      <c r="D202" s="7" t="s">
        <v>15</v>
      </c>
      <c r="E202" s="7" t="s">
        <v>16</v>
      </c>
      <c r="F202" s="7" t="s">
        <v>30</v>
      </c>
      <c r="G202" s="9">
        <v>19.149999999999999</v>
      </c>
      <c r="H202" s="13">
        <v>6</v>
      </c>
      <c r="I202" s="17">
        <v>5.7450000000000001</v>
      </c>
      <c r="J202" s="9">
        <v>120.645</v>
      </c>
      <c r="K202" s="21">
        <v>43494</v>
      </c>
      <c r="L202" s="3">
        <v>0.41736111111111113</v>
      </c>
      <c r="M202" s="7" t="s">
        <v>27</v>
      </c>
      <c r="N202" s="19">
        <v>114.9</v>
      </c>
      <c r="O202" s="15">
        <v>4.7619047620000003</v>
      </c>
      <c r="P202" s="9">
        <v>5.7450000000000001</v>
      </c>
      <c r="Q202" s="11">
        <v>6.8</v>
      </c>
    </row>
    <row r="203" spans="1:17" x14ac:dyDescent="0.25">
      <c r="A203" s="5" t="s">
        <v>231</v>
      </c>
      <c r="B203" s="7" t="s">
        <v>36</v>
      </c>
      <c r="C203" s="7" t="s">
        <v>37</v>
      </c>
      <c r="D203" s="7" t="s">
        <v>15</v>
      </c>
      <c r="E203" s="7" t="s">
        <v>16</v>
      </c>
      <c r="F203" s="7" t="s">
        <v>22</v>
      </c>
      <c r="G203" s="9">
        <v>57.49</v>
      </c>
      <c r="H203" s="13">
        <v>4</v>
      </c>
      <c r="I203" s="17">
        <v>11.497999999999999</v>
      </c>
      <c r="J203" s="9">
        <v>241.458</v>
      </c>
      <c r="K203" s="21">
        <v>43539</v>
      </c>
      <c r="L203" s="3">
        <v>0.49791666666666667</v>
      </c>
      <c r="M203" s="7" t="s">
        <v>23</v>
      </c>
      <c r="N203" s="19">
        <v>229.96</v>
      </c>
      <c r="O203" s="15">
        <v>4.7619047620000003</v>
      </c>
      <c r="P203" s="9">
        <v>11.497999999999999</v>
      </c>
      <c r="Q203" s="11">
        <v>6.6</v>
      </c>
    </row>
    <row r="204" spans="1:17" x14ac:dyDescent="0.25">
      <c r="A204" s="5" t="s">
        <v>232</v>
      </c>
      <c r="B204" s="7" t="s">
        <v>20</v>
      </c>
      <c r="C204" s="7" t="s">
        <v>1034</v>
      </c>
      <c r="D204" s="7" t="s">
        <v>21</v>
      </c>
      <c r="E204" s="7" t="s">
        <v>25</v>
      </c>
      <c r="F204" s="7" t="s">
        <v>22</v>
      </c>
      <c r="G204" s="9">
        <v>61.41</v>
      </c>
      <c r="H204" s="13">
        <v>7</v>
      </c>
      <c r="I204" s="17">
        <v>21.493500000000001</v>
      </c>
      <c r="J204" s="9">
        <v>451.36349999999999</v>
      </c>
      <c r="K204" s="21">
        <v>43479</v>
      </c>
      <c r="L204" s="3">
        <v>0.41805555555555557</v>
      </c>
      <c r="M204" s="7" t="s">
        <v>23</v>
      </c>
      <c r="N204" s="19">
        <v>429.87</v>
      </c>
      <c r="O204" s="15">
        <v>4.7619047620000003</v>
      </c>
      <c r="P204" s="9">
        <v>21.493500000000001</v>
      </c>
      <c r="Q204" s="11">
        <v>9.8000000000000007</v>
      </c>
    </row>
    <row r="205" spans="1:17" x14ac:dyDescent="0.25">
      <c r="A205" s="5" t="s">
        <v>233</v>
      </c>
      <c r="B205" s="7" t="s">
        <v>36</v>
      </c>
      <c r="C205" s="7" t="s">
        <v>37</v>
      </c>
      <c r="D205" s="7" t="s">
        <v>15</v>
      </c>
      <c r="E205" s="7" t="s">
        <v>25</v>
      </c>
      <c r="F205" s="7" t="s">
        <v>17</v>
      </c>
      <c r="G205" s="9">
        <v>25.9</v>
      </c>
      <c r="H205" s="13">
        <v>10</v>
      </c>
      <c r="I205" s="17">
        <v>12.95</v>
      </c>
      <c r="J205" s="9">
        <v>271.95</v>
      </c>
      <c r="K205" s="21">
        <v>43502</v>
      </c>
      <c r="L205" s="3">
        <v>0.61875000000000002</v>
      </c>
      <c r="M205" s="7" t="s">
        <v>18</v>
      </c>
      <c r="N205" s="19">
        <v>259</v>
      </c>
      <c r="O205" s="15">
        <v>4.7619047620000003</v>
      </c>
      <c r="P205" s="9">
        <v>12.95</v>
      </c>
      <c r="Q205" s="11">
        <v>8.6999999999999993</v>
      </c>
    </row>
    <row r="206" spans="1:17" x14ac:dyDescent="0.25">
      <c r="A206" s="5" t="s">
        <v>234</v>
      </c>
      <c r="B206" s="7" t="s">
        <v>36</v>
      </c>
      <c r="C206" s="7" t="s">
        <v>37</v>
      </c>
      <c r="D206" s="7" t="s">
        <v>15</v>
      </c>
      <c r="E206" s="7" t="s">
        <v>25</v>
      </c>
      <c r="F206" s="7" t="s">
        <v>26</v>
      </c>
      <c r="G206" s="9">
        <v>17.77</v>
      </c>
      <c r="H206" s="13">
        <v>5</v>
      </c>
      <c r="I206" s="17">
        <v>4.4424999999999999</v>
      </c>
      <c r="J206" s="9">
        <v>93.292500000000004</v>
      </c>
      <c r="K206" s="21">
        <v>43511</v>
      </c>
      <c r="L206" s="3">
        <v>0.52916666666666667</v>
      </c>
      <c r="M206" s="7" t="s">
        <v>27</v>
      </c>
      <c r="N206" s="19">
        <v>88.85</v>
      </c>
      <c r="O206" s="15">
        <v>4.7619047620000003</v>
      </c>
      <c r="P206" s="9">
        <v>4.4424999999999999</v>
      </c>
      <c r="Q206" s="11">
        <v>5.4</v>
      </c>
    </row>
    <row r="207" spans="1:17" x14ac:dyDescent="0.25">
      <c r="A207" s="5" t="s">
        <v>235</v>
      </c>
      <c r="B207" s="7" t="s">
        <v>13</v>
      </c>
      <c r="C207" s="7" t="s">
        <v>14</v>
      </c>
      <c r="D207" s="7" t="s">
        <v>21</v>
      </c>
      <c r="E207" s="7" t="s">
        <v>16</v>
      </c>
      <c r="F207" s="7" t="s">
        <v>17</v>
      </c>
      <c r="G207" s="9">
        <v>23.03</v>
      </c>
      <c r="H207" s="13">
        <v>9</v>
      </c>
      <c r="I207" s="17">
        <v>10.3635</v>
      </c>
      <c r="J207" s="9">
        <v>217.6335</v>
      </c>
      <c r="K207" s="21">
        <v>43468</v>
      </c>
      <c r="L207" s="3">
        <v>0.50138888888888888</v>
      </c>
      <c r="M207" s="7" t="s">
        <v>18</v>
      </c>
      <c r="N207" s="19">
        <v>207.27</v>
      </c>
      <c r="O207" s="15">
        <v>4.7619047620000003</v>
      </c>
      <c r="P207" s="9">
        <v>10.3635</v>
      </c>
      <c r="Q207" s="11">
        <v>7.9</v>
      </c>
    </row>
    <row r="208" spans="1:17" x14ac:dyDescent="0.25">
      <c r="A208" s="5" t="s">
        <v>236</v>
      </c>
      <c r="B208" s="7" t="s">
        <v>20</v>
      </c>
      <c r="C208" s="7" t="s">
        <v>1034</v>
      </c>
      <c r="D208" s="7" t="s">
        <v>15</v>
      </c>
      <c r="E208" s="7" t="s">
        <v>16</v>
      </c>
      <c r="F208" s="7" t="s">
        <v>22</v>
      </c>
      <c r="G208" s="9">
        <v>66.650000000000006</v>
      </c>
      <c r="H208" s="13">
        <v>9</v>
      </c>
      <c r="I208" s="17">
        <v>29.9925</v>
      </c>
      <c r="J208" s="9">
        <v>629.84249999999997</v>
      </c>
      <c r="K208" s="21">
        <v>43469</v>
      </c>
      <c r="L208" s="3">
        <v>0.7631944444444444</v>
      </c>
      <c r="M208" s="7" t="s">
        <v>27</v>
      </c>
      <c r="N208" s="19">
        <v>599.85</v>
      </c>
      <c r="O208" s="15">
        <v>4.7619047620000003</v>
      </c>
      <c r="P208" s="9">
        <v>29.9925</v>
      </c>
      <c r="Q208" s="11">
        <v>9.6999999999999993</v>
      </c>
    </row>
    <row r="209" spans="1:17" x14ac:dyDescent="0.25">
      <c r="A209" s="5" t="s">
        <v>237</v>
      </c>
      <c r="B209" s="7" t="s">
        <v>20</v>
      </c>
      <c r="C209" s="7" t="s">
        <v>1034</v>
      </c>
      <c r="D209" s="7" t="s">
        <v>15</v>
      </c>
      <c r="E209" s="7" t="s">
        <v>16</v>
      </c>
      <c r="F209" s="7" t="s">
        <v>26</v>
      </c>
      <c r="G209" s="9">
        <v>28.53</v>
      </c>
      <c r="H209" s="13">
        <v>10</v>
      </c>
      <c r="I209" s="17">
        <v>14.265000000000001</v>
      </c>
      <c r="J209" s="9">
        <v>299.565</v>
      </c>
      <c r="K209" s="21">
        <v>43542</v>
      </c>
      <c r="L209" s="3">
        <v>0.73472222222222228</v>
      </c>
      <c r="M209" s="7" t="s">
        <v>18</v>
      </c>
      <c r="N209" s="19">
        <v>285.3</v>
      </c>
      <c r="O209" s="15">
        <v>4.7619047620000003</v>
      </c>
      <c r="P209" s="9">
        <v>14.265000000000001</v>
      </c>
      <c r="Q209" s="11">
        <v>7.8</v>
      </c>
    </row>
    <row r="210" spans="1:17" x14ac:dyDescent="0.25">
      <c r="A210" s="5" t="s">
        <v>238</v>
      </c>
      <c r="B210" s="7" t="s">
        <v>36</v>
      </c>
      <c r="C210" s="7" t="s">
        <v>37</v>
      </c>
      <c r="D210" s="7" t="s">
        <v>21</v>
      </c>
      <c r="E210" s="7" t="s">
        <v>16</v>
      </c>
      <c r="F210" s="7" t="s">
        <v>40</v>
      </c>
      <c r="G210" s="9">
        <v>30.37</v>
      </c>
      <c r="H210" s="13">
        <v>3</v>
      </c>
      <c r="I210" s="17">
        <v>4.5555000000000003</v>
      </c>
      <c r="J210" s="9">
        <v>95.665499999999994</v>
      </c>
      <c r="K210" s="21">
        <v>43552</v>
      </c>
      <c r="L210" s="3">
        <v>0.57013888888888886</v>
      </c>
      <c r="M210" s="7" t="s">
        <v>18</v>
      </c>
      <c r="N210" s="19">
        <v>91.11</v>
      </c>
      <c r="O210" s="15">
        <v>4.7619047620000003</v>
      </c>
      <c r="P210" s="9">
        <v>4.5555000000000003</v>
      </c>
      <c r="Q210" s="11">
        <v>5.0999999999999996</v>
      </c>
    </row>
    <row r="211" spans="1:17" x14ac:dyDescent="0.25">
      <c r="A211" s="5" t="s">
        <v>239</v>
      </c>
      <c r="B211" s="7" t="s">
        <v>36</v>
      </c>
      <c r="C211" s="7" t="s">
        <v>37</v>
      </c>
      <c r="D211" s="7" t="s">
        <v>21</v>
      </c>
      <c r="E211" s="7" t="s">
        <v>16</v>
      </c>
      <c r="F211" s="7" t="s">
        <v>22</v>
      </c>
      <c r="G211" s="9">
        <v>99.73</v>
      </c>
      <c r="H211" s="13">
        <v>9</v>
      </c>
      <c r="I211" s="17">
        <v>44.878500000000003</v>
      </c>
      <c r="J211" s="9">
        <v>942.44849999999997</v>
      </c>
      <c r="K211" s="21">
        <v>43526</v>
      </c>
      <c r="L211" s="3">
        <v>0.8208333333333333</v>
      </c>
      <c r="M211" s="7" t="s">
        <v>27</v>
      </c>
      <c r="N211" s="19">
        <v>897.57</v>
      </c>
      <c r="O211" s="15">
        <v>4.7619047620000003</v>
      </c>
      <c r="P211" s="9">
        <v>44.878500000000003</v>
      </c>
      <c r="Q211" s="11">
        <v>6.5</v>
      </c>
    </row>
    <row r="212" spans="1:17" x14ac:dyDescent="0.25">
      <c r="A212" s="5" t="s">
        <v>240</v>
      </c>
      <c r="B212" s="7" t="s">
        <v>13</v>
      </c>
      <c r="C212" s="7" t="s">
        <v>14</v>
      </c>
      <c r="D212" s="7" t="s">
        <v>21</v>
      </c>
      <c r="E212" s="7" t="s">
        <v>25</v>
      </c>
      <c r="F212" s="7" t="s">
        <v>22</v>
      </c>
      <c r="G212" s="9">
        <v>26.23</v>
      </c>
      <c r="H212" s="13">
        <v>9</v>
      </c>
      <c r="I212" s="17">
        <v>11.8035</v>
      </c>
      <c r="J212" s="9">
        <v>247.87350000000001</v>
      </c>
      <c r="K212" s="21">
        <v>43490</v>
      </c>
      <c r="L212" s="3">
        <v>0.85</v>
      </c>
      <c r="M212" s="7" t="s">
        <v>18</v>
      </c>
      <c r="N212" s="19">
        <v>236.07</v>
      </c>
      <c r="O212" s="15">
        <v>4.7619047620000003</v>
      </c>
      <c r="P212" s="9">
        <v>11.8035</v>
      </c>
      <c r="Q212" s="11">
        <v>5.9</v>
      </c>
    </row>
    <row r="213" spans="1:17" x14ac:dyDescent="0.25">
      <c r="A213" s="5" t="s">
        <v>241</v>
      </c>
      <c r="B213" s="7" t="s">
        <v>20</v>
      </c>
      <c r="C213" s="7" t="s">
        <v>1034</v>
      </c>
      <c r="D213" s="7" t="s">
        <v>21</v>
      </c>
      <c r="E213" s="7" t="s">
        <v>16</v>
      </c>
      <c r="F213" s="7" t="s">
        <v>38</v>
      </c>
      <c r="G213" s="9">
        <v>93.26</v>
      </c>
      <c r="H213" s="13">
        <v>9</v>
      </c>
      <c r="I213" s="17">
        <v>41.966999999999999</v>
      </c>
      <c r="J213" s="9">
        <v>881.30700000000002</v>
      </c>
      <c r="K213" s="21">
        <v>43481</v>
      </c>
      <c r="L213" s="3">
        <v>0.75555555555555554</v>
      </c>
      <c r="M213" s="7" t="s">
        <v>23</v>
      </c>
      <c r="N213" s="19">
        <v>839.34</v>
      </c>
      <c r="O213" s="15">
        <v>4.7619047620000003</v>
      </c>
      <c r="P213" s="9">
        <v>41.966999999999999</v>
      </c>
      <c r="Q213" s="11">
        <v>8.8000000000000007</v>
      </c>
    </row>
    <row r="214" spans="1:17" x14ac:dyDescent="0.25">
      <c r="A214" s="5" t="s">
        <v>242</v>
      </c>
      <c r="B214" s="7" t="s">
        <v>36</v>
      </c>
      <c r="C214" s="7" t="s">
        <v>37</v>
      </c>
      <c r="D214" s="7" t="s">
        <v>21</v>
      </c>
      <c r="E214" s="7" t="s">
        <v>25</v>
      </c>
      <c r="F214" s="7" t="s">
        <v>26</v>
      </c>
      <c r="G214" s="9">
        <v>92.36</v>
      </c>
      <c r="H214" s="13">
        <v>5</v>
      </c>
      <c r="I214" s="17">
        <v>23.09</v>
      </c>
      <c r="J214" s="9">
        <v>484.89</v>
      </c>
      <c r="K214" s="21">
        <v>43544</v>
      </c>
      <c r="L214" s="3">
        <v>0.80347222222222225</v>
      </c>
      <c r="M214" s="7" t="s">
        <v>18</v>
      </c>
      <c r="N214" s="19">
        <v>461.8</v>
      </c>
      <c r="O214" s="15">
        <v>4.7619047620000003</v>
      </c>
      <c r="P214" s="9">
        <v>23.09</v>
      </c>
      <c r="Q214" s="11">
        <v>4.9000000000000004</v>
      </c>
    </row>
    <row r="215" spans="1:17" x14ac:dyDescent="0.25">
      <c r="A215" s="5" t="s">
        <v>243</v>
      </c>
      <c r="B215" s="7" t="s">
        <v>36</v>
      </c>
      <c r="C215" s="7" t="s">
        <v>37</v>
      </c>
      <c r="D215" s="7" t="s">
        <v>21</v>
      </c>
      <c r="E215" s="7" t="s">
        <v>25</v>
      </c>
      <c r="F215" s="7" t="s">
        <v>30</v>
      </c>
      <c r="G215" s="9">
        <v>46.42</v>
      </c>
      <c r="H215" s="13">
        <v>3</v>
      </c>
      <c r="I215" s="17">
        <v>6.9630000000000001</v>
      </c>
      <c r="J215" s="9">
        <v>146.22300000000001</v>
      </c>
      <c r="K215" s="21">
        <v>43469</v>
      </c>
      <c r="L215" s="3">
        <v>0.55833333333333335</v>
      </c>
      <c r="M215" s="7" t="s">
        <v>27</v>
      </c>
      <c r="N215" s="19">
        <v>139.26</v>
      </c>
      <c r="O215" s="15">
        <v>4.7619047620000003</v>
      </c>
      <c r="P215" s="9">
        <v>6.9630000000000001</v>
      </c>
      <c r="Q215" s="11">
        <v>4.4000000000000004</v>
      </c>
    </row>
    <row r="216" spans="1:17" x14ac:dyDescent="0.25">
      <c r="A216" s="5" t="s">
        <v>244</v>
      </c>
      <c r="B216" s="7" t="s">
        <v>36</v>
      </c>
      <c r="C216" s="7" t="s">
        <v>37</v>
      </c>
      <c r="D216" s="7" t="s">
        <v>15</v>
      </c>
      <c r="E216" s="7" t="s">
        <v>16</v>
      </c>
      <c r="F216" s="7" t="s">
        <v>30</v>
      </c>
      <c r="G216" s="9">
        <v>29.61</v>
      </c>
      <c r="H216" s="13">
        <v>7</v>
      </c>
      <c r="I216" s="17">
        <v>10.3635</v>
      </c>
      <c r="J216" s="9">
        <v>217.6335</v>
      </c>
      <c r="K216" s="21">
        <v>43535</v>
      </c>
      <c r="L216" s="3">
        <v>0.66180555555555554</v>
      </c>
      <c r="M216" s="7" t="s">
        <v>23</v>
      </c>
      <c r="N216" s="19">
        <v>207.27</v>
      </c>
      <c r="O216" s="15">
        <v>4.7619047620000003</v>
      </c>
      <c r="P216" s="9">
        <v>10.3635</v>
      </c>
      <c r="Q216" s="11">
        <v>6.5</v>
      </c>
    </row>
    <row r="217" spans="1:17" x14ac:dyDescent="0.25">
      <c r="A217" s="5" t="s">
        <v>245</v>
      </c>
      <c r="B217" s="7" t="s">
        <v>13</v>
      </c>
      <c r="C217" s="7" t="s">
        <v>14</v>
      </c>
      <c r="D217" s="7" t="s">
        <v>21</v>
      </c>
      <c r="E217" s="7" t="s">
        <v>25</v>
      </c>
      <c r="F217" s="7" t="s">
        <v>26</v>
      </c>
      <c r="G217" s="9">
        <v>18.28</v>
      </c>
      <c r="H217" s="13">
        <v>1</v>
      </c>
      <c r="I217" s="17">
        <v>0.91400000000000003</v>
      </c>
      <c r="J217" s="9">
        <v>19.193999999999999</v>
      </c>
      <c r="K217" s="21">
        <v>43546</v>
      </c>
      <c r="L217" s="3">
        <v>0.62847222222222221</v>
      </c>
      <c r="M217" s="7" t="s">
        <v>27</v>
      </c>
      <c r="N217" s="19">
        <v>18.28</v>
      </c>
      <c r="O217" s="15">
        <v>4.7619047620000003</v>
      </c>
      <c r="P217" s="9">
        <v>0.91400000000000003</v>
      </c>
      <c r="Q217" s="11">
        <v>8.3000000000000007</v>
      </c>
    </row>
    <row r="218" spans="1:17" x14ac:dyDescent="0.25">
      <c r="A218" s="5" t="s">
        <v>246</v>
      </c>
      <c r="B218" s="7" t="s">
        <v>36</v>
      </c>
      <c r="C218" s="7" t="s">
        <v>37</v>
      </c>
      <c r="D218" s="7" t="s">
        <v>21</v>
      </c>
      <c r="E218" s="7" t="s">
        <v>16</v>
      </c>
      <c r="F218" s="7" t="s">
        <v>30</v>
      </c>
      <c r="G218" s="9">
        <v>24.77</v>
      </c>
      <c r="H218" s="13">
        <v>5</v>
      </c>
      <c r="I218" s="17">
        <v>6.1924999999999999</v>
      </c>
      <c r="J218" s="9">
        <v>130.04249999999999</v>
      </c>
      <c r="K218" s="21">
        <v>43548</v>
      </c>
      <c r="L218" s="3">
        <v>0.76875000000000004</v>
      </c>
      <c r="M218" s="7" t="s">
        <v>23</v>
      </c>
      <c r="N218" s="19">
        <v>123.85</v>
      </c>
      <c r="O218" s="15">
        <v>4.7619047620000003</v>
      </c>
      <c r="P218" s="9">
        <v>6.1924999999999999</v>
      </c>
      <c r="Q218" s="11">
        <v>8.5</v>
      </c>
    </row>
    <row r="219" spans="1:17" x14ac:dyDescent="0.25">
      <c r="A219" s="5" t="s">
        <v>247</v>
      </c>
      <c r="B219" s="7" t="s">
        <v>13</v>
      </c>
      <c r="C219" s="7" t="s">
        <v>14</v>
      </c>
      <c r="D219" s="7" t="s">
        <v>15</v>
      </c>
      <c r="E219" s="7" t="s">
        <v>16</v>
      </c>
      <c r="F219" s="7" t="s">
        <v>22</v>
      </c>
      <c r="G219" s="9">
        <v>94.64</v>
      </c>
      <c r="H219" s="13">
        <v>3</v>
      </c>
      <c r="I219" s="17">
        <v>14.196</v>
      </c>
      <c r="J219" s="9">
        <v>298.11599999999999</v>
      </c>
      <c r="K219" s="21">
        <v>43517</v>
      </c>
      <c r="L219" s="3">
        <v>0.70486111111111116</v>
      </c>
      <c r="M219" s="7" t="s">
        <v>23</v>
      </c>
      <c r="N219" s="19">
        <v>283.92</v>
      </c>
      <c r="O219" s="15">
        <v>4.7619047620000003</v>
      </c>
      <c r="P219" s="9">
        <v>14.196</v>
      </c>
      <c r="Q219" s="11">
        <v>5.5</v>
      </c>
    </row>
    <row r="220" spans="1:17" x14ac:dyDescent="0.25">
      <c r="A220" s="5" t="s">
        <v>248</v>
      </c>
      <c r="B220" s="7" t="s">
        <v>36</v>
      </c>
      <c r="C220" s="7" t="s">
        <v>37</v>
      </c>
      <c r="D220" s="7" t="s">
        <v>21</v>
      </c>
      <c r="E220" s="7" t="s">
        <v>25</v>
      </c>
      <c r="F220" s="7" t="s">
        <v>40</v>
      </c>
      <c r="G220" s="9">
        <v>94.87</v>
      </c>
      <c r="H220" s="13">
        <v>8</v>
      </c>
      <c r="I220" s="17">
        <v>37.948</v>
      </c>
      <c r="J220" s="9">
        <v>796.90800000000002</v>
      </c>
      <c r="K220" s="21">
        <v>43508</v>
      </c>
      <c r="L220" s="3">
        <v>0.54027777777777775</v>
      </c>
      <c r="M220" s="7" t="s">
        <v>18</v>
      </c>
      <c r="N220" s="19">
        <v>758.96</v>
      </c>
      <c r="O220" s="15">
        <v>4.7619047620000003</v>
      </c>
      <c r="P220" s="9">
        <v>37.948</v>
      </c>
      <c r="Q220" s="11">
        <v>8.6999999999999993</v>
      </c>
    </row>
    <row r="221" spans="1:17" x14ac:dyDescent="0.25">
      <c r="A221" s="5" t="s">
        <v>249</v>
      </c>
      <c r="B221" s="7" t="s">
        <v>36</v>
      </c>
      <c r="C221" s="7" t="s">
        <v>37</v>
      </c>
      <c r="D221" s="7" t="s">
        <v>21</v>
      </c>
      <c r="E221" s="7" t="s">
        <v>16</v>
      </c>
      <c r="F221" s="7" t="s">
        <v>38</v>
      </c>
      <c r="G221" s="9">
        <v>57.34</v>
      </c>
      <c r="H221" s="13">
        <v>3</v>
      </c>
      <c r="I221" s="17">
        <v>8.6010000000000009</v>
      </c>
      <c r="J221" s="9">
        <v>180.62100000000001</v>
      </c>
      <c r="K221" s="21">
        <v>43534</v>
      </c>
      <c r="L221" s="3">
        <v>0.79097222222222219</v>
      </c>
      <c r="M221" s="7" t="s">
        <v>27</v>
      </c>
      <c r="N221" s="19">
        <v>172.02</v>
      </c>
      <c r="O221" s="15">
        <v>4.7619047620000003</v>
      </c>
      <c r="P221" s="9">
        <v>8.6010000000000009</v>
      </c>
      <c r="Q221" s="11">
        <v>7.9</v>
      </c>
    </row>
    <row r="222" spans="1:17" x14ac:dyDescent="0.25">
      <c r="A222" s="5" t="s">
        <v>250</v>
      </c>
      <c r="B222" s="7" t="s">
        <v>36</v>
      </c>
      <c r="C222" s="7" t="s">
        <v>37</v>
      </c>
      <c r="D222" s="7" t="s">
        <v>21</v>
      </c>
      <c r="E222" s="7" t="s">
        <v>25</v>
      </c>
      <c r="F222" s="7" t="s">
        <v>22</v>
      </c>
      <c r="G222" s="9">
        <v>45.35</v>
      </c>
      <c r="H222" s="13">
        <v>6</v>
      </c>
      <c r="I222" s="17">
        <v>13.605</v>
      </c>
      <c r="J222" s="9">
        <v>285.70499999999998</v>
      </c>
      <c r="K222" s="21">
        <v>43496</v>
      </c>
      <c r="L222" s="3">
        <v>0.57222222222222219</v>
      </c>
      <c r="M222" s="7" t="s">
        <v>18</v>
      </c>
      <c r="N222" s="19">
        <v>272.10000000000002</v>
      </c>
      <c r="O222" s="15">
        <v>4.7619047620000003</v>
      </c>
      <c r="P222" s="9">
        <v>13.605</v>
      </c>
      <c r="Q222" s="11">
        <v>6.1</v>
      </c>
    </row>
    <row r="223" spans="1:17" x14ac:dyDescent="0.25">
      <c r="A223" s="5" t="s">
        <v>251</v>
      </c>
      <c r="B223" s="7" t="s">
        <v>36</v>
      </c>
      <c r="C223" s="7" t="s">
        <v>37</v>
      </c>
      <c r="D223" s="7" t="s">
        <v>21</v>
      </c>
      <c r="E223" s="7" t="s">
        <v>25</v>
      </c>
      <c r="F223" s="7" t="s">
        <v>38</v>
      </c>
      <c r="G223" s="9">
        <v>62.08</v>
      </c>
      <c r="H223" s="13">
        <v>7</v>
      </c>
      <c r="I223" s="17">
        <v>21.728000000000002</v>
      </c>
      <c r="J223" s="9">
        <v>456.28800000000001</v>
      </c>
      <c r="K223" s="21">
        <v>43530</v>
      </c>
      <c r="L223" s="3">
        <v>0.57361111111111107</v>
      </c>
      <c r="M223" s="7" t="s">
        <v>18</v>
      </c>
      <c r="N223" s="19">
        <v>434.56</v>
      </c>
      <c r="O223" s="15">
        <v>4.7619047620000003</v>
      </c>
      <c r="P223" s="9">
        <v>21.728000000000002</v>
      </c>
      <c r="Q223" s="11">
        <v>5.4</v>
      </c>
    </row>
    <row r="224" spans="1:17" x14ac:dyDescent="0.25">
      <c r="A224" s="5" t="s">
        <v>252</v>
      </c>
      <c r="B224" s="7" t="s">
        <v>20</v>
      </c>
      <c r="C224" s="7" t="s">
        <v>1034</v>
      </c>
      <c r="D224" s="7" t="s">
        <v>21</v>
      </c>
      <c r="E224" s="7" t="s">
        <v>25</v>
      </c>
      <c r="F224" s="7" t="s">
        <v>22</v>
      </c>
      <c r="G224" s="9">
        <v>11.81</v>
      </c>
      <c r="H224" s="13">
        <v>5</v>
      </c>
      <c r="I224" s="17">
        <v>2.9525000000000001</v>
      </c>
      <c r="J224" s="9">
        <v>62.002499999999998</v>
      </c>
      <c r="K224" s="21">
        <v>43513</v>
      </c>
      <c r="L224" s="3">
        <v>0.75416666666666665</v>
      </c>
      <c r="M224" s="7" t="s">
        <v>23</v>
      </c>
      <c r="N224" s="19">
        <v>59.05</v>
      </c>
      <c r="O224" s="15">
        <v>4.7619047620000003</v>
      </c>
      <c r="P224" s="9">
        <v>2.9525000000000001</v>
      </c>
      <c r="Q224" s="11">
        <v>9.4</v>
      </c>
    </row>
    <row r="225" spans="1:17" x14ac:dyDescent="0.25">
      <c r="A225" s="5" t="s">
        <v>253</v>
      </c>
      <c r="B225" s="7" t="s">
        <v>20</v>
      </c>
      <c r="C225" s="7" t="s">
        <v>1034</v>
      </c>
      <c r="D225" s="7" t="s">
        <v>15</v>
      </c>
      <c r="E225" s="7" t="s">
        <v>16</v>
      </c>
      <c r="F225" s="7" t="s">
        <v>40</v>
      </c>
      <c r="G225" s="9">
        <v>12.54</v>
      </c>
      <c r="H225" s="13">
        <v>1</v>
      </c>
      <c r="I225" s="17">
        <v>0.627</v>
      </c>
      <c r="J225" s="9">
        <v>13.167</v>
      </c>
      <c r="K225" s="21">
        <v>43517</v>
      </c>
      <c r="L225" s="3">
        <v>0.52638888888888891</v>
      </c>
      <c r="M225" s="7" t="s">
        <v>23</v>
      </c>
      <c r="N225" s="19">
        <v>12.54</v>
      </c>
      <c r="O225" s="15">
        <v>4.7619047620000003</v>
      </c>
      <c r="P225" s="9">
        <v>0.627</v>
      </c>
      <c r="Q225" s="11">
        <v>8.1999999999999993</v>
      </c>
    </row>
    <row r="226" spans="1:17" x14ac:dyDescent="0.25">
      <c r="A226" s="5" t="s">
        <v>254</v>
      </c>
      <c r="B226" s="7" t="s">
        <v>13</v>
      </c>
      <c r="C226" s="7" t="s">
        <v>14</v>
      </c>
      <c r="D226" s="7" t="s">
        <v>21</v>
      </c>
      <c r="E226" s="7" t="s">
        <v>25</v>
      </c>
      <c r="F226" s="7" t="s">
        <v>38</v>
      </c>
      <c r="G226" s="9">
        <v>43.25</v>
      </c>
      <c r="H226" s="13">
        <v>2</v>
      </c>
      <c r="I226" s="17">
        <v>4.3250000000000002</v>
      </c>
      <c r="J226" s="9">
        <v>90.825000000000003</v>
      </c>
      <c r="K226" s="21">
        <v>43544</v>
      </c>
      <c r="L226" s="3">
        <v>0.66388888888888886</v>
      </c>
      <c r="M226" s="7" t="s">
        <v>23</v>
      </c>
      <c r="N226" s="19">
        <v>86.5</v>
      </c>
      <c r="O226" s="15">
        <v>4.7619047620000003</v>
      </c>
      <c r="P226" s="9">
        <v>4.3250000000000002</v>
      </c>
      <c r="Q226" s="11">
        <v>6.2</v>
      </c>
    </row>
    <row r="227" spans="1:17" x14ac:dyDescent="0.25">
      <c r="A227" s="5" t="s">
        <v>255</v>
      </c>
      <c r="B227" s="7" t="s">
        <v>20</v>
      </c>
      <c r="C227" s="7" t="s">
        <v>1034</v>
      </c>
      <c r="D227" s="7" t="s">
        <v>15</v>
      </c>
      <c r="E227" s="7" t="s">
        <v>16</v>
      </c>
      <c r="F227" s="7" t="s">
        <v>30</v>
      </c>
      <c r="G227" s="9">
        <v>87.16</v>
      </c>
      <c r="H227" s="13">
        <v>2</v>
      </c>
      <c r="I227" s="17">
        <v>8.7159999999999993</v>
      </c>
      <c r="J227" s="9">
        <v>183.036</v>
      </c>
      <c r="K227" s="21">
        <v>43476</v>
      </c>
      <c r="L227" s="3">
        <v>0.60347222222222219</v>
      </c>
      <c r="M227" s="7" t="s">
        <v>27</v>
      </c>
      <c r="N227" s="19">
        <v>174.32</v>
      </c>
      <c r="O227" s="15">
        <v>4.7619047620000003</v>
      </c>
      <c r="P227" s="9">
        <v>8.7159999999999993</v>
      </c>
      <c r="Q227" s="11">
        <v>9.6999999999999993</v>
      </c>
    </row>
    <row r="228" spans="1:17" x14ac:dyDescent="0.25">
      <c r="A228" s="5" t="s">
        <v>256</v>
      </c>
      <c r="B228" s="7" t="s">
        <v>36</v>
      </c>
      <c r="C228" s="7" t="s">
        <v>37</v>
      </c>
      <c r="D228" s="7" t="s">
        <v>15</v>
      </c>
      <c r="E228" s="7" t="s">
        <v>25</v>
      </c>
      <c r="F228" s="7" t="s">
        <v>17</v>
      </c>
      <c r="G228" s="9">
        <v>69.37</v>
      </c>
      <c r="H228" s="13">
        <v>9</v>
      </c>
      <c r="I228" s="17">
        <v>31.2165</v>
      </c>
      <c r="J228" s="9">
        <v>655.54650000000004</v>
      </c>
      <c r="K228" s="21">
        <v>43491</v>
      </c>
      <c r="L228" s="3">
        <v>0.80138888888888893</v>
      </c>
      <c r="M228" s="7" t="s">
        <v>18</v>
      </c>
      <c r="N228" s="19">
        <v>624.33000000000004</v>
      </c>
      <c r="O228" s="15">
        <v>4.7619047620000003</v>
      </c>
      <c r="P228" s="9">
        <v>31.2165</v>
      </c>
      <c r="Q228" s="11">
        <v>4</v>
      </c>
    </row>
    <row r="229" spans="1:17" x14ac:dyDescent="0.25">
      <c r="A229" s="5" t="s">
        <v>257</v>
      </c>
      <c r="B229" s="7" t="s">
        <v>20</v>
      </c>
      <c r="C229" s="7" t="s">
        <v>1034</v>
      </c>
      <c r="D229" s="7" t="s">
        <v>15</v>
      </c>
      <c r="E229" s="7" t="s">
        <v>25</v>
      </c>
      <c r="F229" s="7" t="s">
        <v>22</v>
      </c>
      <c r="G229" s="9">
        <v>37.06</v>
      </c>
      <c r="H229" s="13">
        <v>4</v>
      </c>
      <c r="I229" s="17">
        <v>7.4119999999999999</v>
      </c>
      <c r="J229" s="9">
        <v>155.65199999999999</v>
      </c>
      <c r="K229" s="21">
        <v>43496</v>
      </c>
      <c r="L229" s="3">
        <v>0.68333333333333335</v>
      </c>
      <c r="M229" s="7" t="s">
        <v>18</v>
      </c>
      <c r="N229" s="19">
        <v>148.24</v>
      </c>
      <c r="O229" s="15">
        <v>4.7619047620000003</v>
      </c>
      <c r="P229" s="9">
        <v>7.4119999999999999</v>
      </c>
      <c r="Q229" s="11">
        <v>9.6999999999999993</v>
      </c>
    </row>
    <row r="230" spans="1:17" x14ac:dyDescent="0.25">
      <c r="A230" s="5" t="s">
        <v>258</v>
      </c>
      <c r="B230" s="7" t="s">
        <v>36</v>
      </c>
      <c r="C230" s="7" t="s">
        <v>37</v>
      </c>
      <c r="D230" s="7" t="s">
        <v>15</v>
      </c>
      <c r="E230" s="7" t="s">
        <v>16</v>
      </c>
      <c r="F230" s="7" t="s">
        <v>22</v>
      </c>
      <c r="G230" s="9">
        <v>90.7</v>
      </c>
      <c r="H230" s="13">
        <v>6</v>
      </c>
      <c r="I230" s="17">
        <v>27.21</v>
      </c>
      <c r="J230" s="9">
        <v>571.41</v>
      </c>
      <c r="K230" s="21">
        <v>43522</v>
      </c>
      <c r="L230" s="3">
        <v>0.45277777777777778</v>
      </c>
      <c r="M230" s="7" t="s">
        <v>23</v>
      </c>
      <c r="N230" s="19">
        <v>544.20000000000005</v>
      </c>
      <c r="O230" s="15">
        <v>4.7619047620000003</v>
      </c>
      <c r="P230" s="9">
        <v>27.21</v>
      </c>
      <c r="Q230" s="11">
        <v>5.3</v>
      </c>
    </row>
    <row r="231" spans="1:17" x14ac:dyDescent="0.25">
      <c r="A231" s="5" t="s">
        <v>259</v>
      </c>
      <c r="B231" s="7" t="s">
        <v>13</v>
      </c>
      <c r="C231" s="7" t="s">
        <v>14</v>
      </c>
      <c r="D231" s="7" t="s">
        <v>21</v>
      </c>
      <c r="E231" s="7" t="s">
        <v>16</v>
      </c>
      <c r="F231" s="7" t="s">
        <v>26</v>
      </c>
      <c r="G231" s="9">
        <v>63.42</v>
      </c>
      <c r="H231" s="13">
        <v>8</v>
      </c>
      <c r="I231" s="17">
        <v>25.367999999999999</v>
      </c>
      <c r="J231" s="9">
        <v>532.72799999999995</v>
      </c>
      <c r="K231" s="21">
        <v>43535</v>
      </c>
      <c r="L231" s="3">
        <v>0.53819444444444442</v>
      </c>
      <c r="M231" s="7" t="s">
        <v>18</v>
      </c>
      <c r="N231" s="19">
        <v>507.36</v>
      </c>
      <c r="O231" s="15">
        <v>4.7619047620000003</v>
      </c>
      <c r="P231" s="9">
        <v>25.367999999999999</v>
      </c>
      <c r="Q231" s="11">
        <v>7.4</v>
      </c>
    </row>
    <row r="232" spans="1:17" x14ac:dyDescent="0.25">
      <c r="A232" s="5" t="s">
        <v>260</v>
      </c>
      <c r="B232" s="7" t="s">
        <v>36</v>
      </c>
      <c r="C232" s="7" t="s">
        <v>37</v>
      </c>
      <c r="D232" s="7" t="s">
        <v>21</v>
      </c>
      <c r="E232" s="7" t="s">
        <v>16</v>
      </c>
      <c r="F232" s="7" t="s">
        <v>40</v>
      </c>
      <c r="G232" s="9">
        <v>81.37</v>
      </c>
      <c r="H232" s="13">
        <v>2</v>
      </c>
      <c r="I232" s="17">
        <v>8.1370000000000005</v>
      </c>
      <c r="J232" s="9">
        <v>170.87700000000001</v>
      </c>
      <c r="K232" s="21">
        <v>43491</v>
      </c>
      <c r="L232" s="3">
        <v>0.81111111111111112</v>
      </c>
      <c r="M232" s="7" t="s">
        <v>23</v>
      </c>
      <c r="N232" s="19">
        <v>162.74</v>
      </c>
      <c r="O232" s="15">
        <v>4.7619047620000003</v>
      </c>
      <c r="P232" s="9">
        <v>8.1370000000000005</v>
      </c>
      <c r="Q232" s="11">
        <v>6.5</v>
      </c>
    </row>
    <row r="233" spans="1:17" x14ac:dyDescent="0.25">
      <c r="A233" s="5" t="s">
        <v>261</v>
      </c>
      <c r="B233" s="7" t="s">
        <v>36</v>
      </c>
      <c r="C233" s="7" t="s">
        <v>37</v>
      </c>
      <c r="D233" s="7" t="s">
        <v>15</v>
      </c>
      <c r="E233" s="7" t="s">
        <v>16</v>
      </c>
      <c r="F233" s="7" t="s">
        <v>22</v>
      </c>
      <c r="G233" s="9">
        <v>10.59</v>
      </c>
      <c r="H233" s="13">
        <v>3</v>
      </c>
      <c r="I233" s="17">
        <v>1.5885</v>
      </c>
      <c r="J233" s="9">
        <v>33.358499999999999</v>
      </c>
      <c r="K233" s="21">
        <v>43536</v>
      </c>
      <c r="L233" s="3">
        <v>0.57777777777777772</v>
      </c>
      <c r="M233" s="7" t="s">
        <v>27</v>
      </c>
      <c r="N233" s="19">
        <v>31.77</v>
      </c>
      <c r="O233" s="15">
        <v>4.7619047620000003</v>
      </c>
      <c r="P233" s="9">
        <v>1.5885</v>
      </c>
      <c r="Q233" s="11">
        <v>8.6999999999999993</v>
      </c>
    </row>
    <row r="234" spans="1:17" x14ac:dyDescent="0.25">
      <c r="A234" s="5" t="s">
        <v>262</v>
      </c>
      <c r="B234" s="7" t="s">
        <v>36</v>
      </c>
      <c r="C234" s="7" t="s">
        <v>37</v>
      </c>
      <c r="D234" s="7" t="s">
        <v>21</v>
      </c>
      <c r="E234" s="7" t="s">
        <v>16</v>
      </c>
      <c r="F234" s="7" t="s">
        <v>17</v>
      </c>
      <c r="G234" s="9">
        <v>84.09</v>
      </c>
      <c r="H234" s="13">
        <v>9</v>
      </c>
      <c r="I234" s="17">
        <v>37.840499999999999</v>
      </c>
      <c r="J234" s="9">
        <v>794.65049999999997</v>
      </c>
      <c r="K234" s="21">
        <v>43507</v>
      </c>
      <c r="L234" s="3">
        <v>0.45416666666666666</v>
      </c>
      <c r="M234" s="7" t="s">
        <v>23</v>
      </c>
      <c r="N234" s="19">
        <v>756.81</v>
      </c>
      <c r="O234" s="15">
        <v>4.7619047620000003</v>
      </c>
      <c r="P234" s="9">
        <v>37.840499999999999</v>
      </c>
      <c r="Q234" s="11">
        <v>8</v>
      </c>
    </row>
    <row r="235" spans="1:17" x14ac:dyDescent="0.25">
      <c r="A235" s="5" t="s">
        <v>263</v>
      </c>
      <c r="B235" s="7" t="s">
        <v>36</v>
      </c>
      <c r="C235" s="7" t="s">
        <v>37</v>
      </c>
      <c r="D235" s="7" t="s">
        <v>15</v>
      </c>
      <c r="E235" s="7" t="s">
        <v>25</v>
      </c>
      <c r="F235" s="7" t="s">
        <v>40</v>
      </c>
      <c r="G235" s="9">
        <v>73.819999999999993</v>
      </c>
      <c r="H235" s="13">
        <v>4</v>
      </c>
      <c r="I235" s="17">
        <v>14.763999999999999</v>
      </c>
      <c r="J235" s="9">
        <v>310.04399999999998</v>
      </c>
      <c r="K235" s="21">
        <v>43517</v>
      </c>
      <c r="L235" s="3">
        <v>0.77152777777777781</v>
      </c>
      <c r="M235" s="7" t="s">
        <v>23</v>
      </c>
      <c r="N235" s="19">
        <v>295.27999999999997</v>
      </c>
      <c r="O235" s="15">
        <v>4.7619047620000003</v>
      </c>
      <c r="P235" s="9">
        <v>14.763999999999999</v>
      </c>
      <c r="Q235" s="11">
        <v>6.7</v>
      </c>
    </row>
    <row r="236" spans="1:17" x14ac:dyDescent="0.25">
      <c r="A236" s="5" t="s">
        <v>264</v>
      </c>
      <c r="B236" s="7" t="s">
        <v>13</v>
      </c>
      <c r="C236" s="7" t="s">
        <v>14</v>
      </c>
      <c r="D236" s="7" t="s">
        <v>15</v>
      </c>
      <c r="E236" s="7" t="s">
        <v>25</v>
      </c>
      <c r="F236" s="7" t="s">
        <v>17</v>
      </c>
      <c r="G236" s="9">
        <v>51.94</v>
      </c>
      <c r="H236" s="13">
        <v>10</v>
      </c>
      <c r="I236" s="17">
        <v>25.97</v>
      </c>
      <c r="J236" s="9">
        <v>545.37</v>
      </c>
      <c r="K236" s="21">
        <v>43533</v>
      </c>
      <c r="L236" s="3">
        <v>0.76666666666666672</v>
      </c>
      <c r="M236" s="7" t="s">
        <v>18</v>
      </c>
      <c r="N236" s="19">
        <v>519.4</v>
      </c>
      <c r="O236" s="15">
        <v>4.7619047620000003</v>
      </c>
      <c r="P236" s="9">
        <v>25.97</v>
      </c>
      <c r="Q236" s="11">
        <v>6.5</v>
      </c>
    </row>
    <row r="237" spans="1:17" x14ac:dyDescent="0.25">
      <c r="A237" s="5" t="s">
        <v>265</v>
      </c>
      <c r="B237" s="7" t="s">
        <v>13</v>
      </c>
      <c r="C237" s="7" t="s">
        <v>14</v>
      </c>
      <c r="D237" s="7" t="s">
        <v>21</v>
      </c>
      <c r="E237" s="7" t="s">
        <v>16</v>
      </c>
      <c r="F237" s="7" t="s">
        <v>30</v>
      </c>
      <c r="G237" s="9">
        <v>93.14</v>
      </c>
      <c r="H237" s="13">
        <v>2</v>
      </c>
      <c r="I237" s="17">
        <v>9.3140000000000001</v>
      </c>
      <c r="J237" s="9">
        <v>195.59399999999999</v>
      </c>
      <c r="K237" s="21">
        <v>43485</v>
      </c>
      <c r="L237" s="3">
        <v>0.75624999999999998</v>
      </c>
      <c r="M237" s="7" t="s">
        <v>18</v>
      </c>
      <c r="N237" s="19">
        <v>186.28</v>
      </c>
      <c r="O237" s="15">
        <v>4.7619047620000003</v>
      </c>
      <c r="P237" s="9">
        <v>9.3140000000000001</v>
      </c>
      <c r="Q237" s="11">
        <v>4.0999999999999996</v>
      </c>
    </row>
    <row r="238" spans="1:17" x14ac:dyDescent="0.25">
      <c r="A238" s="5" t="s">
        <v>266</v>
      </c>
      <c r="B238" s="7" t="s">
        <v>20</v>
      </c>
      <c r="C238" s="7" t="s">
        <v>1034</v>
      </c>
      <c r="D238" s="7" t="s">
        <v>21</v>
      </c>
      <c r="E238" s="7" t="s">
        <v>25</v>
      </c>
      <c r="F238" s="7" t="s">
        <v>17</v>
      </c>
      <c r="G238" s="9">
        <v>17.41</v>
      </c>
      <c r="H238" s="13">
        <v>5</v>
      </c>
      <c r="I238" s="17">
        <v>4.3525</v>
      </c>
      <c r="J238" s="9">
        <v>91.402500000000003</v>
      </c>
      <c r="K238" s="21">
        <v>43493</v>
      </c>
      <c r="L238" s="3">
        <v>0.63611111111111107</v>
      </c>
      <c r="M238" s="7" t="s">
        <v>27</v>
      </c>
      <c r="N238" s="19">
        <v>87.05</v>
      </c>
      <c r="O238" s="15">
        <v>4.7619047620000003</v>
      </c>
      <c r="P238" s="9">
        <v>4.3525</v>
      </c>
      <c r="Q238" s="11">
        <v>4.9000000000000004</v>
      </c>
    </row>
    <row r="239" spans="1:17" x14ac:dyDescent="0.25">
      <c r="A239" s="5" t="s">
        <v>267</v>
      </c>
      <c r="B239" s="7" t="s">
        <v>20</v>
      </c>
      <c r="C239" s="7" t="s">
        <v>1034</v>
      </c>
      <c r="D239" s="7" t="s">
        <v>15</v>
      </c>
      <c r="E239" s="7" t="s">
        <v>16</v>
      </c>
      <c r="F239" s="7" t="s">
        <v>40</v>
      </c>
      <c r="G239" s="9">
        <v>44.22</v>
      </c>
      <c r="H239" s="13">
        <v>5</v>
      </c>
      <c r="I239" s="17">
        <v>11.055</v>
      </c>
      <c r="J239" s="9">
        <v>232.155</v>
      </c>
      <c r="K239" s="21">
        <v>43529</v>
      </c>
      <c r="L239" s="3">
        <v>0.71319444444444446</v>
      </c>
      <c r="M239" s="7" t="s">
        <v>27</v>
      </c>
      <c r="N239" s="19">
        <v>221.1</v>
      </c>
      <c r="O239" s="15">
        <v>4.7619047620000003</v>
      </c>
      <c r="P239" s="9">
        <v>11.055</v>
      </c>
      <c r="Q239" s="11">
        <v>8.6</v>
      </c>
    </row>
    <row r="240" spans="1:17" x14ac:dyDescent="0.25">
      <c r="A240" s="5" t="s">
        <v>268</v>
      </c>
      <c r="B240" s="7" t="s">
        <v>36</v>
      </c>
      <c r="C240" s="7" t="s">
        <v>37</v>
      </c>
      <c r="D240" s="7" t="s">
        <v>15</v>
      </c>
      <c r="E240" s="7" t="s">
        <v>16</v>
      </c>
      <c r="F240" s="7" t="s">
        <v>22</v>
      </c>
      <c r="G240" s="9">
        <v>13.22</v>
      </c>
      <c r="H240" s="13">
        <v>5</v>
      </c>
      <c r="I240" s="17">
        <v>3.3050000000000002</v>
      </c>
      <c r="J240" s="9">
        <v>69.405000000000001</v>
      </c>
      <c r="K240" s="21">
        <v>43526</v>
      </c>
      <c r="L240" s="3">
        <v>0.80972222222222223</v>
      </c>
      <c r="M240" s="7" t="s">
        <v>23</v>
      </c>
      <c r="N240" s="19">
        <v>66.099999999999994</v>
      </c>
      <c r="O240" s="15">
        <v>4.7619047620000003</v>
      </c>
      <c r="P240" s="9">
        <v>3.3050000000000002</v>
      </c>
      <c r="Q240" s="11">
        <v>4.3</v>
      </c>
    </row>
    <row r="241" spans="1:17" x14ac:dyDescent="0.25">
      <c r="A241" s="5" t="s">
        <v>269</v>
      </c>
      <c r="B241" s="7" t="s">
        <v>13</v>
      </c>
      <c r="C241" s="7" t="s">
        <v>14</v>
      </c>
      <c r="D241" s="7" t="s">
        <v>21</v>
      </c>
      <c r="E241" s="7" t="s">
        <v>25</v>
      </c>
      <c r="F241" s="7" t="s">
        <v>40</v>
      </c>
      <c r="G241" s="9">
        <v>89.69</v>
      </c>
      <c r="H241" s="13">
        <v>1</v>
      </c>
      <c r="I241" s="17">
        <v>4.4844999999999997</v>
      </c>
      <c r="J241" s="9">
        <v>94.174499999999995</v>
      </c>
      <c r="K241" s="21">
        <v>43476</v>
      </c>
      <c r="L241" s="3">
        <v>0.47222222222222221</v>
      </c>
      <c r="M241" s="7" t="s">
        <v>18</v>
      </c>
      <c r="N241" s="19">
        <v>89.69</v>
      </c>
      <c r="O241" s="15">
        <v>4.7619047620000003</v>
      </c>
      <c r="P241" s="9">
        <v>4.4844999999999997</v>
      </c>
      <c r="Q241" s="11">
        <v>4.9000000000000004</v>
      </c>
    </row>
    <row r="242" spans="1:17" x14ac:dyDescent="0.25">
      <c r="A242" s="5" t="s">
        <v>270</v>
      </c>
      <c r="B242" s="7" t="s">
        <v>13</v>
      </c>
      <c r="C242" s="7" t="s">
        <v>14</v>
      </c>
      <c r="D242" s="7" t="s">
        <v>21</v>
      </c>
      <c r="E242" s="7" t="s">
        <v>25</v>
      </c>
      <c r="F242" s="7" t="s">
        <v>38</v>
      </c>
      <c r="G242" s="9">
        <v>24.94</v>
      </c>
      <c r="H242" s="13">
        <v>9</v>
      </c>
      <c r="I242" s="17">
        <v>11.223000000000001</v>
      </c>
      <c r="J242" s="9">
        <v>235.68299999999999</v>
      </c>
      <c r="K242" s="21">
        <v>43476</v>
      </c>
      <c r="L242" s="3">
        <v>0.7006944444444444</v>
      </c>
      <c r="M242" s="7" t="s">
        <v>27</v>
      </c>
      <c r="N242" s="19">
        <v>224.46</v>
      </c>
      <c r="O242" s="15">
        <v>4.7619047620000003</v>
      </c>
      <c r="P242" s="9">
        <v>11.223000000000001</v>
      </c>
      <c r="Q242" s="11">
        <v>5.6</v>
      </c>
    </row>
    <row r="243" spans="1:17" x14ac:dyDescent="0.25">
      <c r="A243" s="5" t="s">
        <v>271</v>
      </c>
      <c r="B243" s="7" t="s">
        <v>13</v>
      </c>
      <c r="C243" s="7" t="s">
        <v>14</v>
      </c>
      <c r="D243" s="7" t="s">
        <v>21</v>
      </c>
      <c r="E243" s="7" t="s">
        <v>25</v>
      </c>
      <c r="F243" s="7" t="s">
        <v>17</v>
      </c>
      <c r="G243" s="9">
        <v>59.77</v>
      </c>
      <c r="H243" s="13">
        <v>2</v>
      </c>
      <c r="I243" s="17">
        <v>5.9770000000000003</v>
      </c>
      <c r="J243" s="9">
        <v>125.517</v>
      </c>
      <c r="K243" s="21">
        <v>43535</v>
      </c>
      <c r="L243" s="3">
        <v>0.50069444444444444</v>
      </c>
      <c r="M243" s="7" t="s">
        <v>27</v>
      </c>
      <c r="N243" s="19">
        <v>119.54</v>
      </c>
      <c r="O243" s="15">
        <v>4.7619047620000003</v>
      </c>
      <c r="P243" s="9">
        <v>5.9770000000000003</v>
      </c>
      <c r="Q243" s="11">
        <v>5.8</v>
      </c>
    </row>
    <row r="244" spans="1:17" x14ac:dyDescent="0.25">
      <c r="A244" s="5" t="s">
        <v>272</v>
      </c>
      <c r="B244" s="7" t="s">
        <v>20</v>
      </c>
      <c r="C244" s="7" t="s">
        <v>1034</v>
      </c>
      <c r="D244" s="7" t="s">
        <v>15</v>
      </c>
      <c r="E244" s="7" t="s">
        <v>25</v>
      </c>
      <c r="F244" s="7" t="s">
        <v>40</v>
      </c>
      <c r="G244" s="9">
        <v>93.2</v>
      </c>
      <c r="H244" s="13">
        <v>2</v>
      </c>
      <c r="I244" s="17">
        <v>9.32</v>
      </c>
      <c r="J244" s="9">
        <v>195.72</v>
      </c>
      <c r="K244" s="21">
        <v>43524</v>
      </c>
      <c r="L244" s="3">
        <v>0.77569444444444446</v>
      </c>
      <c r="M244" s="7" t="s">
        <v>27</v>
      </c>
      <c r="N244" s="19">
        <v>186.4</v>
      </c>
      <c r="O244" s="15">
        <v>4.7619047620000003</v>
      </c>
      <c r="P244" s="9">
        <v>9.32</v>
      </c>
      <c r="Q244" s="11">
        <v>6</v>
      </c>
    </row>
    <row r="245" spans="1:17" x14ac:dyDescent="0.25">
      <c r="A245" s="5" t="s">
        <v>273</v>
      </c>
      <c r="B245" s="7" t="s">
        <v>13</v>
      </c>
      <c r="C245" s="7" t="s">
        <v>14</v>
      </c>
      <c r="D245" s="7" t="s">
        <v>15</v>
      </c>
      <c r="E245" s="7" t="s">
        <v>25</v>
      </c>
      <c r="F245" s="7" t="s">
        <v>26</v>
      </c>
      <c r="G245" s="9">
        <v>62.65</v>
      </c>
      <c r="H245" s="13">
        <v>4</v>
      </c>
      <c r="I245" s="17">
        <v>12.53</v>
      </c>
      <c r="J245" s="9">
        <v>263.13</v>
      </c>
      <c r="K245" s="21">
        <v>43470</v>
      </c>
      <c r="L245" s="3">
        <v>0.47569444444444442</v>
      </c>
      <c r="M245" s="7" t="s">
        <v>23</v>
      </c>
      <c r="N245" s="19">
        <v>250.6</v>
      </c>
      <c r="O245" s="15">
        <v>4.7619047620000003</v>
      </c>
      <c r="P245" s="9">
        <v>12.53</v>
      </c>
      <c r="Q245" s="11">
        <v>4.2</v>
      </c>
    </row>
    <row r="246" spans="1:17" x14ac:dyDescent="0.25">
      <c r="A246" s="5" t="s">
        <v>274</v>
      </c>
      <c r="B246" s="7" t="s">
        <v>36</v>
      </c>
      <c r="C246" s="7" t="s">
        <v>37</v>
      </c>
      <c r="D246" s="7" t="s">
        <v>21</v>
      </c>
      <c r="E246" s="7" t="s">
        <v>25</v>
      </c>
      <c r="F246" s="7" t="s">
        <v>26</v>
      </c>
      <c r="G246" s="9">
        <v>93.87</v>
      </c>
      <c r="H246" s="13">
        <v>8</v>
      </c>
      <c r="I246" s="17">
        <v>37.548000000000002</v>
      </c>
      <c r="J246" s="9">
        <v>788.50800000000004</v>
      </c>
      <c r="K246" s="21">
        <v>43498</v>
      </c>
      <c r="L246" s="3">
        <v>0.77916666666666667</v>
      </c>
      <c r="M246" s="7" t="s">
        <v>27</v>
      </c>
      <c r="N246" s="19">
        <v>750.96</v>
      </c>
      <c r="O246" s="15">
        <v>4.7619047620000003</v>
      </c>
      <c r="P246" s="9">
        <v>37.548000000000002</v>
      </c>
      <c r="Q246" s="11">
        <v>8.3000000000000007</v>
      </c>
    </row>
    <row r="247" spans="1:17" x14ac:dyDescent="0.25">
      <c r="A247" s="5" t="s">
        <v>275</v>
      </c>
      <c r="B247" s="7" t="s">
        <v>13</v>
      </c>
      <c r="C247" s="7" t="s">
        <v>14</v>
      </c>
      <c r="D247" s="7" t="s">
        <v>15</v>
      </c>
      <c r="E247" s="7" t="s">
        <v>25</v>
      </c>
      <c r="F247" s="7" t="s">
        <v>26</v>
      </c>
      <c r="G247" s="9">
        <v>47.59</v>
      </c>
      <c r="H247" s="13">
        <v>8</v>
      </c>
      <c r="I247" s="17">
        <v>19.036000000000001</v>
      </c>
      <c r="J247" s="9">
        <v>399.75599999999997</v>
      </c>
      <c r="K247" s="21">
        <v>43466</v>
      </c>
      <c r="L247" s="3">
        <v>0.61597222222222225</v>
      </c>
      <c r="M247" s="7" t="s">
        <v>23</v>
      </c>
      <c r="N247" s="19">
        <v>380.72</v>
      </c>
      <c r="O247" s="15">
        <v>4.7619047620000003</v>
      </c>
      <c r="P247" s="9">
        <v>19.036000000000001</v>
      </c>
      <c r="Q247" s="11">
        <v>5.7</v>
      </c>
    </row>
    <row r="248" spans="1:17" x14ac:dyDescent="0.25">
      <c r="A248" s="5" t="s">
        <v>276</v>
      </c>
      <c r="B248" s="7" t="s">
        <v>36</v>
      </c>
      <c r="C248" s="7" t="s">
        <v>37</v>
      </c>
      <c r="D248" s="7" t="s">
        <v>15</v>
      </c>
      <c r="E248" s="7" t="s">
        <v>16</v>
      </c>
      <c r="F248" s="7" t="s">
        <v>22</v>
      </c>
      <c r="G248" s="9">
        <v>81.400000000000006</v>
      </c>
      <c r="H248" s="13">
        <v>3</v>
      </c>
      <c r="I248" s="17">
        <v>12.21</v>
      </c>
      <c r="J248" s="9">
        <v>256.41000000000003</v>
      </c>
      <c r="K248" s="21">
        <v>43505</v>
      </c>
      <c r="L248" s="3">
        <v>0.82152777777777775</v>
      </c>
      <c r="M248" s="7" t="s">
        <v>23</v>
      </c>
      <c r="N248" s="19">
        <v>244.2</v>
      </c>
      <c r="O248" s="15">
        <v>4.7619047620000003</v>
      </c>
      <c r="P248" s="9">
        <v>12.21</v>
      </c>
      <c r="Q248" s="11">
        <v>4.8</v>
      </c>
    </row>
    <row r="249" spans="1:17" x14ac:dyDescent="0.25">
      <c r="A249" s="5" t="s">
        <v>277</v>
      </c>
      <c r="B249" s="7" t="s">
        <v>13</v>
      </c>
      <c r="C249" s="7" t="s">
        <v>14</v>
      </c>
      <c r="D249" s="7" t="s">
        <v>15</v>
      </c>
      <c r="E249" s="7" t="s">
        <v>25</v>
      </c>
      <c r="F249" s="7" t="s">
        <v>40</v>
      </c>
      <c r="G249" s="9">
        <v>17.940000000000001</v>
      </c>
      <c r="H249" s="13">
        <v>5</v>
      </c>
      <c r="I249" s="17">
        <v>4.4850000000000003</v>
      </c>
      <c r="J249" s="9">
        <v>94.185000000000002</v>
      </c>
      <c r="K249" s="21">
        <v>43488</v>
      </c>
      <c r="L249" s="3">
        <v>0.58611111111111114</v>
      </c>
      <c r="M249" s="7" t="s">
        <v>18</v>
      </c>
      <c r="N249" s="19">
        <v>89.7</v>
      </c>
      <c r="O249" s="15">
        <v>4.7619047620000003</v>
      </c>
      <c r="P249" s="9">
        <v>4.4850000000000003</v>
      </c>
      <c r="Q249" s="11">
        <v>6.8</v>
      </c>
    </row>
    <row r="250" spans="1:17" x14ac:dyDescent="0.25">
      <c r="A250" s="5" t="s">
        <v>278</v>
      </c>
      <c r="B250" s="7" t="s">
        <v>13</v>
      </c>
      <c r="C250" s="7" t="s">
        <v>14</v>
      </c>
      <c r="D250" s="7" t="s">
        <v>15</v>
      </c>
      <c r="E250" s="7" t="s">
        <v>25</v>
      </c>
      <c r="F250" s="7" t="s">
        <v>22</v>
      </c>
      <c r="G250" s="9">
        <v>77.72</v>
      </c>
      <c r="H250" s="13">
        <v>4</v>
      </c>
      <c r="I250" s="17">
        <v>15.544</v>
      </c>
      <c r="J250" s="9">
        <v>326.42399999999998</v>
      </c>
      <c r="K250" s="21">
        <v>43472</v>
      </c>
      <c r="L250" s="3">
        <v>0.6743055555555556</v>
      </c>
      <c r="M250" s="7" t="s">
        <v>27</v>
      </c>
      <c r="N250" s="19">
        <v>310.88</v>
      </c>
      <c r="O250" s="15">
        <v>4.7619047620000003</v>
      </c>
      <c r="P250" s="9">
        <v>15.544</v>
      </c>
      <c r="Q250" s="11">
        <v>8.8000000000000007</v>
      </c>
    </row>
    <row r="251" spans="1:17" x14ac:dyDescent="0.25">
      <c r="A251" s="5" t="s">
        <v>279</v>
      </c>
      <c r="B251" s="7" t="s">
        <v>36</v>
      </c>
      <c r="C251" s="7" t="s">
        <v>37</v>
      </c>
      <c r="D251" s="7" t="s">
        <v>21</v>
      </c>
      <c r="E251" s="7" t="s">
        <v>25</v>
      </c>
      <c r="F251" s="7" t="s">
        <v>38</v>
      </c>
      <c r="G251" s="9">
        <v>73.06</v>
      </c>
      <c r="H251" s="13">
        <v>7</v>
      </c>
      <c r="I251" s="17">
        <v>25.571000000000002</v>
      </c>
      <c r="J251" s="9">
        <v>536.99099999999999</v>
      </c>
      <c r="K251" s="21">
        <v>43479</v>
      </c>
      <c r="L251" s="3">
        <v>0.79583333333333328</v>
      </c>
      <c r="M251" s="7" t="s">
        <v>27</v>
      </c>
      <c r="N251" s="19">
        <v>511.42</v>
      </c>
      <c r="O251" s="15">
        <v>4.7619047620000003</v>
      </c>
      <c r="P251" s="9">
        <v>25.571000000000002</v>
      </c>
      <c r="Q251" s="11">
        <v>4.2</v>
      </c>
    </row>
    <row r="252" spans="1:17" x14ac:dyDescent="0.25">
      <c r="A252" s="5" t="s">
        <v>280</v>
      </c>
      <c r="B252" s="7" t="s">
        <v>36</v>
      </c>
      <c r="C252" s="7" t="s">
        <v>37</v>
      </c>
      <c r="D252" s="7" t="s">
        <v>15</v>
      </c>
      <c r="E252" s="7" t="s">
        <v>25</v>
      </c>
      <c r="F252" s="7" t="s">
        <v>38</v>
      </c>
      <c r="G252" s="9">
        <v>46.55</v>
      </c>
      <c r="H252" s="13">
        <v>9</v>
      </c>
      <c r="I252" s="17">
        <v>20.947500000000002</v>
      </c>
      <c r="J252" s="9">
        <v>439.89749999999998</v>
      </c>
      <c r="K252" s="21">
        <v>43498</v>
      </c>
      <c r="L252" s="3">
        <v>0.64861111111111114</v>
      </c>
      <c r="M252" s="7" t="s">
        <v>18</v>
      </c>
      <c r="N252" s="19">
        <v>418.95</v>
      </c>
      <c r="O252" s="15">
        <v>4.7619047620000003</v>
      </c>
      <c r="P252" s="9">
        <v>20.947500000000002</v>
      </c>
      <c r="Q252" s="11">
        <v>6.4</v>
      </c>
    </row>
    <row r="253" spans="1:17" x14ac:dyDescent="0.25">
      <c r="A253" s="5" t="s">
        <v>281</v>
      </c>
      <c r="B253" s="7" t="s">
        <v>20</v>
      </c>
      <c r="C253" s="7" t="s">
        <v>1034</v>
      </c>
      <c r="D253" s="7" t="s">
        <v>15</v>
      </c>
      <c r="E253" s="7" t="s">
        <v>25</v>
      </c>
      <c r="F253" s="7" t="s">
        <v>40</v>
      </c>
      <c r="G253" s="9">
        <v>35.19</v>
      </c>
      <c r="H253" s="13">
        <v>10</v>
      </c>
      <c r="I253" s="17">
        <v>17.594999999999999</v>
      </c>
      <c r="J253" s="9">
        <v>369.495</v>
      </c>
      <c r="K253" s="21">
        <v>43541</v>
      </c>
      <c r="L253" s="3">
        <v>0.79583333333333328</v>
      </c>
      <c r="M253" s="7" t="s">
        <v>27</v>
      </c>
      <c r="N253" s="19">
        <v>351.9</v>
      </c>
      <c r="O253" s="15">
        <v>4.7619047620000003</v>
      </c>
      <c r="P253" s="9">
        <v>17.594999999999999</v>
      </c>
      <c r="Q253" s="11">
        <v>8.4</v>
      </c>
    </row>
    <row r="254" spans="1:17" x14ac:dyDescent="0.25">
      <c r="A254" s="5" t="s">
        <v>282</v>
      </c>
      <c r="B254" s="7" t="s">
        <v>20</v>
      </c>
      <c r="C254" s="7" t="s">
        <v>1034</v>
      </c>
      <c r="D254" s="7" t="s">
        <v>21</v>
      </c>
      <c r="E254" s="7" t="s">
        <v>16</v>
      </c>
      <c r="F254" s="7" t="s">
        <v>30</v>
      </c>
      <c r="G254" s="9">
        <v>14.39</v>
      </c>
      <c r="H254" s="13">
        <v>2</v>
      </c>
      <c r="I254" s="17">
        <v>1.4390000000000001</v>
      </c>
      <c r="J254" s="9">
        <v>30.219000000000001</v>
      </c>
      <c r="K254" s="21">
        <v>43526</v>
      </c>
      <c r="L254" s="3">
        <v>0.82222222222222219</v>
      </c>
      <c r="M254" s="7" t="s">
        <v>27</v>
      </c>
      <c r="N254" s="19">
        <v>28.78</v>
      </c>
      <c r="O254" s="15">
        <v>4.7619047620000003</v>
      </c>
      <c r="P254" s="9">
        <v>1.4390000000000001</v>
      </c>
      <c r="Q254" s="11">
        <v>7.2</v>
      </c>
    </row>
    <row r="255" spans="1:17" x14ac:dyDescent="0.25">
      <c r="A255" s="5" t="s">
        <v>283</v>
      </c>
      <c r="B255" s="7" t="s">
        <v>13</v>
      </c>
      <c r="C255" s="7" t="s">
        <v>14</v>
      </c>
      <c r="D255" s="7" t="s">
        <v>21</v>
      </c>
      <c r="E255" s="7" t="s">
        <v>25</v>
      </c>
      <c r="F255" s="7" t="s">
        <v>26</v>
      </c>
      <c r="G255" s="9">
        <v>23.75</v>
      </c>
      <c r="H255" s="13">
        <v>4</v>
      </c>
      <c r="I255" s="17">
        <v>4.75</v>
      </c>
      <c r="J255" s="9">
        <v>99.75</v>
      </c>
      <c r="K255" s="21">
        <v>43540</v>
      </c>
      <c r="L255" s="3">
        <v>0.47361111111111109</v>
      </c>
      <c r="M255" s="7" t="s">
        <v>23</v>
      </c>
      <c r="N255" s="19">
        <v>95</v>
      </c>
      <c r="O255" s="15">
        <v>4.7619047620000003</v>
      </c>
      <c r="P255" s="9">
        <v>4.75</v>
      </c>
      <c r="Q255" s="11">
        <v>5.2</v>
      </c>
    </row>
    <row r="256" spans="1:17" x14ac:dyDescent="0.25">
      <c r="A256" s="5" t="s">
        <v>284</v>
      </c>
      <c r="B256" s="7" t="s">
        <v>13</v>
      </c>
      <c r="C256" s="7" t="s">
        <v>14</v>
      </c>
      <c r="D256" s="7" t="s">
        <v>15</v>
      </c>
      <c r="E256" s="7" t="s">
        <v>25</v>
      </c>
      <c r="F256" s="7" t="s">
        <v>26</v>
      </c>
      <c r="G256" s="9">
        <v>58.9</v>
      </c>
      <c r="H256" s="13">
        <v>8</v>
      </c>
      <c r="I256" s="17">
        <v>23.56</v>
      </c>
      <c r="J256" s="9">
        <v>494.76</v>
      </c>
      <c r="K256" s="21">
        <v>43471</v>
      </c>
      <c r="L256" s="3">
        <v>0.47430555555555554</v>
      </c>
      <c r="M256" s="7" t="s">
        <v>23</v>
      </c>
      <c r="N256" s="19">
        <v>471.2</v>
      </c>
      <c r="O256" s="15">
        <v>4.7619047620000003</v>
      </c>
      <c r="P256" s="9">
        <v>23.56</v>
      </c>
      <c r="Q256" s="11">
        <v>8.9</v>
      </c>
    </row>
    <row r="257" spans="1:17" x14ac:dyDescent="0.25">
      <c r="A257" s="5" t="s">
        <v>285</v>
      </c>
      <c r="B257" s="7" t="s">
        <v>36</v>
      </c>
      <c r="C257" s="7" t="s">
        <v>37</v>
      </c>
      <c r="D257" s="7" t="s">
        <v>15</v>
      </c>
      <c r="E257" s="7" t="s">
        <v>25</v>
      </c>
      <c r="F257" s="7" t="s">
        <v>40</v>
      </c>
      <c r="G257" s="9">
        <v>32.619999999999997</v>
      </c>
      <c r="H257" s="13">
        <v>4</v>
      </c>
      <c r="I257" s="17">
        <v>6.524</v>
      </c>
      <c r="J257" s="9">
        <v>137.00399999999999</v>
      </c>
      <c r="K257" s="21">
        <v>43494</v>
      </c>
      <c r="L257" s="3">
        <v>0.59166666666666667</v>
      </c>
      <c r="M257" s="7" t="s">
        <v>23</v>
      </c>
      <c r="N257" s="19">
        <v>130.47999999999999</v>
      </c>
      <c r="O257" s="15">
        <v>4.7619047620000003</v>
      </c>
      <c r="P257" s="9">
        <v>6.524</v>
      </c>
      <c r="Q257" s="11">
        <v>9</v>
      </c>
    </row>
    <row r="258" spans="1:17" x14ac:dyDescent="0.25">
      <c r="A258" s="5" t="s">
        <v>286</v>
      </c>
      <c r="B258" s="7" t="s">
        <v>13</v>
      </c>
      <c r="C258" s="7" t="s">
        <v>14</v>
      </c>
      <c r="D258" s="7" t="s">
        <v>15</v>
      </c>
      <c r="E258" s="7" t="s">
        <v>25</v>
      </c>
      <c r="F258" s="7" t="s">
        <v>22</v>
      </c>
      <c r="G258" s="9">
        <v>66.349999999999994</v>
      </c>
      <c r="H258" s="13">
        <v>1</v>
      </c>
      <c r="I258" s="17">
        <v>3.3174999999999999</v>
      </c>
      <c r="J258" s="9">
        <v>69.667500000000004</v>
      </c>
      <c r="K258" s="21">
        <v>43496</v>
      </c>
      <c r="L258" s="3">
        <v>0.44861111111111113</v>
      </c>
      <c r="M258" s="7" t="s">
        <v>27</v>
      </c>
      <c r="N258" s="19">
        <v>66.349999999999994</v>
      </c>
      <c r="O258" s="15">
        <v>4.7619047620000003</v>
      </c>
      <c r="P258" s="9">
        <v>3.3174999999999999</v>
      </c>
      <c r="Q258" s="11">
        <v>9.6999999999999993</v>
      </c>
    </row>
    <row r="259" spans="1:17" x14ac:dyDescent="0.25">
      <c r="A259" s="5" t="s">
        <v>287</v>
      </c>
      <c r="B259" s="7" t="s">
        <v>13</v>
      </c>
      <c r="C259" s="7" t="s">
        <v>14</v>
      </c>
      <c r="D259" s="7" t="s">
        <v>15</v>
      </c>
      <c r="E259" s="7" t="s">
        <v>25</v>
      </c>
      <c r="F259" s="7" t="s">
        <v>26</v>
      </c>
      <c r="G259" s="9">
        <v>25.91</v>
      </c>
      <c r="H259" s="13">
        <v>6</v>
      </c>
      <c r="I259" s="17">
        <v>7.7729999999999997</v>
      </c>
      <c r="J259" s="9">
        <v>163.233</v>
      </c>
      <c r="K259" s="21">
        <v>43501</v>
      </c>
      <c r="L259" s="3">
        <v>0.42777777777777776</v>
      </c>
      <c r="M259" s="7" t="s">
        <v>18</v>
      </c>
      <c r="N259" s="19">
        <v>155.46</v>
      </c>
      <c r="O259" s="15">
        <v>4.7619047620000003</v>
      </c>
      <c r="P259" s="9">
        <v>7.7729999999999997</v>
      </c>
      <c r="Q259" s="11">
        <v>8.6999999999999993</v>
      </c>
    </row>
    <row r="260" spans="1:17" x14ac:dyDescent="0.25">
      <c r="A260" s="5" t="s">
        <v>288</v>
      </c>
      <c r="B260" s="7" t="s">
        <v>13</v>
      </c>
      <c r="C260" s="7" t="s">
        <v>14</v>
      </c>
      <c r="D260" s="7" t="s">
        <v>15</v>
      </c>
      <c r="E260" s="7" t="s">
        <v>25</v>
      </c>
      <c r="F260" s="7" t="s">
        <v>22</v>
      </c>
      <c r="G260" s="9">
        <v>32.25</v>
      </c>
      <c r="H260" s="13">
        <v>4</v>
      </c>
      <c r="I260" s="17">
        <v>6.45</v>
      </c>
      <c r="J260" s="9">
        <v>135.44999999999999</v>
      </c>
      <c r="K260" s="21">
        <v>43509</v>
      </c>
      <c r="L260" s="3">
        <v>0.52638888888888891</v>
      </c>
      <c r="M260" s="7" t="s">
        <v>18</v>
      </c>
      <c r="N260" s="19">
        <v>129</v>
      </c>
      <c r="O260" s="15">
        <v>4.7619047620000003</v>
      </c>
      <c r="P260" s="9">
        <v>6.45</v>
      </c>
      <c r="Q260" s="11">
        <v>6.5</v>
      </c>
    </row>
    <row r="261" spans="1:17" x14ac:dyDescent="0.25">
      <c r="A261" s="5" t="s">
        <v>289</v>
      </c>
      <c r="B261" s="7" t="s">
        <v>20</v>
      </c>
      <c r="C261" s="7" t="s">
        <v>1034</v>
      </c>
      <c r="D261" s="7" t="s">
        <v>15</v>
      </c>
      <c r="E261" s="7" t="s">
        <v>25</v>
      </c>
      <c r="F261" s="7" t="s">
        <v>22</v>
      </c>
      <c r="G261" s="9">
        <v>65.94</v>
      </c>
      <c r="H261" s="13">
        <v>4</v>
      </c>
      <c r="I261" s="17">
        <v>13.188000000000001</v>
      </c>
      <c r="J261" s="9">
        <v>276.94799999999998</v>
      </c>
      <c r="K261" s="21">
        <v>43503</v>
      </c>
      <c r="L261" s="3">
        <v>0.54513888888888884</v>
      </c>
      <c r="M261" s="7" t="s">
        <v>27</v>
      </c>
      <c r="N261" s="19">
        <v>263.76</v>
      </c>
      <c r="O261" s="15">
        <v>4.7619047620000003</v>
      </c>
      <c r="P261" s="9">
        <v>13.188000000000001</v>
      </c>
      <c r="Q261" s="11">
        <v>6.9</v>
      </c>
    </row>
    <row r="262" spans="1:17" x14ac:dyDescent="0.25">
      <c r="A262" s="5" t="s">
        <v>290</v>
      </c>
      <c r="B262" s="7" t="s">
        <v>13</v>
      </c>
      <c r="C262" s="7" t="s">
        <v>14</v>
      </c>
      <c r="D262" s="7" t="s">
        <v>21</v>
      </c>
      <c r="E262" s="7" t="s">
        <v>16</v>
      </c>
      <c r="F262" s="7" t="s">
        <v>22</v>
      </c>
      <c r="G262" s="9">
        <v>75.06</v>
      </c>
      <c r="H262" s="13">
        <v>9</v>
      </c>
      <c r="I262" s="17">
        <v>33.777000000000001</v>
      </c>
      <c r="J262" s="9">
        <v>709.31700000000001</v>
      </c>
      <c r="K262" s="21">
        <v>43543</v>
      </c>
      <c r="L262" s="3">
        <v>0.55902777777777779</v>
      </c>
      <c r="M262" s="7" t="s">
        <v>18</v>
      </c>
      <c r="N262" s="19">
        <v>675.54</v>
      </c>
      <c r="O262" s="15">
        <v>4.7619047620000003</v>
      </c>
      <c r="P262" s="9">
        <v>33.777000000000001</v>
      </c>
      <c r="Q262" s="11">
        <v>6.2</v>
      </c>
    </row>
    <row r="263" spans="1:17" x14ac:dyDescent="0.25">
      <c r="A263" s="5" t="s">
        <v>291</v>
      </c>
      <c r="B263" s="7" t="s">
        <v>20</v>
      </c>
      <c r="C263" s="7" t="s">
        <v>1034</v>
      </c>
      <c r="D263" s="7" t="s">
        <v>21</v>
      </c>
      <c r="E263" s="7" t="s">
        <v>16</v>
      </c>
      <c r="F263" s="7" t="s">
        <v>40</v>
      </c>
      <c r="G263" s="9">
        <v>16.45</v>
      </c>
      <c r="H263" s="13">
        <v>4</v>
      </c>
      <c r="I263" s="17">
        <v>3.29</v>
      </c>
      <c r="J263" s="9">
        <v>69.09</v>
      </c>
      <c r="K263" s="21">
        <v>43531</v>
      </c>
      <c r="L263" s="3">
        <v>0.62013888888888891</v>
      </c>
      <c r="M263" s="7" t="s">
        <v>18</v>
      </c>
      <c r="N263" s="19">
        <v>65.8</v>
      </c>
      <c r="O263" s="15">
        <v>4.7619047620000003</v>
      </c>
      <c r="P263" s="9">
        <v>3.29</v>
      </c>
      <c r="Q263" s="11">
        <v>5.6</v>
      </c>
    </row>
    <row r="264" spans="1:17" x14ac:dyDescent="0.25">
      <c r="A264" s="5" t="s">
        <v>292</v>
      </c>
      <c r="B264" s="7" t="s">
        <v>36</v>
      </c>
      <c r="C264" s="7" t="s">
        <v>37</v>
      </c>
      <c r="D264" s="7" t="s">
        <v>15</v>
      </c>
      <c r="E264" s="7" t="s">
        <v>16</v>
      </c>
      <c r="F264" s="7" t="s">
        <v>40</v>
      </c>
      <c r="G264" s="9">
        <v>38.299999999999997</v>
      </c>
      <c r="H264" s="13">
        <v>4</v>
      </c>
      <c r="I264" s="17">
        <v>7.66</v>
      </c>
      <c r="J264" s="9">
        <v>160.86000000000001</v>
      </c>
      <c r="K264" s="21">
        <v>43537</v>
      </c>
      <c r="L264" s="3">
        <v>0.80694444444444446</v>
      </c>
      <c r="M264" s="7" t="s">
        <v>23</v>
      </c>
      <c r="N264" s="19">
        <v>153.19999999999999</v>
      </c>
      <c r="O264" s="15">
        <v>4.7619047620000003</v>
      </c>
      <c r="P264" s="9">
        <v>7.66</v>
      </c>
      <c r="Q264" s="11">
        <v>5.7</v>
      </c>
    </row>
    <row r="265" spans="1:17" x14ac:dyDescent="0.25">
      <c r="A265" s="5" t="s">
        <v>293</v>
      </c>
      <c r="B265" s="7" t="s">
        <v>13</v>
      </c>
      <c r="C265" s="7" t="s">
        <v>14</v>
      </c>
      <c r="D265" s="7" t="s">
        <v>15</v>
      </c>
      <c r="E265" s="7" t="s">
        <v>16</v>
      </c>
      <c r="F265" s="7" t="s">
        <v>30</v>
      </c>
      <c r="G265" s="9">
        <v>22.24</v>
      </c>
      <c r="H265" s="13">
        <v>10</v>
      </c>
      <c r="I265" s="17">
        <v>11.12</v>
      </c>
      <c r="J265" s="9">
        <v>233.52</v>
      </c>
      <c r="K265" s="21">
        <v>43505</v>
      </c>
      <c r="L265" s="3">
        <v>0.45833333333333331</v>
      </c>
      <c r="M265" s="7" t="s">
        <v>23</v>
      </c>
      <c r="N265" s="19">
        <v>222.4</v>
      </c>
      <c r="O265" s="15">
        <v>4.7619047620000003</v>
      </c>
      <c r="P265" s="9">
        <v>11.12</v>
      </c>
      <c r="Q265" s="11">
        <v>4.2</v>
      </c>
    </row>
    <row r="266" spans="1:17" x14ac:dyDescent="0.25">
      <c r="A266" s="5" t="s">
        <v>294</v>
      </c>
      <c r="B266" s="7" t="s">
        <v>36</v>
      </c>
      <c r="C266" s="7" t="s">
        <v>37</v>
      </c>
      <c r="D266" s="7" t="s">
        <v>21</v>
      </c>
      <c r="E266" s="7" t="s">
        <v>25</v>
      </c>
      <c r="F266" s="7" t="s">
        <v>30</v>
      </c>
      <c r="G266" s="9">
        <v>54.45</v>
      </c>
      <c r="H266" s="13">
        <v>1</v>
      </c>
      <c r="I266" s="17">
        <v>2.7225000000000001</v>
      </c>
      <c r="J266" s="9">
        <v>57.172499999999999</v>
      </c>
      <c r="K266" s="21">
        <v>43522</v>
      </c>
      <c r="L266" s="3">
        <v>0.80833333333333335</v>
      </c>
      <c r="M266" s="7" t="s">
        <v>18</v>
      </c>
      <c r="N266" s="19">
        <v>54.45</v>
      </c>
      <c r="O266" s="15">
        <v>4.7619047620000003</v>
      </c>
      <c r="P266" s="9">
        <v>2.7225000000000001</v>
      </c>
      <c r="Q266" s="11">
        <v>7.9</v>
      </c>
    </row>
    <row r="267" spans="1:17" x14ac:dyDescent="0.25">
      <c r="A267" s="5" t="s">
        <v>295</v>
      </c>
      <c r="B267" s="7" t="s">
        <v>13</v>
      </c>
      <c r="C267" s="7" t="s">
        <v>14</v>
      </c>
      <c r="D267" s="7" t="s">
        <v>15</v>
      </c>
      <c r="E267" s="7" t="s">
        <v>16</v>
      </c>
      <c r="F267" s="7" t="s">
        <v>30</v>
      </c>
      <c r="G267" s="9">
        <v>98.4</v>
      </c>
      <c r="H267" s="13">
        <v>7</v>
      </c>
      <c r="I267" s="17">
        <v>34.44</v>
      </c>
      <c r="J267" s="9">
        <v>723.24</v>
      </c>
      <c r="K267" s="21">
        <v>43536</v>
      </c>
      <c r="L267" s="3">
        <v>0.52986111111111112</v>
      </c>
      <c r="M267" s="7" t="s">
        <v>27</v>
      </c>
      <c r="N267" s="19">
        <v>688.8</v>
      </c>
      <c r="O267" s="15">
        <v>4.7619047620000003</v>
      </c>
      <c r="P267" s="9">
        <v>34.44</v>
      </c>
      <c r="Q267" s="11">
        <v>8.6999999999999993</v>
      </c>
    </row>
    <row r="268" spans="1:17" x14ac:dyDescent="0.25">
      <c r="A268" s="5" t="s">
        <v>296</v>
      </c>
      <c r="B268" s="7" t="s">
        <v>20</v>
      </c>
      <c r="C268" s="7" t="s">
        <v>1034</v>
      </c>
      <c r="D268" s="7" t="s">
        <v>21</v>
      </c>
      <c r="E268" s="7" t="s">
        <v>25</v>
      </c>
      <c r="F268" s="7" t="s">
        <v>26</v>
      </c>
      <c r="G268" s="9">
        <v>35.47</v>
      </c>
      <c r="H268" s="13">
        <v>4</v>
      </c>
      <c r="I268" s="17">
        <v>7.0940000000000003</v>
      </c>
      <c r="J268" s="9">
        <v>148.97399999999999</v>
      </c>
      <c r="K268" s="21">
        <v>43538</v>
      </c>
      <c r="L268" s="3">
        <v>0.72361111111111109</v>
      </c>
      <c r="M268" s="7" t="s">
        <v>27</v>
      </c>
      <c r="N268" s="19">
        <v>141.88</v>
      </c>
      <c r="O268" s="15">
        <v>4.7619047620000003</v>
      </c>
      <c r="P268" s="9">
        <v>7.0940000000000003</v>
      </c>
      <c r="Q268" s="11">
        <v>6.9</v>
      </c>
    </row>
    <row r="269" spans="1:17" x14ac:dyDescent="0.25">
      <c r="A269" s="5" t="s">
        <v>297</v>
      </c>
      <c r="B269" s="7" t="s">
        <v>36</v>
      </c>
      <c r="C269" s="7" t="s">
        <v>37</v>
      </c>
      <c r="D269" s="7" t="s">
        <v>15</v>
      </c>
      <c r="E269" s="7" t="s">
        <v>16</v>
      </c>
      <c r="F269" s="7" t="s">
        <v>38</v>
      </c>
      <c r="G269" s="9">
        <v>74.599999999999994</v>
      </c>
      <c r="H269" s="13">
        <v>10</v>
      </c>
      <c r="I269" s="17">
        <v>37.299999999999997</v>
      </c>
      <c r="J269" s="9">
        <v>783.3</v>
      </c>
      <c r="K269" s="21">
        <v>43473</v>
      </c>
      <c r="L269" s="3">
        <v>0.87152777777777779</v>
      </c>
      <c r="M269" s="7" t="s">
        <v>23</v>
      </c>
      <c r="N269" s="19">
        <v>746</v>
      </c>
      <c r="O269" s="15">
        <v>4.7619047620000003</v>
      </c>
      <c r="P269" s="9">
        <v>37.299999999999997</v>
      </c>
      <c r="Q269" s="11">
        <v>9.5</v>
      </c>
    </row>
    <row r="270" spans="1:17" x14ac:dyDescent="0.25">
      <c r="A270" s="5" t="s">
        <v>298</v>
      </c>
      <c r="B270" s="7" t="s">
        <v>13</v>
      </c>
      <c r="C270" s="7" t="s">
        <v>14</v>
      </c>
      <c r="D270" s="7" t="s">
        <v>15</v>
      </c>
      <c r="E270" s="7" t="s">
        <v>25</v>
      </c>
      <c r="F270" s="7" t="s">
        <v>26</v>
      </c>
      <c r="G270" s="9">
        <v>70.739999999999995</v>
      </c>
      <c r="H270" s="13">
        <v>4</v>
      </c>
      <c r="I270" s="17">
        <v>14.148</v>
      </c>
      <c r="J270" s="9">
        <v>297.108</v>
      </c>
      <c r="K270" s="21">
        <v>43470</v>
      </c>
      <c r="L270" s="3">
        <v>0.67013888888888884</v>
      </c>
      <c r="M270" s="7" t="s">
        <v>27</v>
      </c>
      <c r="N270" s="19">
        <v>282.95999999999998</v>
      </c>
      <c r="O270" s="15">
        <v>4.7619047620000003</v>
      </c>
      <c r="P270" s="9">
        <v>14.148</v>
      </c>
      <c r="Q270" s="11">
        <v>4.4000000000000004</v>
      </c>
    </row>
    <row r="271" spans="1:17" x14ac:dyDescent="0.25">
      <c r="A271" s="5" t="s">
        <v>299</v>
      </c>
      <c r="B271" s="7" t="s">
        <v>13</v>
      </c>
      <c r="C271" s="7" t="s">
        <v>14</v>
      </c>
      <c r="D271" s="7" t="s">
        <v>15</v>
      </c>
      <c r="E271" s="7" t="s">
        <v>16</v>
      </c>
      <c r="F271" s="7" t="s">
        <v>26</v>
      </c>
      <c r="G271" s="9">
        <v>35.54</v>
      </c>
      <c r="H271" s="13">
        <v>10</v>
      </c>
      <c r="I271" s="17">
        <v>17.77</v>
      </c>
      <c r="J271" s="9">
        <v>373.17</v>
      </c>
      <c r="K271" s="21">
        <v>43469</v>
      </c>
      <c r="L271" s="3">
        <v>0.56527777777777777</v>
      </c>
      <c r="M271" s="7" t="s">
        <v>18</v>
      </c>
      <c r="N271" s="19">
        <v>355.4</v>
      </c>
      <c r="O271" s="15">
        <v>4.7619047620000003</v>
      </c>
      <c r="P271" s="9">
        <v>17.77</v>
      </c>
      <c r="Q271" s="11">
        <v>7</v>
      </c>
    </row>
    <row r="272" spans="1:17" x14ac:dyDescent="0.25">
      <c r="A272" s="5" t="s">
        <v>300</v>
      </c>
      <c r="B272" s="7" t="s">
        <v>36</v>
      </c>
      <c r="C272" s="7" t="s">
        <v>37</v>
      </c>
      <c r="D272" s="7" t="s">
        <v>21</v>
      </c>
      <c r="E272" s="7" t="s">
        <v>16</v>
      </c>
      <c r="F272" s="7" t="s">
        <v>30</v>
      </c>
      <c r="G272" s="9">
        <v>67.430000000000007</v>
      </c>
      <c r="H272" s="13">
        <v>5</v>
      </c>
      <c r="I272" s="17">
        <v>16.857500000000002</v>
      </c>
      <c r="J272" s="9">
        <v>354.00749999999999</v>
      </c>
      <c r="K272" s="21">
        <v>43530</v>
      </c>
      <c r="L272" s="3">
        <v>0.75902777777777775</v>
      </c>
      <c r="M272" s="7" t="s">
        <v>18</v>
      </c>
      <c r="N272" s="19">
        <v>337.15</v>
      </c>
      <c r="O272" s="15">
        <v>4.7619047620000003</v>
      </c>
      <c r="P272" s="9">
        <v>16.857500000000002</v>
      </c>
      <c r="Q272" s="11">
        <v>6.3</v>
      </c>
    </row>
    <row r="273" spans="1:17" x14ac:dyDescent="0.25">
      <c r="A273" s="5" t="s">
        <v>301</v>
      </c>
      <c r="B273" s="7" t="s">
        <v>20</v>
      </c>
      <c r="C273" s="7" t="s">
        <v>1034</v>
      </c>
      <c r="D273" s="7" t="s">
        <v>15</v>
      </c>
      <c r="E273" s="7" t="s">
        <v>16</v>
      </c>
      <c r="F273" s="7" t="s">
        <v>17</v>
      </c>
      <c r="G273" s="9">
        <v>21.12</v>
      </c>
      <c r="H273" s="13">
        <v>2</v>
      </c>
      <c r="I273" s="17">
        <v>2.1120000000000001</v>
      </c>
      <c r="J273" s="9">
        <v>44.351999999999997</v>
      </c>
      <c r="K273" s="21">
        <v>43468</v>
      </c>
      <c r="L273" s="3">
        <v>0.80347222222222225</v>
      </c>
      <c r="M273" s="7" t="s">
        <v>23</v>
      </c>
      <c r="N273" s="19">
        <v>42.24</v>
      </c>
      <c r="O273" s="15">
        <v>4.7619047620000003</v>
      </c>
      <c r="P273" s="9">
        <v>2.1120000000000001</v>
      </c>
      <c r="Q273" s="11">
        <v>9.6999999999999993</v>
      </c>
    </row>
    <row r="274" spans="1:17" x14ac:dyDescent="0.25">
      <c r="A274" s="5" t="s">
        <v>302</v>
      </c>
      <c r="B274" s="7" t="s">
        <v>13</v>
      </c>
      <c r="C274" s="7" t="s">
        <v>14</v>
      </c>
      <c r="D274" s="7" t="s">
        <v>15</v>
      </c>
      <c r="E274" s="7" t="s">
        <v>16</v>
      </c>
      <c r="F274" s="7" t="s">
        <v>26</v>
      </c>
      <c r="G274" s="9">
        <v>21.54</v>
      </c>
      <c r="H274" s="13">
        <v>9</v>
      </c>
      <c r="I274" s="17">
        <v>9.6929999999999996</v>
      </c>
      <c r="J274" s="9">
        <v>203.553</v>
      </c>
      <c r="K274" s="21">
        <v>43472</v>
      </c>
      <c r="L274" s="3">
        <v>0.48888888888888887</v>
      </c>
      <c r="M274" s="7" t="s">
        <v>27</v>
      </c>
      <c r="N274" s="19">
        <v>193.86</v>
      </c>
      <c r="O274" s="15">
        <v>4.7619047620000003</v>
      </c>
      <c r="P274" s="9">
        <v>9.6929999999999996</v>
      </c>
      <c r="Q274" s="11">
        <v>8.8000000000000007</v>
      </c>
    </row>
    <row r="275" spans="1:17" x14ac:dyDescent="0.25">
      <c r="A275" s="5" t="s">
        <v>303</v>
      </c>
      <c r="B275" s="7" t="s">
        <v>13</v>
      </c>
      <c r="C275" s="7" t="s">
        <v>14</v>
      </c>
      <c r="D275" s="7" t="s">
        <v>21</v>
      </c>
      <c r="E275" s="7" t="s">
        <v>16</v>
      </c>
      <c r="F275" s="7" t="s">
        <v>26</v>
      </c>
      <c r="G275" s="9">
        <v>12.03</v>
      </c>
      <c r="H275" s="13">
        <v>2</v>
      </c>
      <c r="I275" s="17">
        <v>1.2030000000000001</v>
      </c>
      <c r="J275" s="9">
        <v>25.263000000000002</v>
      </c>
      <c r="K275" s="21">
        <v>43492</v>
      </c>
      <c r="L275" s="3">
        <v>0.66041666666666665</v>
      </c>
      <c r="M275" s="7" t="s">
        <v>23</v>
      </c>
      <c r="N275" s="19">
        <v>24.06</v>
      </c>
      <c r="O275" s="15">
        <v>4.7619047620000003</v>
      </c>
      <c r="P275" s="9">
        <v>1.2030000000000001</v>
      </c>
      <c r="Q275" s="11">
        <v>5.0999999999999996</v>
      </c>
    </row>
    <row r="276" spans="1:17" x14ac:dyDescent="0.25">
      <c r="A276" s="5" t="s">
        <v>304</v>
      </c>
      <c r="B276" s="7" t="s">
        <v>36</v>
      </c>
      <c r="C276" s="7" t="s">
        <v>37</v>
      </c>
      <c r="D276" s="7" t="s">
        <v>21</v>
      </c>
      <c r="E276" s="7" t="s">
        <v>16</v>
      </c>
      <c r="F276" s="7" t="s">
        <v>17</v>
      </c>
      <c r="G276" s="9">
        <v>99.71</v>
      </c>
      <c r="H276" s="13">
        <v>6</v>
      </c>
      <c r="I276" s="17">
        <v>29.913</v>
      </c>
      <c r="J276" s="9">
        <v>628.173</v>
      </c>
      <c r="K276" s="21">
        <v>43522</v>
      </c>
      <c r="L276" s="3">
        <v>0.70277777777777772</v>
      </c>
      <c r="M276" s="7" t="s">
        <v>18</v>
      </c>
      <c r="N276" s="19">
        <v>598.26</v>
      </c>
      <c r="O276" s="15">
        <v>4.7619047620000003</v>
      </c>
      <c r="P276" s="9">
        <v>29.913</v>
      </c>
      <c r="Q276" s="11">
        <v>7.9</v>
      </c>
    </row>
    <row r="277" spans="1:17" x14ac:dyDescent="0.25">
      <c r="A277" s="5" t="s">
        <v>305</v>
      </c>
      <c r="B277" s="7" t="s">
        <v>36</v>
      </c>
      <c r="C277" s="7" t="s">
        <v>37</v>
      </c>
      <c r="D277" s="7" t="s">
        <v>21</v>
      </c>
      <c r="E277" s="7" t="s">
        <v>25</v>
      </c>
      <c r="F277" s="7" t="s">
        <v>40</v>
      </c>
      <c r="G277" s="9">
        <v>47.97</v>
      </c>
      <c r="H277" s="13">
        <v>7</v>
      </c>
      <c r="I277" s="17">
        <v>16.7895</v>
      </c>
      <c r="J277" s="9">
        <v>352.5795</v>
      </c>
      <c r="K277" s="21">
        <v>43472</v>
      </c>
      <c r="L277" s="3">
        <v>0.86944444444444446</v>
      </c>
      <c r="M277" s="7" t="s">
        <v>23</v>
      </c>
      <c r="N277" s="19">
        <v>335.79</v>
      </c>
      <c r="O277" s="15">
        <v>4.7619047620000003</v>
      </c>
      <c r="P277" s="9">
        <v>16.7895</v>
      </c>
      <c r="Q277" s="11">
        <v>6.2</v>
      </c>
    </row>
    <row r="278" spans="1:17" x14ac:dyDescent="0.25">
      <c r="A278" s="5" t="s">
        <v>306</v>
      </c>
      <c r="B278" s="7" t="s">
        <v>20</v>
      </c>
      <c r="C278" s="7" t="s">
        <v>1034</v>
      </c>
      <c r="D278" s="7" t="s">
        <v>15</v>
      </c>
      <c r="E278" s="7" t="s">
        <v>16</v>
      </c>
      <c r="F278" s="7" t="s">
        <v>26</v>
      </c>
      <c r="G278" s="9">
        <v>21.82</v>
      </c>
      <c r="H278" s="13">
        <v>10</v>
      </c>
      <c r="I278" s="17">
        <v>10.91</v>
      </c>
      <c r="J278" s="9">
        <v>229.11</v>
      </c>
      <c r="K278" s="21">
        <v>43472</v>
      </c>
      <c r="L278" s="3">
        <v>0.73333333333333328</v>
      </c>
      <c r="M278" s="7" t="s">
        <v>23</v>
      </c>
      <c r="N278" s="19">
        <v>218.2</v>
      </c>
      <c r="O278" s="15">
        <v>4.7619047620000003</v>
      </c>
      <c r="P278" s="9">
        <v>10.91</v>
      </c>
      <c r="Q278" s="11">
        <v>7.1</v>
      </c>
    </row>
    <row r="279" spans="1:17" x14ac:dyDescent="0.25">
      <c r="A279" s="5" t="s">
        <v>307</v>
      </c>
      <c r="B279" s="7" t="s">
        <v>20</v>
      </c>
      <c r="C279" s="7" t="s">
        <v>1034</v>
      </c>
      <c r="D279" s="7" t="s">
        <v>21</v>
      </c>
      <c r="E279" s="7" t="s">
        <v>16</v>
      </c>
      <c r="F279" s="7" t="s">
        <v>40</v>
      </c>
      <c r="G279" s="9">
        <v>95.42</v>
      </c>
      <c r="H279" s="13">
        <v>4</v>
      </c>
      <c r="I279" s="17">
        <v>19.084</v>
      </c>
      <c r="J279" s="9">
        <v>400.76400000000001</v>
      </c>
      <c r="K279" s="21">
        <v>43498</v>
      </c>
      <c r="L279" s="3">
        <v>0.55763888888888891</v>
      </c>
      <c r="M279" s="7" t="s">
        <v>18</v>
      </c>
      <c r="N279" s="19">
        <v>381.68</v>
      </c>
      <c r="O279" s="15">
        <v>4.7619047620000003</v>
      </c>
      <c r="P279" s="9">
        <v>19.084</v>
      </c>
      <c r="Q279" s="11">
        <v>6.4</v>
      </c>
    </row>
    <row r="280" spans="1:17" x14ac:dyDescent="0.25">
      <c r="A280" s="5" t="s">
        <v>308</v>
      </c>
      <c r="B280" s="7" t="s">
        <v>20</v>
      </c>
      <c r="C280" s="7" t="s">
        <v>1034</v>
      </c>
      <c r="D280" s="7" t="s">
        <v>15</v>
      </c>
      <c r="E280" s="7" t="s">
        <v>25</v>
      </c>
      <c r="F280" s="7" t="s">
        <v>40</v>
      </c>
      <c r="G280" s="9">
        <v>70.989999999999995</v>
      </c>
      <c r="H280" s="13">
        <v>10</v>
      </c>
      <c r="I280" s="17">
        <v>35.494999999999997</v>
      </c>
      <c r="J280" s="9">
        <v>745.39499999999998</v>
      </c>
      <c r="K280" s="21">
        <v>43544</v>
      </c>
      <c r="L280" s="3">
        <v>0.68611111111111112</v>
      </c>
      <c r="M280" s="7" t="s">
        <v>23</v>
      </c>
      <c r="N280" s="19">
        <v>709.9</v>
      </c>
      <c r="O280" s="15">
        <v>4.7619047620000003</v>
      </c>
      <c r="P280" s="9">
        <v>35.494999999999997</v>
      </c>
      <c r="Q280" s="11">
        <v>5.7</v>
      </c>
    </row>
    <row r="281" spans="1:17" x14ac:dyDescent="0.25">
      <c r="A281" s="5" t="s">
        <v>309</v>
      </c>
      <c r="B281" s="7" t="s">
        <v>13</v>
      </c>
      <c r="C281" s="7" t="s">
        <v>14</v>
      </c>
      <c r="D281" s="7" t="s">
        <v>15</v>
      </c>
      <c r="E281" s="7" t="s">
        <v>25</v>
      </c>
      <c r="F281" s="7" t="s">
        <v>30</v>
      </c>
      <c r="G281" s="9">
        <v>44.02</v>
      </c>
      <c r="H281" s="13">
        <v>10</v>
      </c>
      <c r="I281" s="17">
        <v>22.01</v>
      </c>
      <c r="J281" s="9">
        <v>462.21</v>
      </c>
      <c r="K281" s="21">
        <v>43544</v>
      </c>
      <c r="L281" s="3">
        <v>0.83125000000000004</v>
      </c>
      <c r="M281" s="7" t="s">
        <v>27</v>
      </c>
      <c r="N281" s="19">
        <v>440.2</v>
      </c>
      <c r="O281" s="15">
        <v>4.7619047620000003</v>
      </c>
      <c r="P281" s="9">
        <v>22.01</v>
      </c>
      <c r="Q281" s="11">
        <v>9.6</v>
      </c>
    </row>
    <row r="282" spans="1:17" x14ac:dyDescent="0.25">
      <c r="A282" s="5" t="s">
        <v>310</v>
      </c>
      <c r="B282" s="7" t="s">
        <v>13</v>
      </c>
      <c r="C282" s="7" t="s">
        <v>14</v>
      </c>
      <c r="D282" s="7" t="s">
        <v>21</v>
      </c>
      <c r="E282" s="7" t="s">
        <v>16</v>
      </c>
      <c r="F282" s="7" t="s">
        <v>26</v>
      </c>
      <c r="G282" s="9">
        <v>69.959999999999994</v>
      </c>
      <c r="H282" s="13">
        <v>8</v>
      </c>
      <c r="I282" s="17">
        <v>27.984000000000002</v>
      </c>
      <c r="J282" s="9">
        <v>587.66399999999999</v>
      </c>
      <c r="K282" s="21">
        <v>43511</v>
      </c>
      <c r="L282" s="3">
        <v>0.70902777777777781</v>
      </c>
      <c r="M282" s="7" t="s">
        <v>27</v>
      </c>
      <c r="N282" s="19">
        <v>559.67999999999995</v>
      </c>
      <c r="O282" s="15">
        <v>4.7619047620000003</v>
      </c>
      <c r="P282" s="9">
        <v>27.984000000000002</v>
      </c>
      <c r="Q282" s="11">
        <v>6.4</v>
      </c>
    </row>
    <row r="283" spans="1:17" x14ac:dyDescent="0.25">
      <c r="A283" s="5" t="s">
        <v>311</v>
      </c>
      <c r="B283" s="7" t="s">
        <v>20</v>
      </c>
      <c r="C283" s="7" t="s">
        <v>1034</v>
      </c>
      <c r="D283" s="7" t="s">
        <v>21</v>
      </c>
      <c r="E283" s="7" t="s">
        <v>25</v>
      </c>
      <c r="F283" s="7" t="s">
        <v>26</v>
      </c>
      <c r="G283" s="9">
        <v>37</v>
      </c>
      <c r="H283" s="13">
        <v>1</v>
      </c>
      <c r="I283" s="17">
        <v>1.85</v>
      </c>
      <c r="J283" s="9">
        <v>38.85</v>
      </c>
      <c r="K283" s="21">
        <v>43530</v>
      </c>
      <c r="L283" s="3">
        <v>0.56180555555555556</v>
      </c>
      <c r="M283" s="7" t="s">
        <v>27</v>
      </c>
      <c r="N283" s="19">
        <v>37</v>
      </c>
      <c r="O283" s="15">
        <v>4.7619047620000003</v>
      </c>
      <c r="P283" s="9">
        <v>1.85</v>
      </c>
      <c r="Q283" s="11">
        <v>7.9</v>
      </c>
    </row>
    <row r="284" spans="1:17" x14ac:dyDescent="0.25">
      <c r="A284" s="5" t="s">
        <v>312</v>
      </c>
      <c r="B284" s="7" t="s">
        <v>13</v>
      </c>
      <c r="C284" s="7" t="s">
        <v>14</v>
      </c>
      <c r="D284" s="7" t="s">
        <v>21</v>
      </c>
      <c r="E284" s="7" t="s">
        <v>16</v>
      </c>
      <c r="F284" s="7" t="s">
        <v>30</v>
      </c>
      <c r="G284" s="9">
        <v>15.34</v>
      </c>
      <c r="H284" s="13">
        <v>1</v>
      </c>
      <c r="I284" s="17">
        <v>0.76700000000000002</v>
      </c>
      <c r="J284" s="9">
        <v>16.106999999999999</v>
      </c>
      <c r="K284" s="21">
        <v>43471</v>
      </c>
      <c r="L284" s="3">
        <v>0.46458333333333335</v>
      </c>
      <c r="M284" s="7" t="s">
        <v>23</v>
      </c>
      <c r="N284" s="19">
        <v>15.34</v>
      </c>
      <c r="O284" s="15">
        <v>4.7619047620000003</v>
      </c>
      <c r="P284" s="9">
        <v>0.76700000000000002</v>
      </c>
      <c r="Q284" s="11">
        <v>6.5</v>
      </c>
    </row>
    <row r="285" spans="1:17" x14ac:dyDescent="0.25">
      <c r="A285" s="5" t="s">
        <v>313</v>
      </c>
      <c r="B285" s="7" t="s">
        <v>13</v>
      </c>
      <c r="C285" s="7" t="s">
        <v>14</v>
      </c>
      <c r="D285" s="7" t="s">
        <v>15</v>
      </c>
      <c r="E285" s="7" t="s">
        <v>25</v>
      </c>
      <c r="F285" s="7" t="s">
        <v>17</v>
      </c>
      <c r="G285" s="9">
        <v>99.83</v>
      </c>
      <c r="H285" s="13">
        <v>6</v>
      </c>
      <c r="I285" s="17">
        <v>29.949000000000002</v>
      </c>
      <c r="J285" s="9">
        <v>628.92899999999997</v>
      </c>
      <c r="K285" s="21">
        <v>43528</v>
      </c>
      <c r="L285" s="3">
        <v>0.62638888888888888</v>
      </c>
      <c r="M285" s="7" t="s">
        <v>18</v>
      </c>
      <c r="N285" s="19">
        <v>598.98</v>
      </c>
      <c r="O285" s="15">
        <v>4.7619047620000003</v>
      </c>
      <c r="P285" s="9">
        <v>29.949000000000002</v>
      </c>
      <c r="Q285" s="11">
        <v>8.5</v>
      </c>
    </row>
    <row r="286" spans="1:17" x14ac:dyDescent="0.25">
      <c r="A286" s="5" t="s">
        <v>314</v>
      </c>
      <c r="B286" s="7" t="s">
        <v>13</v>
      </c>
      <c r="C286" s="7" t="s">
        <v>14</v>
      </c>
      <c r="D286" s="7" t="s">
        <v>15</v>
      </c>
      <c r="E286" s="7" t="s">
        <v>16</v>
      </c>
      <c r="F286" s="7" t="s">
        <v>17</v>
      </c>
      <c r="G286" s="9">
        <v>47.67</v>
      </c>
      <c r="H286" s="13">
        <v>4</v>
      </c>
      <c r="I286" s="17">
        <v>9.5340000000000007</v>
      </c>
      <c r="J286" s="9">
        <v>200.214</v>
      </c>
      <c r="K286" s="21">
        <v>43536</v>
      </c>
      <c r="L286" s="3">
        <v>0.59791666666666665</v>
      </c>
      <c r="M286" s="7" t="s">
        <v>23</v>
      </c>
      <c r="N286" s="19">
        <v>190.68</v>
      </c>
      <c r="O286" s="15">
        <v>4.7619047620000003</v>
      </c>
      <c r="P286" s="9">
        <v>9.5340000000000007</v>
      </c>
      <c r="Q286" s="11">
        <v>9.1</v>
      </c>
    </row>
    <row r="287" spans="1:17" x14ac:dyDescent="0.25">
      <c r="A287" s="5" t="s">
        <v>315</v>
      </c>
      <c r="B287" s="7" t="s">
        <v>36</v>
      </c>
      <c r="C287" s="7" t="s">
        <v>37</v>
      </c>
      <c r="D287" s="7" t="s">
        <v>21</v>
      </c>
      <c r="E287" s="7" t="s">
        <v>25</v>
      </c>
      <c r="F287" s="7" t="s">
        <v>17</v>
      </c>
      <c r="G287" s="9">
        <v>66.680000000000007</v>
      </c>
      <c r="H287" s="13">
        <v>5</v>
      </c>
      <c r="I287" s="17">
        <v>16.670000000000002</v>
      </c>
      <c r="J287" s="9">
        <v>350.07</v>
      </c>
      <c r="K287" s="21">
        <v>43516</v>
      </c>
      <c r="L287" s="3">
        <v>0.75069444444444444</v>
      </c>
      <c r="M287" s="7" t="s">
        <v>23</v>
      </c>
      <c r="N287" s="19">
        <v>333.4</v>
      </c>
      <c r="O287" s="15">
        <v>4.7619047620000003</v>
      </c>
      <c r="P287" s="9">
        <v>16.670000000000002</v>
      </c>
      <c r="Q287" s="11">
        <v>7.6</v>
      </c>
    </row>
    <row r="288" spans="1:17" x14ac:dyDescent="0.25">
      <c r="A288" s="5" t="s">
        <v>316</v>
      </c>
      <c r="B288" s="7" t="s">
        <v>20</v>
      </c>
      <c r="C288" s="7" t="s">
        <v>1034</v>
      </c>
      <c r="D288" s="7" t="s">
        <v>15</v>
      </c>
      <c r="E288" s="7" t="s">
        <v>25</v>
      </c>
      <c r="F288" s="7" t="s">
        <v>26</v>
      </c>
      <c r="G288" s="9">
        <v>74.86</v>
      </c>
      <c r="H288" s="13">
        <v>1</v>
      </c>
      <c r="I288" s="17">
        <v>3.7429999999999999</v>
      </c>
      <c r="J288" s="9">
        <v>78.602999999999994</v>
      </c>
      <c r="K288" s="21">
        <v>43548</v>
      </c>
      <c r="L288" s="3">
        <v>0.61736111111111114</v>
      </c>
      <c r="M288" s="7" t="s">
        <v>23</v>
      </c>
      <c r="N288" s="19">
        <v>74.86</v>
      </c>
      <c r="O288" s="15">
        <v>4.7619047620000003</v>
      </c>
      <c r="P288" s="9">
        <v>3.7429999999999999</v>
      </c>
      <c r="Q288" s="11">
        <v>6.9</v>
      </c>
    </row>
    <row r="289" spans="1:17" x14ac:dyDescent="0.25">
      <c r="A289" s="5" t="s">
        <v>317</v>
      </c>
      <c r="B289" s="7" t="s">
        <v>20</v>
      </c>
      <c r="C289" s="7" t="s">
        <v>1034</v>
      </c>
      <c r="D289" s="7" t="s">
        <v>21</v>
      </c>
      <c r="E289" s="7" t="s">
        <v>16</v>
      </c>
      <c r="F289" s="7" t="s">
        <v>30</v>
      </c>
      <c r="G289" s="9">
        <v>23.75</v>
      </c>
      <c r="H289" s="13">
        <v>9</v>
      </c>
      <c r="I289" s="17">
        <v>10.6875</v>
      </c>
      <c r="J289" s="9">
        <v>224.4375</v>
      </c>
      <c r="K289" s="21">
        <v>43496</v>
      </c>
      <c r="L289" s="3">
        <v>0.50138888888888888</v>
      </c>
      <c r="M289" s="7" t="s">
        <v>23</v>
      </c>
      <c r="N289" s="19">
        <v>213.75</v>
      </c>
      <c r="O289" s="15">
        <v>4.7619047620000003</v>
      </c>
      <c r="P289" s="9">
        <v>10.6875</v>
      </c>
      <c r="Q289" s="11">
        <v>9.5</v>
      </c>
    </row>
    <row r="290" spans="1:17" x14ac:dyDescent="0.25">
      <c r="A290" s="5" t="s">
        <v>318</v>
      </c>
      <c r="B290" s="7" t="s">
        <v>36</v>
      </c>
      <c r="C290" s="7" t="s">
        <v>37</v>
      </c>
      <c r="D290" s="7" t="s">
        <v>21</v>
      </c>
      <c r="E290" s="7" t="s">
        <v>16</v>
      </c>
      <c r="F290" s="7" t="s">
        <v>38</v>
      </c>
      <c r="G290" s="9">
        <v>48.51</v>
      </c>
      <c r="H290" s="13">
        <v>7</v>
      </c>
      <c r="I290" s="17">
        <v>16.9785</v>
      </c>
      <c r="J290" s="9">
        <v>356.54849999999999</v>
      </c>
      <c r="K290" s="21">
        <v>43490</v>
      </c>
      <c r="L290" s="3">
        <v>0.5625</v>
      </c>
      <c r="M290" s="7" t="s">
        <v>27</v>
      </c>
      <c r="N290" s="19">
        <v>339.57</v>
      </c>
      <c r="O290" s="15">
        <v>4.7619047620000003</v>
      </c>
      <c r="P290" s="9">
        <v>16.9785</v>
      </c>
      <c r="Q290" s="11">
        <v>5.2</v>
      </c>
    </row>
    <row r="291" spans="1:17" x14ac:dyDescent="0.25">
      <c r="A291" s="5" t="s">
        <v>319</v>
      </c>
      <c r="B291" s="7" t="s">
        <v>13</v>
      </c>
      <c r="C291" s="7" t="s">
        <v>14</v>
      </c>
      <c r="D291" s="7" t="s">
        <v>15</v>
      </c>
      <c r="E291" s="7" t="s">
        <v>16</v>
      </c>
      <c r="F291" s="7" t="s">
        <v>26</v>
      </c>
      <c r="G291" s="9">
        <v>94.88</v>
      </c>
      <c r="H291" s="13">
        <v>7</v>
      </c>
      <c r="I291" s="17">
        <v>33.207999999999998</v>
      </c>
      <c r="J291" s="9">
        <v>697.36800000000005</v>
      </c>
      <c r="K291" s="21">
        <v>43499</v>
      </c>
      <c r="L291" s="3">
        <v>0.60972222222222228</v>
      </c>
      <c r="M291" s="7" t="s">
        <v>23</v>
      </c>
      <c r="N291" s="19">
        <v>664.16</v>
      </c>
      <c r="O291" s="15">
        <v>4.7619047620000003</v>
      </c>
      <c r="P291" s="9">
        <v>33.207999999999998</v>
      </c>
      <c r="Q291" s="11">
        <v>4.2</v>
      </c>
    </row>
    <row r="292" spans="1:17" x14ac:dyDescent="0.25">
      <c r="A292" s="5" t="s">
        <v>320</v>
      </c>
      <c r="B292" s="7" t="s">
        <v>36</v>
      </c>
      <c r="C292" s="7" t="s">
        <v>37</v>
      </c>
      <c r="D292" s="7" t="s">
        <v>15</v>
      </c>
      <c r="E292" s="7" t="s">
        <v>25</v>
      </c>
      <c r="F292" s="7" t="s">
        <v>22</v>
      </c>
      <c r="G292" s="9">
        <v>40.299999999999997</v>
      </c>
      <c r="H292" s="13">
        <v>10</v>
      </c>
      <c r="I292" s="17">
        <v>20.149999999999999</v>
      </c>
      <c r="J292" s="9">
        <v>423.15</v>
      </c>
      <c r="K292" s="21">
        <v>43489</v>
      </c>
      <c r="L292" s="3">
        <v>0.73402777777777772</v>
      </c>
      <c r="M292" s="7" t="s">
        <v>27</v>
      </c>
      <c r="N292" s="19">
        <v>403</v>
      </c>
      <c r="O292" s="15">
        <v>4.7619047620000003</v>
      </c>
      <c r="P292" s="9">
        <v>20.149999999999999</v>
      </c>
      <c r="Q292" s="11">
        <v>7</v>
      </c>
    </row>
    <row r="293" spans="1:17" x14ac:dyDescent="0.25">
      <c r="A293" s="5" t="s">
        <v>321</v>
      </c>
      <c r="B293" s="7" t="s">
        <v>20</v>
      </c>
      <c r="C293" s="7" t="s">
        <v>1034</v>
      </c>
      <c r="D293" s="7" t="s">
        <v>21</v>
      </c>
      <c r="E293" s="7" t="s">
        <v>25</v>
      </c>
      <c r="F293" s="7" t="s">
        <v>22</v>
      </c>
      <c r="G293" s="9">
        <v>27.85</v>
      </c>
      <c r="H293" s="13">
        <v>7</v>
      </c>
      <c r="I293" s="17">
        <v>9.7475000000000005</v>
      </c>
      <c r="J293" s="9">
        <v>204.69749999999999</v>
      </c>
      <c r="K293" s="21">
        <v>43538</v>
      </c>
      <c r="L293" s="3">
        <v>0.72222222222222221</v>
      </c>
      <c r="M293" s="7" t="s">
        <v>18</v>
      </c>
      <c r="N293" s="19">
        <v>194.95</v>
      </c>
      <c r="O293" s="15">
        <v>4.7619047620000003</v>
      </c>
      <c r="P293" s="9">
        <v>9.7475000000000005</v>
      </c>
      <c r="Q293" s="11">
        <v>6</v>
      </c>
    </row>
    <row r="294" spans="1:17" x14ac:dyDescent="0.25">
      <c r="A294" s="5" t="s">
        <v>322</v>
      </c>
      <c r="B294" s="7" t="s">
        <v>13</v>
      </c>
      <c r="C294" s="7" t="s">
        <v>14</v>
      </c>
      <c r="D294" s="7" t="s">
        <v>15</v>
      </c>
      <c r="E294" s="7" t="s">
        <v>16</v>
      </c>
      <c r="F294" s="7" t="s">
        <v>22</v>
      </c>
      <c r="G294" s="9">
        <v>62.48</v>
      </c>
      <c r="H294" s="13">
        <v>1</v>
      </c>
      <c r="I294" s="17">
        <v>3.1240000000000001</v>
      </c>
      <c r="J294" s="9">
        <v>65.603999999999999</v>
      </c>
      <c r="K294" s="21">
        <v>43514</v>
      </c>
      <c r="L294" s="3">
        <v>0.85347222222222219</v>
      </c>
      <c r="M294" s="7" t="s">
        <v>23</v>
      </c>
      <c r="N294" s="19">
        <v>62.48</v>
      </c>
      <c r="O294" s="15">
        <v>4.7619047620000003</v>
      </c>
      <c r="P294" s="9">
        <v>3.1240000000000001</v>
      </c>
      <c r="Q294" s="11">
        <v>4.7</v>
      </c>
    </row>
    <row r="295" spans="1:17" x14ac:dyDescent="0.25">
      <c r="A295" s="5" t="s">
        <v>323</v>
      </c>
      <c r="B295" s="7" t="s">
        <v>13</v>
      </c>
      <c r="C295" s="7" t="s">
        <v>14</v>
      </c>
      <c r="D295" s="7" t="s">
        <v>15</v>
      </c>
      <c r="E295" s="7" t="s">
        <v>16</v>
      </c>
      <c r="F295" s="7" t="s">
        <v>38</v>
      </c>
      <c r="G295" s="9">
        <v>36.36</v>
      </c>
      <c r="H295" s="13">
        <v>2</v>
      </c>
      <c r="I295" s="17">
        <v>3.6360000000000001</v>
      </c>
      <c r="J295" s="9">
        <v>76.355999999999995</v>
      </c>
      <c r="K295" s="21">
        <v>43486</v>
      </c>
      <c r="L295" s="3">
        <v>0.41666666666666669</v>
      </c>
      <c r="M295" s="7" t="s">
        <v>23</v>
      </c>
      <c r="N295" s="19">
        <v>72.72</v>
      </c>
      <c r="O295" s="15">
        <v>4.7619047620000003</v>
      </c>
      <c r="P295" s="9">
        <v>3.6360000000000001</v>
      </c>
      <c r="Q295" s="11">
        <v>7.1</v>
      </c>
    </row>
    <row r="296" spans="1:17" x14ac:dyDescent="0.25">
      <c r="A296" s="5" t="s">
        <v>324</v>
      </c>
      <c r="B296" s="7" t="s">
        <v>36</v>
      </c>
      <c r="C296" s="7" t="s">
        <v>37</v>
      </c>
      <c r="D296" s="7" t="s">
        <v>21</v>
      </c>
      <c r="E296" s="7" t="s">
        <v>25</v>
      </c>
      <c r="F296" s="7" t="s">
        <v>17</v>
      </c>
      <c r="G296" s="9">
        <v>18.11</v>
      </c>
      <c r="H296" s="13">
        <v>10</v>
      </c>
      <c r="I296" s="17">
        <v>9.0549999999999997</v>
      </c>
      <c r="J296" s="9">
        <v>190.155</v>
      </c>
      <c r="K296" s="21">
        <v>43537</v>
      </c>
      <c r="L296" s="3">
        <v>0.49027777777777776</v>
      </c>
      <c r="M296" s="7" t="s">
        <v>18</v>
      </c>
      <c r="N296" s="19">
        <v>181.1</v>
      </c>
      <c r="O296" s="15">
        <v>4.7619047620000003</v>
      </c>
      <c r="P296" s="9">
        <v>9.0549999999999997</v>
      </c>
      <c r="Q296" s="11">
        <v>5.9</v>
      </c>
    </row>
    <row r="297" spans="1:17" x14ac:dyDescent="0.25">
      <c r="A297" s="5" t="s">
        <v>325</v>
      </c>
      <c r="B297" s="7" t="s">
        <v>20</v>
      </c>
      <c r="C297" s="7" t="s">
        <v>1034</v>
      </c>
      <c r="D297" s="7" t="s">
        <v>15</v>
      </c>
      <c r="E297" s="7" t="s">
        <v>16</v>
      </c>
      <c r="F297" s="7" t="s">
        <v>22</v>
      </c>
      <c r="G297" s="9">
        <v>51.92</v>
      </c>
      <c r="H297" s="13">
        <v>5</v>
      </c>
      <c r="I297" s="17">
        <v>12.98</v>
      </c>
      <c r="J297" s="9">
        <v>272.58</v>
      </c>
      <c r="K297" s="21">
        <v>43527</v>
      </c>
      <c r="L297" s="3">
        <v>0.5708333333333333</v>
      </c>
      <c r="M297" s="7" t="s">
        <v>23</v>
      </c>
      <c r="N297" s="19">
        <v>259.60000000000002</v>
      </c>
      <c r="O297" s="15">
        <v>4.7619047620000003</v>
      </c>
      <c r="P297" s="9">
        <v>12.98</v>
      </c>
      <c r="Q297" s="11">
        <v>7.5</v>
      </c>
    </row>
    <row r="298" spans="1:17" x14ac:dyDescent="0.25">
      <c r="A298" s="5" t="s">
        <v>326</v>
      </c>
      <c r="B298" s="7" t="s">
        <v>20</v>
      </c>
      <c r="C298" s="7" t="s">
        <v>1034</v>
      </c>
      <c r="D298" s="7" t="s">
        <v>21</v>
      </c>
      <c r="E298" s="7" t="s">
        <v>25</v>
      </c>
      <c r="F298" s="7" t="s">
        <v>22</v>
      </c>
      <c r="G298" s="9">
        <v>28.84</v>
      </c>
      <c r="H298" s="13">
        <v>4</v>
      </c>
      <c r="I298" s="17">
        <v>5.7679999999999998</v>
      </c>
      <c r="J298" s="9">
        <v>121.128</v>
      </c>
      <c r="K298" s="21">
        <v>43553</v>
      </c>
      <c r="L298" s="3">
        <v>0.61388888888888893</v>
      </c>
      <c r="M298" s="7" t="s">
        <v>23</v>
      </c>
      <c r="N298" s="19">
        <v>115.36</v>
      </c>
      <c r="O298" s="15">
        <v>4.7619047620000003</v>
      </c>
      <c r="P298" s="9">
        <v>5.7679999999999998</v>
      </c>
      <c r="Q298" s="11">
        <v>6.4</v>
      </c>
    </row>
    <row r="299" spans="1:17" x14ac:dyDescent="0.25">
      <c r="A299" s="5" t="s">
        <v>327</v>
      </c>
      <c r="B299" s="7" t="s">
        <v>13</v>
      </c>
      <c r="C299" s="7" t="s">
        <v>14</v>
      </c>
      <c r="D299" s="7" t="s">
        <v>15</v>
      </c>
      <c r="E299" s="7" t="s">
        <v>25</v>
      </c>
      <c r="F299" s="7" t="s">
        <v>26</v>
      </c>
      <c r="G299" s="9">
        <v>78.38</v>
      </c>
      <c r="H299" s="13">
        <v>6</v>
      </c>
      <c r="I299" s="17">
        <v>23.513999999999999</v>
      </c>
      <c r="J299" s="9">
        <v>493.79399999999998</v>
      </c>
      <c r="K299" s="21">
        <v>43475</v>
      </c>
      <c r="L299" s="3">
        <v>0.59444444444444444</v>
      </c>
      <c r="M299" s="7" t="s">
        <v>18</v>
      </c>
      <c r="N299" s="19">
        <v>470.28</v>
      </c>
      <c r="O299" s="15">
        <v>4.7619047620000003</v>
      </c>
      <c r="P299" s="9">
        <v>23.513999999999999</v>
      </c>
      <c r="Q299" s="11">
        <v>5.8</v>
      </c>
    </row>
    <row r="300" spans="1:17" x14ac:dyDescent="0.25">
      <c r="A300" s="5" t="s">
        <v>328</v>
      </c>
      <c r="B300" s="7" t="s">
        <v>13</v>
      </c>
      <c r="C300" s="7" t="s">
        <v>14</v>
      </c>
      <c r="D300" s="7" t="s">
        <v>15</v>
      </c>
      <c r="E300" s="7" t="s">
        <v>25</v>
      </c>
      <c r="F300" s="7" t="s">
        <v>26</v>
      </c>
      <c r="G300" s="9">
        <v>60.01</v>
      </c>
      <c r="H300" s="13">
        <v>4</v>
      </c>
      <c r="I300" s="17">
        <v>12.002000000000001</v>
      </c>
      <c r="J300" s="9">
        <v>252.042</v>
      </c>
      <c r="K300" s="21">
        <v>43490</v>
      </c>
      <c r="L300" s="3">
        <v>0.66249999999999998</v>
      </c>
      <c r="M300" s="7" t="s">
        <v>23</v>
      </c>
      <c r="N300" s="19">
        <v>240.04</v>
      </c>
      <c r="O300" s="15">
        <v>4.7619047620000003</v>
      </c>
      <c r="P300" s="9">
        <v>12.002000000000001</v>
      </c>
      <c r="Q300" s="11">
        <v>4.5</v>
      </c>
    </row>
    <row r="301" spans="1:17" x14ac:dyDescent="0.25">
      <c r="A301" s="5" t="s">
        <v>329</v>
      </c>
      <c r="B301" s="7" t="s">
        <v>20</v>
      </c>
      <c r="C301" s="7" t="s">
        <v>1034</v>
      </c>
      <c r="D301" s="7" t="s">
        <v>15</v>
      </c>
      <c r="E301" s="7" t="s">
        <v>16</v>
      </c>
      <c r="F301" s="7" t="s">
        <v>26</v>
      </c>
      <c r="G301" s="9">
        <v>88.61</v>
      </c>
      <c r="H301" s="13">
        <v>1</v>
      </c>
      <c r="I301" s="17">
        <v>4.4305000000000003</v>
      </c>
      <c r="J301" s="9">
        <v>93.040499999999994</v>
      </c>
      <c r="K301" s="21">
        <v>43484</v>
      </c>
      <c r="L301" s="3">
        <v>0.43125000000000002</v>
      </c>
      <c r="M301" s="7" t="s">
        <v>23</v>
      </c>
      <c r="N301" s="19">
        <v>88.61</v>
      </c>
      <c r="O301" s="15">
        <v>4.7619047620000003</v>
      </c>
      <c r="P301" s="9">
        <v>4.4305000000000003</v>
      </c>
      <c r="Q301" s="11">
        <v>7.7</v>
      </c>
    </row>
    <row r="302" spans="1:17" x14ac:dyDescent="0.25">
      <c r="A302" s="5" t="s">
        <v>330</v>
      </c>
      <c r="B302" s="7" t="s">
        <v>20</v>
      </c>
      <c r="C302" s="7" t="s">
        <v>1034</v>
      </c>
      <c r="D302" s="7" t="s">
        <v>21</v>
      </c>
      <c r="E302" s="7" t="s">
        <v>25</v>
      </c>
      <c r="F302" s="7" t="s">
        <v>40</v>
      </c>
      <c r="G302" s="9">
        <v>99.82</v>
      </c>
      <c r="H302" s="13">
        <v>2</v>
      </c>
      <c r="I302" s="17">
        <v>9.9819999999999993</v>
      </c>
      <c r="J302" s="9">
        <v>209.62200000000001</v>
      </c>
      <c r="K302" s="21">
        <v>43467</v>
      </c>
      <c r="L302" s="3">
        <v>0.75624999999999998</v>
      </c>
      <c r="M302" s="7" t="s">
        <v>27</v>
      </c>
      <c r="N302" s="19">
        <v>199.64</v>
      </c>
      <c r="O302" s="15">
        <v>4.7619047620000003</v>
      </c>
      <c r="P302" s="9">
        <v>9.9819999999999993</v>
      </c>
      <c r="Q302" s="11">
        <v>6.7</v>
      </c>
    </row>
    <row r="303" spans="1:17" x14ac:dyDescent="0.25">
      <c r="A303" s="5" t="s">
        <v>331</v>
      </c>
      <c r="B303" s="7" t="s">
        <v>36</v>
      </c>
      <c r="C303" s="7" t="s">
        <v>37</v>
      </c>
      <c r="D303" s="7" t="s">
        <v>15</v>
      </c>
      <c r="E303" s="7" t="s">
        <v>25</v>
      </c>
      <c r="F303" s="7" t="s">
        <v>17</v>
      </c>
      <c r="G303" s="9">
        <v>39.01</v>
      </c>
      <c r="H303" s="13">
        <v>1</v>
      </c>
      <c r="I303" s="17">
        <v>1.9504999999999999</v>
      </c>
      <c r="J303" s="9">
        <v>40.960500000000003</v>
      </c>
      <c r="K303" s="21">
        <v>43536</v>
      </c>
      <c r="L303" s="3">
        <v>0.69861111111111107</v>
      </c>
      <c r="M303" s="7" t="s">
        <v>27</v>
      </c>
      <c r="N303" s="19">
        <v>39.01</v>
      </c>
      <c r="O303" s="15">
        <v>4.7619047620000003</v>
      </c>
      <c r="P303" s="9">
        <v>1.9504999999999999</v>
      </c>
      <c r="Q303" s="11">
        <v>4.7</v>
      </c>
    </row>
    <row r="304" spans="1:17" x14ac:dyDescent="0.25">
      <c r="A304" s="5" t="s">
        <v>332</v>
      </c>
      <c r="B304" s="7" t="s">
        <v>20</v>
      </c>
      <c r="C304" s="7" t="s">
        <v>1034</v>
      </c>
      <c r="D304" s="7" t="s">
        <v>21</v>
      </c>
      <c r="E304" s="7" t="s">
        <v>25</v>
      </c>
      <c r="F304" s="7" t="s">
        <v>38</v>
      </c>
      <c r="G304" s="9">
        <v>48.61</v>
      </c>
      <c r="H304" s="13">
        <v>1</v>
      </c>
      <c r="I304" s="17">
        <v>2.4304999999999999</v>
      </c>
      <c r="J304" s="9">
        <v>51.040500000000002</v>
      </c>
      <c r="K304" s="21">
        <v>43521</v>
      </c>
      <c r="L304" s="3">
        <v>0.64652777777777781</v>
      </c>
      <c r="M304" s="7" t="s">
        <v>23</v>
      </c>
      <c r="N304" s="19">
        <v>48.61</v>
      </c>
      <c r="O304" s="15">
        <v>4.7619047620000003</v>
      </c>
      <c r="P304" s="9">
        <v>2.4304999999999999</v>
      </c>
      <c r="Q304" s="11">
        <v>4.4000000000000004</v>
      </c>
    </row>
    <row r="305" spans="1:17" x14ac:dyDescent="0.25">
      <c r="A305" s="5" t="s">
        <v>333</v>
      </c>
      <c r="B305" s="7" t="s">
        <v>13</v>
      </c>
      <c r="C305" s="7" t="s">
        <v>14</v>
      </c>
      <c r="D305" s="7" t="s">
        <v>21</v>
      </c>
      <c r="E305" s="7" t="s">
        <v>16</v>
      </c>
      <c r="F305" s="7" t="s">
        <v>22</v>
      </c>
      <c r="G305" s="9">
        <v>51.19</v>
      </c>
      <c r="H305" s="13">
        <v>4</v>
      </c>
      <c r="I305" s="17">
        <v>10.238</v>
      </c>
      <c r="J305" s="9">
        <v>214.99799999999999</v>
      </c>
      <c r="K305" s="21">
        <v>43542</v>
      </c>
      <c r="L305" s="3">
        <v>0.71875</v>
      </c>
      <c r="M305" s="7" t="s">
        <v>27</v>
      </c>
      <c r="N305" s="19">
        <v>204.76</v>
      </c>
      <c r="O305" s="15">
        <v>4.7619047620000003</v>
      </c>
      <c r="P305" s="9">
        <v>10.238</v>
      </c>
      <c r="Q305" s="11">
        <v>4.7</v>
      </c>
    </row>
    <row r="306" spans="1:17" x14ac:dyDescent="0.25">
      <c r="A306" s="5" t="s">
        <v>334</v>
      </c>
      <c r="B306" s="7" t="s">
        <v>36</v>
      </c>
      <c r="C306" s="7" t="s">
        <v>37</v>
      </c>
      <c r="D306" s="7" t="s">
        <v>21</v>
      </c>
      <c r="E306" s="7" t="s">
        <v>16</v>
      </c>
      <c r="F306" s="7" t="s">
        <v>22</v>
      </c>
      <c r="G306" s="9">
        <v>14.96</v>
      </c>
      <c r="H306" s="13">
        <v>8</v>
      </c>
      <c r="I306" s="17">
        <v>5.984</v>
      </c>
      <c r="J306" s="9">
        <v>125.664</v>
      </c>
      <c r="K306" s="21">
        <v>43519</v>
      </c>
      <c r="L306" s="3">
        <v>0.52013888888888893</v>
      </c>
      <c r="M306" s="7" t="s">
        <v>23</v>
      </c>
      <c r="N306" s="19">
        <v>119.68</v>
      </c>
      <c r="O306" s="15">
        <v>4.7619047620000003</v>
      </c>
      <c r="P306" s="9">
        <v>5.984</v>
      </c>
      <c r="Q306" s="11">
        <v>8.6</v>
      </c>
    </row>
    <row r="307" spans="1:17" x14ac:dyDescent="0.25">
      <c r="A307" s="5" t="s">
        <v>335</v>
      </c>
      <c r="B307" s="7" t="s">
        <v>13</v>
      </c>
      <c r="C307" s="7" t="s">
        <v>14</v>
      </c>
      <c r="D307" s="7" t="s">
        <v>15</v>
      </c>
      <c r="E307" s="7" t="s">
        <v>25</v>
      </c>
      <c r="F307" s="7" t="s">
        <v>22</v>
      </c>
      <c r="G307" s="9">
        <v>72.2</v>
      </c>
      <c r="H307" s="13">
        <v>7</v>
      </c>
      <c r="I307" s="17">
        <v>25.27</v>
      </c>
      <c r="J307" s="9">
        <v>530.66999999999996</v>
      </c>
      <c r="K307" s="21">
        <v>43550</v>
      </c>
      <c r="L307" s="3">
        <v>0.84305555555555556</v>
      </c>
      <c r="M307" s="7" t="s">
        <v>18</v>
      </c>
      <c r="N307" s="19">
        <v>505.4</v>
      </c>
      <c r="O307" s="15">
        <v>4.7619047620000003</v>
      </c>
      <c r="P307" s="9">
        <v>25.27</v>
      </c>
      <c r="Q307" s="11">
        <v>4.3</v>
      </c>
    </row>
    <row r="308" spans="1:17" x14ac:dyDescent="0.25">
      <c r="A308" s="5" t="s">
        <v>336</v>
      </c>
      <c r="B308" s="7" t="s">
        <v>13</v>
      </c>
      <c r="C308" s="7" t="s">
        <v>14</v>
      </c>
      <c r="D308" s="7" t="s">
        <v>21</v>
      </c>
      <c r="E308" s="7" t="s">
        <v>16</v>
      </c>
      <c r="F308" s="7" t="s">
        <v>30</v>
      </c>
      <c r="G308" s="9">
        <v>40.229999999999997</v>
      </c>
      <c r="H308" s="13">
        <v>7</v>
      </c>
      <c r="I308" s="17">
        <v>14.080500000000001</v>
      </c>
      <c r="J308" s="9">
        <v>295.69049999999999</v>
      </c>
      <c r="K308" s="21">
        <v>43554</v>
      </c>
      <c r="L308" s="3">
        <v>0.55694444444444446</v>
      </c>
      <c r="M308" s="7" t="s">
        <v>23</v>
      </c>
      <c r="N308" s="19">
        <v>281.61</v>
      </c>
      <c r="O308" s="15">
        <v>4.7619047620000003</v>
      </c>
      <c r="P308" s="9">
        <v>14.080500000000001</v>
      </c>
      <c r="Q308" s="11">
        <v>9.6</v>
      </c>
    </row>
    <row r="309" spans="1:17" x14ac:dyDescent="0.25">
      <c r="A309" s="5" t="s">
        <v>337</v>
      </c>
      <c r="B309" s="7" t="s">
        <v>13</v>
      </c>
      <c r="C309" s="7" t="s">
        <v>14</v>
      </c>
      <c r="D309" s="7" t="s">
        <v>15</v>
      </c>
      <c r="E309" s="7" t="s">
        <v>16</v>
      </c>
      <c r="F309" s="7" t="s">
        <v>26</v>
      </c>
      <c r="G309" s="9">
        <v>88.79</v>
      </c>
      <c r="H309" s="13">
        <v>8</v>
      </c>
      <c r="I309" s="17">
        <v>35.515999999999998</v>
      </c>
      <c r="J309" s="9">
        <v>745.83600000000001</v>
      </c>
      <c r="K309" s="21">
        <v>43513</v>
      </c>
      <c r="L309" s="3">
        <v>0.71458333333333335</v>
      </c>
      <c r="M309" s="7" t="s">
        <v>23</v>
      </c>
      <c r="N309" s="19">
        <v>710.32</v>
      </c>
      <c r="O309" s="15">
        <v>4.7619047620000003</v>
      </c>
      <c r="P309" s="9">
        <v>35.515999999999998</v>
      </c>
      <c r="Q309" s="11">
        <v>4.0999999999999996</v>
      </c>
    </row>
    <row r="310" spans="1:17" x14ac:dyDescent="0.25">
      <c r="A310" s="5" t="s">
        <v>338</v>
      </c>
      <c r="B310" s="7" t="s">
        <v>13</v>
      </c>
      <c r="C310" s="7" t="s">
        <v>14</v>
      </c>
      <c r="D310" s="7" t="s">
        <v>15</v>
      </c>
      <c r="E310" s="7" t="s">
        <v>16</v>
      </c>
      <c r="F310" s="7" t="s">
        <v>22</v>
      </c>
      <c r="G310" s="9">
        <v>26.48</v>
      </c>
      <c r="H310" s="13">
        <v>3</v>
      </c>
      <c r="I310" s="17">
        <v>3.972</v>
      </c>
      <c r="J310" s="9">
        <v>83.412000000000006</v>
      </c>
      <c r="K310" s="21">
        <v>43545</v>
      </c>
      <c r="L310" s="3">
        <v>0.44444444444444442</v>
      </c>
      <c r="M310" s="7" t="s">
        <v>18</v>
      </c>
      <c r="N310" s="19">
        <v>79.44</v>
      </c>
      <c r="O310" s="15">
        <v>4.7619047620000003</v>
      </c>
      <c r="P310" s="9">
        <v>3.972</v>
      </c>
      <c r="Q310" s="11">
        <v>4.7</v>
      </c>
    </row>
    <row r="311" spans="1:17" x14ac:dyDescent="0.25">
      <c r="A311" s="5" t="s">
        <v>339</v>
      </c>
      <c r="B311" s="7" t="s">
        <v>13</v>
      </c>
      <c r="C311" s="7" t="s">
        <v>14</v>
      </c>
      <c r="D311" s="7" t="s">
        <v>21</v>
      </c>
      <c r="E311" s="7" t="s">
        <v>16</v>
      </c>
      <c r="F311" s="7" t="s">
        <v>40</v>
      </c>
      <c r="G311" s="9">
        <v>81.91</v>
      </c>
      <c r="H311" s="13">
        <v>2</v>
      </c>
      <c r="I311" s="17">
        <v>8.1910000000000007</v>
      </c>
      <c r="J311" s="9">
        <v>172.011</v>
      </c>
      <c r="K311" s="21">
        <v>43529</v>
      </c>
      <c r="L311" s="3">
        <v>0.73819444444444449</v>
      </c>
      <c r="M311" s="7" t="s">
        <v>23</v>
      </c>
      <c r="N311" s="19">
        <v>163.82</v>
      </c>
      <c r="O311" s="15">
        <v>4.7619047620000003</v>
      </c>
      <c r="P311" s="9">
        <v>8.1910000000000007</v>
      </c>
      <c r="Q311" s="11">
        <v>7.8</v>
      </c>
    </row>
    <row r="312" spans="1:17" x14ac:dyDescent="0.25">
      <c r="A312" s="5" t="s">
        <v>340</v>
      </c>
      <c r="B312" s="7" t="s">
        <v>36</v>
      </c>
      <c r="C312" s="7" t="s">
        <v>37</v>
      </c>
      <c r="D312" s="7" t="s">
        <v>15</v>
      </c>
      <c r="E312" s="7" t="s">
        <v>25</v>
      </c>
      <c r="F312" s="7" t="s">
        <v>30</v>
      </c>
      <c r="G312" s="9">
        <v>79.930000000000007</v>
      </c>
      <c r="H312" s="13">
        <v>6</v>
      </c>
      <c r="I312" s="17">
        <v>23.978999999999999</v>
      </c>
      <c r="J312" s="9">
        <v>503.55900000000003</v>
      </c>
      <c r="K312" s="21">
        <v>43496</v>
      </c>
      <c r="L312" s="3">
        <v>0.58611111111111114</v>
      </c>
      <c r="M312" s="7" t="s">
        <v>23</v>
      </c>
      <c r="N312" s="19">
        <v>479.58</v>
      </c>
      <c r="O312" s="15">
        <v>4.7619047620000003</v>
      </c>
      <c r="P312" s="9">
        <v>23.978999999999999</v>
      </c>
      <c r="Q312" s="11">
        <v>5.5</v>
      </c>
    </row>
    <row r="313" spans="1:17" x14ac:dyDescent="0.25">
      <c r="A313" s="5" t="s">
        <v>341</v>
      </c>
      <c r="B313" s="7" t="s">
        <v>20</v>
      </c>
      <c r="C313" s="7" t="s">
        <v>1034</v>
      </c>
      <c r="D313" s="7" t="s">
        <v>15</v>
      </c>
      <c r="E313" s="7" t="s">
        <v>25</v>
      </c>
      <c r="F313" s="7" t="s">
        <v>40</v>
      </c>
      <c r="G313" s="9">
        <v>69.33</v>
      </c>
      <c r="H313" s="13">
        <v>2</v>
      </c>
      <c r="I313" s="17">
        <v>6.9329999999999998</v>
      </c>
      <c r="J313" s="9">
        <v>145.59299999999999</v>
      </c>
      <c r="K313" s="21">
        <v>43501</v>
      </c>
      <c r="L313" s="3">
        <v>0.79513888888888884</v>
      </c>
      <c r="M313" s="7" t="s">
        <v>18</v>
      </c>
      <c r="N313" s="19">
        <v>138.66</v>
      </c>
      <c r="O313" s="15">
        <v>4.7619047620000003</v>
      </c>
      <c r="P313" s="9">
        <v>6.9329999999999998</v>
      </c>
      <c r="Q313" s="11">
        <v>9.6999999999999993</v>
      </c>
    </row>
    <row r="314" spans="1:17" x14ac:dyDescent="0.25">
      <c r="A314" s="5" t="s">
        <v>342</v>
      </c>
      <c r="B314" s="7" t="s">
        <v>13</v>
      </c>
      <c r="C314" s="7" t="s">
        <v>14</v>
      </c>
      <c r="D314" s="7" t="s">
        <v>15</v>
      </c>
      <c r="E314" s="7" t="s">
        <v>16</v>
      </c>
      <c r="F314" s="7" t="s">
        <v>38</v>
      </c>
      <c r="G314" s="9">
        <v>14.23</v>
      </c>
      <c r="H314" s="13">
        <v>5</v>
      </c>
      <c r="I314" s="17">
        <v>3.5575000000000001</v>
      </c>
      <c r="J314" s="9">
        <v>74.707499999999996</v>
      </c>
      <c r="K314" s="21">
        <v>43497</v>
      </c>
      <c r="L314" s="3">
        <v>0.42222222222222222</v>
      </c>
      <c r="M314" s="7" t="s">
        <v>27</v>
      </c>
      <c r="N314" s="19">
        <v>71.150000000000006</v>
      </c>
      <c r="O314" s="15">
        <v>4.7619047620000003</v>
      </c>
      <c r="P314" s="9">
        <v>3.5575000000000001</v>
      </c>
      <c r="Q314" s="11">
        <v>4.4000000000000004</v>
      </c>
    </row>
    <row r="315" spans="1:17" x14ac:dyDescent="0.25">
      <c r="A315" s="5" t="s">
        <v>343</v>
      </c>
      <c r="B315" s="7" t="s">
        <v>13</v>
      </c>
      <c r="C315" s="7" t="s">
        <v>14</v>
      </c>
      <c r="D315" s="7" t="s">
        <v>15</v>
      </c>
      <c r="E315" s="7" t="s">
        <v>16</v>
      </c>
      <c r="F315" s="7" t="s">
        <v>17</v>
      </c>
      <c r="G315" s="9">
        <v>15.55</v>
      </c>
      <c r="H315" s="13">
        <v>9</v>
      </c>
      <c r="I315" s="17">
        <v>6.9974999999999996</v>
      </c>
      <c r="J315" s="9">
        <v>146.94749999999999</v>
      </c>
      <c r="K315" s="21">
        <v>43531</v>
      </c>
      <c r="L315" s="3">
        <v>0.55000000000000004</v>
      </c>
      <c r="M315" s="7" t="s">
        <v>23</v>
      </c>
      <c r="N315" s="19">
        <v>139.94999999999999</v>
      </c>
      <c r="O315" s="15">
        <v>4.7619047620000003</v>
      </c>
      <c r="P315" s="9">
        <v>6.9974999999999996</v>
      </c>
      <c r="Q315" s="11">
        <v>5</v>
      </c>
    </row>
    <row r="316" spans="1:17" x14ac:dyDescent="0.25">
      <c r="A316" s="5" t="s">
        <v>344</v>
      </c>
      <c r="B316" s="7" t="s">
        <v>20</v>
      </c>
      <c r="C316" s="7" t="s">
        <v>1034</v>
      </c>
      <c r="D316" s="7" t="s">
        <v>15</v>
      </c>
      <c r="E316" s="7" t="s">
        <v>16</v>
      </c>
      <c r="F316" s="7" t="s">
        <v>22</v>
      </c>
      <c r="G316" s="9">
        <v>78.13</v>
      </c>
      <c r="H316" s="13">
        <v>10</v>
      </c>
      <c r="I316" s="17">
        <v>39.064999999999998</v>
      </c>
      <c r="J316" s="9">
        <v>820.36500000000001</v>
      </c>
      <c r="K316" s="21">
        <v>43506</v>
      </c>
      <c r="L316" s="3">
        <v>0.86875000000000002</v>
      </c>
      <c r="M316" s="7" t="s">
        <v>23</v>
      </c>
      <c r="N316" s="19">
        <v>781.3</v>
      </c>
      <c r="O316" s="15">
        <v>4.7619047620000003</v>
      </c>
      <c r="P316" s="9">
        <v>39.064999999999998</v>
      </c>
      <c r="Q316" s="11">
        <v>4.4000000000000004</v>
      </c>
    </row>
    <row r="317" spans="1:17" x14ac:dyDescent="0.25">
      <c r="A317" s="5" t="s">
        <v>345</v>
      </c>
      <c r="B317" s="7" t="s">
        <v>20</v>
      </c>
      <c r="C317" s="7" t="s">
        <v>1034</v>
      </c>
      <c r="D317" s="7" t="s">
        <v>15</v>
      </c>
      <c r="E317" s="7" t="s">
        <v>25</v>
      </c>
      <c r="F317" s="7" t="s">
        <v>38</v>
      </c>
      <c r="G317" s="9">
        <v>99.37</v>
      </c>
      <c r="H317" s="13">
        <v>2</v>
      </c>
      <c r="I317" s="17">
        <v>9.9369999999999994</v>
      </c>
      <c r="J317" s="9">
        <v>208.67699999999999</v>
      </c>
      <c r="K317" s="21">
        <v>43510</v>
      </c>
      <c r="L317" s="3">
        <v>0.72847222222222219</v>
      </c>
      <c r="M317" s="7" t="s">
        <v>23</v>
      </c>
      <c r="N317" s="19">
        <v>198.74</v>
      </c>
      <c r="O317" s="15">
        <v>4.7619047620000003</v>
      </c>
      <c r="P317" s="9">
        <v>9.9369999999999994</v>
      </c>
      <c r="Q317" s="11">
        <v>5.2</v>
      </c>
    </row>
    <row r="318" spans="1:17" x14ac:dyDescent="0.25">
      <c r="A318" s="5" t="s">
        <v>346</v>
      </c>
      <c r="B318" s="7" t="s">
        <v>20</v>
      </c>
      <c r="C318" s="7" t="s">
        <v>1034</v>
      </c>
      <c r="D318" s="7" t="s">
        <v>15</v>
      </c>
      <c r="E318" s="7" t="s">
        <v>16</v>
      </c>
      <c r="F318" s="7" t="s">
        <v>38</v>
      </c>
      <c r="G318" s="9">
        <v>21.08</v>
      </c>
      <c r="H318" s="13">
        <v>3</v>
      </c>
      <c r="I318" s="17">
        <v>3.1619999999999999</v>
      </c>
      <c r="J318" s="9">
        <v>66.402000000000001</v>
      </c>
      <c r="K318" s="21">
        <v>43505</v>
      </c>
      <c r="L318" s="3">
        <v>0.43402777777777779</v>
      </c>
      <c r="M318" s="7" t="s">
        <v>23</v>
      </c>
      <c r="N318" s="19">
        <v>63.24</v>
      </c>
      <c r="O318" s="15">
        <v>4.7619047620000003</v>
      </c>
      <c r="P318" s="9">
        <v>3.1619999999999999</v>
      </c>
      <c r="Q318" s="11">
        <v>7.3</v>
      </c>
    </row>
    <row r="319" spans="1:17" x14ac:dyDescent="0.25">
      <c r="A319" s="5" t="s">
        <v>347</v>
      </c>
      <c r="B319" s="7" t="s">
        <v>20</v>
      </c>
      <c r="C319" s="7" t="s">
        <v>1034</v>
      </c>
      <c r="D319" s="7" t="s">
        <v>15</v>
      </c>
      <c r="E319" s="7" t="s">
        <v>25</v>
      </c>
      <c r="F319" s="7" t="s">
        <v>22</v>
      </c>
      <c r="G319" s="9">
        <v>74.790000000000006</v>
      </c>
      <c r="H319" s="13">
        <v>5</v>
      </c>
      <c r="I319" s="17">
        <v>18.697500000000002</v>
      </c>
      <c r="J319" s="9">
        <v>392.64749999999998</v>
      </c>
      <c r="K319" s="21">
        <v>43475</v>
      </c>
      <c r="L319" s="3">
        <v>0.48194444444444445</v>
      </c>
      <c r="M319" s="7" t="s">
        <v>23</v>
      </c>
      <c r="N319" s="19">
        <v>373.95</v>
      </c>
      <c r="O319" s="15">
        <v>4.7619047620000003</v>
      </c>
      <c r="P319" s="9">
        <v>18.697500000000002</v>
      </c>
      <c r="Q319" s="11">
        <v>4.9000000000000004</v>
      </c>
    </row>
    <row r="320" spans="1:17" x14ac:dyDescent="0.25">
      <c r="A320" s="5" t="s">
        <v>348</v>
      </c>
      <c r="B320" s="7" t="s">
        <v>20</v>
      </c>
      <c r="C320" s="7" t="s">
        <v>1034</v>
      </c>
      <c r="D320" s="7" t="s">
        <v>15</v>
      </c>
      <c r="E320" s="7" t="s">
        <v>16</v>
      </c>
      <c r="F320" s="7" t="s">
        <v>17</v>
      </c>
      <c r="G320" s="9">
        <v>29.67</v>
      </c>
      <c r="H320" s="13">
        <v>7</v>
      </c>
      <c r="I320" s="17">
        <v>10.384499999999999</v>
      </c>
      <c r="J320" s="9">
        <v>218.0745</v>
      </c>
      <c r="K320" s="21">
        <v>43535</v>
      </c>
      <c r="L320" s="3">
        <v>0.79027777777777775</v>
      </c>
      <c r="M320" s="7" t="s">
        <v>27</v>
      </c>
      <c r="N320" s="19">
        <v>207.69</v>
      </c>
      <c r="O320" s="15">
        <v>4.7619047620000003</v>
      </c>
      <c r="P320" s="9">
        <v>10.384499999999999</v>
      </c>
      <c r="Q320" s="11">
        <v>8.1</v>
      </c>
    </row>
    <row r="321" spans="1:17" x14ac:dyDescent="0.25">
      <c r="A321" s="5" t="s">
        <v>349</v>
      </c>
      <c r="B321" s="7" t="s">
        <v>20</v>
      </c>
      <c r="C321" s="7" t="s">
        <v>1034</v>
      </c>
      <c r="D321" s="7" t="s">
        <v>15</v>
      </c>
      <c r="E321" s="7" t="s">
        <v>25</v>
      </c>
      <c r="F321" s="7" t="s">
        <v>17</v>
      </c>
      <c r="G321" s="9">
        <v>44.07</v>
      </c>
      <c r="H321" s="13">
        <v>4</v>
      </c>
      <c r="I321" s="17">
        <v>8.8140000000000001</v>
      </c>
      <c r="J321" s="9">
        <v>185.09399999999999</v>
      </c>
      <c r="K321" s="21">
        <v>43514</v>
      </c>
      <c r="L321" s="3">
        <v>0.68611111111111112</v>
      </c>
      <c r="M321" s="7" t="s">
        <v>18</v>
      </c>
      <c r="N321" s="19">
        <v>176.28</v>
      </c>
      <c r="O321" s="15">
        <v>4.7619047620000003</v>
      </c>
      <c r="P321" s="9">
        <v>8.8140000000000001</v>
      </c>
      <c r="Q321" s="11">
        <v>8.4</v>
      </c>
    </row>
    <row r="322" spans="1:17" x14ac:dyDescent="0.25">
      <c r="A322" s="5" t="s">
        <v>350</v>
      </c>
      <c r="B322" s="7" t="s">
        <v>20</v>
      </c>
      <c r="C322" s="7" t="s">
        <v>1034</v>
      </c>
      <c r="D322" s="7" t="s">
        <v>21</v>
      </c>
      <c r="E322" s="7" t="s">
        <v>16</v>
      </c>
      <c r="F322" s="7" t="s">
        <v>38</v>
      </c>
      <c r="G322" s="9">
        <v>22.93</v>
      </c>
      <c r="H322" s="13">
        <v>9</v>
      </c>
      <c r="I322" s="17">
        <v>10.3185</v>
      </c>
      <c r="J322" s="9">
        <v>216.6885</v>
      </c>
      <c r="K322" s="21">
        <v>43522</v>
      </c>
      <c r="L322" s="3">
        <v>0.85138888888888886</v>
      </c>
      <c r="M322" s="7" t="s">
        <v>23</v>
      </c>
      <c r="N322" s="19">
        <v>206.37</v>
      </c>
      <c r="O322" s="15">
        <v>4.7619047620000003</v>
      </c>
      <c r="P322" s="9">
        <v>10.3185</v>
      </c>
      <c r="Q322" s="11">
        <v>5.5</v>
      </c>
    </row>
    <row r="323" spans="1:17" x14ac:dyDescent="0.25">
      <c r="A323" s="5" t="s">
        <v>351</v>
      </c>
      <c r="B323" s="7" t="s">
        <v>20</v>
      </c>
      <c r="C323" s="7" t="s">
        <v>1034</v>
      </c>
      <c r="D323" s="7" t="s">
        <v>21</v>
      </c>
      <c r="E323" s="7" t="s">
        <v>16</v>
      </c>
      <c r="F323" s="7" t="s">
        <v>17</v>
      </c>
      <c r="G323" s="9">
        <v>39.42</v>
      </c>
      <c r="H323" s="13">
        <v>1</v>
      </c>
      <c r="I323" s="17">
        <v>1.9710000000000001</v>
      </c>
      <c r="J323" s="9">
        <v>41.390999999999998</v>
      </c>
      <c r="K323" s="21">
        <v>43483</v>
      </c>
      <c r="L323" s="3">
        <v>0.63055555555555554</v>
      </c>
      <c r="M323" s="7" t="s">
        <v>23</v>
      </c>
      <c r="N323" s="19">
        <v>39.42</v>
      </c>
      <c r="O323" s="15">
        <v>4.7619047620000003</v>
      </c>
      <c r="P323" s="9">
        <v>1.9710000000000001</v>
      </c>
      <c r="Q323" s="11">
        <v>8.4</v>
      </c>
    </row>
    <row r="324" spans="1:17" x14ac:dyDescent="0.25">
      <c r="A324" s="5" t="s">
        <v>352</v>
      </c>
      <c r="B324" s="7" t="s">
        <v>13</v>
      </c>
      <c r="C324" s="7" t="s">
        <v>14</v>
      </c>
      <c r="D324" s="7" t="s">
        <v>21</v>
      </c>
      <c r="E324" s="7" t="s">
        <v>25</v>
      </c>
      <c r="F324" s="7" t="s">
        <v>17</v>
      </c>
      <c r="G324" s="9">
        <v>15.26</v>
      </c>
      <c r="H324" s="13">
        <v>6</v>
      </c>
      <c r="I324" s="17">
        <v>4.5780000000000003</v>
      </c>
      <c r="J324" s="9">
        <v>96.138000000000005</v>
      </c>
      <c r="K324" s="21">
        <v>43511</v>
      </c>
      <c r="L324" s="3">
        <v>0.75208333333333333</v>
      </c>
      <c r="M324" s="7" t="s">
        <v>18</v>
      </c>
      <c r="N324" s="19">
        <v>91.56</v>
      </c>
      <c r="O324" s="15">
        <v>4.7619047620000003</v>
      </c>
      <c r="P324" s="9">
        <v>4.5780000000000003</v>
      </c>
      <c r="Q324" s="11">
        <v>9.8000000000000007</v>
      </c>
    </row>
    <row r="325" spans="1:17" x14ac:dyDescent="0.25">
      <c r="A325" s="5" t="s">
        <v>353</v>
      </c>
      <c r="B325" s="7" t="s">
        <v>13</v>
      </c>
      <c r="C325" s="7" t="s">
        <v>14</v>
      </c>
      <c r="D325" s="7" t="s">
        <v>21</v>
      </c>
      <c r="E325" s="7" t="s">
        <v>16</v>
      </c>
      <c r="F325" s="7" t="s">
        <v>40</v>
      </c>
      <c r="G325" s="9">
        <v>61.77</v>
      </c>
      <c r="H325" s="13">
        <v>5</v>
      </c>
      <c r="I325" s="17">
        <v>15.442500000000001</v>
      </c>
      <c r="J325" s="9">
        <v>324.29250000000002</v>
      </c>
      <c r="K325" s="21">
        <v>43532</v>
      </c>
      <c r="L325" s="3">
        <v>0.55625000000000002</v>
      </c>
      <c r="M325" s="7" t="s">
        <v>23</v>
      </c>
      <c r="N325" s="19">
        <v>308.85000000000002</v>
      </c>
      <c r="O325" s="15">
        <v>4.7619047620000003</v>
      </c>
      <c r="P325" s="9">
        <v>15.442500000000001</v>
      </c>
      <c r="Q325" s="11">
        <v>6.7</v>
      </c>
    </row>
    <row r="326" spans="1:17" x14ac:dyDescent="0.25">
      <c r="A326" s="5" t="s">
        <v>354</v>
      </c>
      <c r="B326" s="7" t="s">
        <v>13</v>
      </c>
      <c r="C326" s="7" t="s">
        <v>14</v>
      </c>
      <c r="D326" s="7" t="s">
        <v>21</v>
      </c>
      <c r="E326" s="7" t="s">
        <v>25</v>
      </c>
      <c r="F326" s="7" t="s">
        <v>26</v>
      </c>
      <c r="G326" s="9">
        <v>21.52</v>
      </c>
      <c r="H326" s="13">
        <v>6</v>
      </c>
      <c r="I326" s="17">
        <v>6.4560000000000004</v>
      </c>
      <c r="J326" s="9">
        <v>135.57599999999999</v>
      </c>
      <c r="K326" s="21">
        <v>43482</v>
      </c>
      <c r="L326" s="3">
        <v>0.53333333333333333</v>
      </c>
      <c r="M326" s="7" t="s">
        <v>27</v>
      </c>
      <c r="N326" s="19">
        <v>129.12</v>
      </c>
      <c r="O326" s="15">
        <v>4.7619047620000003</v>
      </c>
      <c r="P326" s="9">
        <v>6.4560000000000004</v>
      </c>
      <c r="Q326" s="11">
        <v>9.4</v>
      </c>
    </row>
    <row r="327" spans="1:17" x14ac:dyDescent="0.25">
      <c r="A327" s="5" t="s">
        <v>355</v>
      </c>
      <c r="B327" s="7" t="s">
        <v>36</v>
      </c>
      <c r="C327" s="7" t="s">
        <v>37</v>
      </c>
      <c r="D327" s="7" t="s">
        <v>21</v>
      </c>
      <c r="E327" s="7" t="s">
        <v>25</v>
      </c>
      <c r="F327" s="7" t="s">
        <v>30</v>
      </c>
      <c r="G327" s="9">
        <v>97.74</v>
      </c>
      <c r="H327" s="13">
        <v>4</v>
      </c>
      <c r="I327" s="17">
        <v>19.547999999999998</v>
      </c>
      <c r="J327" s="9">
        <v>410.50799999999998</v>
      </c>
      <c r="K327" s="21">
        <v>43536</v>
      </c>
      <c r="L327" s="3">
        <v>0.82847222222222228</v>
      </c>
      <c r="M327" s="7" t="s">
        <v>18</v>
      </c>
      <c r="N327" s="19">
        <v>390.96</v>
      </c>
      <c r="O327" s="15">
        <v>4.7619047620000003</v>
      </c>
      <c r="P327" s="9">
        <v>19.547999999999998</v>
      </c>
      <c r="Q327" s="11">
        <v>6.4</v>
      </c>
    </row>
    <row r="328" spans="1:17" x14ac:dyDescent="0.25">
      <c r="A328" s="5" t="s">
        <v>356</v>
      </c>
      <c r="B328" s="7" t="s">
        <v>13</v>
      </c>
      <c r="C328" s="7" t="s">
        <v>14</v>
      </c>
      <c r="D328" s="7" t="s">
        <v>15</v>
      </c>
      <c r="E328" s="7" t="s">
        <v>25</v>
      </c>
      <c r="F328" s="7" t="s">
        <v>38</v>
      </c>
      <c r="G328" s="9">
        <v>99.78</v>
      </c>
      <c r="H328" s="13">
        <v>5</v>
      </c>
      <c r="I328" s="17">
        <v>24.945</v>
      </c>
      <c r="J328" s="9">
        <v>523.84500000000003</v>
      </c>
      <c r="K328" s="21">
        <v>43533</v>
      </c>
      <c r="L328" s="3">
        <v>0.79791666666666672</v>
      </c>
      <c r="M328" s="7" t="s">
        <v>23</v>
      </c>
      <c r="N328" s="19">
        <v>498.9</v>
      </c>
      <c r="O328" s="15">
        <v>4.7619047620000003</v>
      </c>
      <c r="P328" s="9">
        <v>24.945</v>
      </c>
      <c r="Q328" s="11">
        <v>5.4</v>
      </c>
    </row>
    <row r="329" spans="1:17" x14ac:dyDescent="0.25">
      <c r="A329" s="5" t="s">
        <v>357</v>
      </c>
      <c r="B329" s="7" t="s">
        <v>20</v>
      </c>
      <c r="C329" s="7" t="s">
        <v>1034</v>
      </c>
      <c r="D329" s="7" t="s">
        <v>15</v>
      </c>
      <c r="E329" s="7" t="s">
        <v>25</v>
      </c>
      <c r="F329" s="7" t="s">
        <v>38</v>
      </c>
      <c r="G329" s="9">
        <v>94.26</v>
      </c>
      <c r="H329" s="13">
        <v>4</v>
      </c>
      <c r="I329" s="17">
        <v>18.852</v>
      </c>
      <c r="J329" s="9">
        <v>395.892</v>
      </c>
      <c r="K329" s="21">
        <v>43536</v>
      </c>
      <c r="L329" s="3">
        <v>0.6875</v>
      </c>
      <c r="M329" s="7" t="s">
        <v>23</v>
      </c>
      <c r="N329" s="19">
        <v>377.04</v>
      </c>
      <c r="O329" s="15">
        <v>4.7619047620000003</v>
      </c>
      <c r="P329" s="9">
        <v>18.852</v>
      </c>
      <c r="Q329" s="11">
        <v>8.6</v>
      </c>
    </row>
    <row r="330" spans="1:17" x14ac:dyDescent="0.25">
      <c r="A330" s="5" t="s">
        <v>358</v>
      </c>
      <c r="B330" s="7" t="s">
        <v>36</v>
      </c>
      <c r="C330" s="7" t="s">
        <v>37</v>
      </c>
      <c r="D330" s="7" t="s">
        <v>15</v>
      </c>
      <c r="E330" s="7" t="s">
        <v>25</v>
      </c>
      <c r="F330" s="7" t="s">
        <v>17</v>
      </c>
      <c r="G330" s="9">
        <v>51.13</v>
      </c>
      <c r="H330" s="13">
        <v>4</v>
      </c>
      <c r="I330" s="17">
        <v>10.226000000000001</v>
      </c>
      <c r="J330" s="9">
        <v>214.74600000000001</v>
      </c>
      <c r="K330" s="21">
        <v>43490</v>
      </c>
      <c r="L330" s="3">
        <v>0.42430555555555555</v>
      </c>
      <c r="M330" s="7" t="s">
        <v>27</v>
      </c>
      <c r="N330" s="19">
        <v>204.52</v>
      </c>
      <c r="O330" s="15">
        <v>4.7619047620000003</v>
      </c>
      <c r="P330" s="9">
        <v>10.226000000000001</v>
      </c>
      <c r="Q330" s="11">
        <v>4</v>
      </c>
    </row>
    <row r="331" spans="1:17" x14ac:dyDescent="0.25">
      <c r="A331" s="5" t="s">
        <v>359</v>
      </c>
      <c r="B331" s="7" t="s">
        <v>13</v>
      </c>
      <c r="C331" s="7" t="s">
        <v>14</v>
      </c>
      <c r="D331" s="7" t="s">
        <v>15</v>
      </c>
      <c r="E331" s="7" t="s">
        <v>25</v>
      </c>
      <c r="F331" s="7" t="s">
        <v>22</v>
      </c>
      <c r="G331" s="9">
        <v>36.36</v>
      </c>
      <c r="H331" s="13">
        <v>4</v>
      </c>
      <c r="I331" s="17">
        <v>7.2720000000000002</v>
      </c>
      <c r="J331" s="9">
        <v>152.71199999999999</v>
      </c>
      <c r="K331" s="21">
        <v>43549</v>
      </c>
      <c r="L331" s="3">
        <v>0.54652777777777772</v>
      </c>
      <c r="M331" s="7" t="s">
        <v>23</v>
      </c>
      <c r="N331" s="19">
        <v>145.44</v>
      </c>
      <c r="O331" s="15">
        <v>4.7619047620000003</v>
      </c>
      <c r="P331" s="9">
        <v>7.2720000000000002</v>
      </c>
      <c r="Q331" s="11">
        <v>7.6</v>
      </c>
    </row>
    <row r="332" spans="1:17" x14ac:dyDescent="0.25">
      <c r="A332" s="5" t="s">
        <v>360</v>
      </c>
      <c r="B332" s="7" t="s">
        <v>36</v>
      </c>
      <c r="C332" s="7" t="s">
        <v>37</v>
      </c>
      <c r="D332" s="7" t="s">
        <v>21</v>
      </c>
      <c r="E332" s="7" t="s">
        <v>25</v>
      </c>
      <c r="F332" s="7" t="s">
        <v>26</v>
      </c>
      <c r="G332" s="9">
        <v>22.02</v>
      </c>
      <c r="H332" s="13">
        <v>9</v>
      </c>
      <c r="I332" s="17">
        <v>9.9090000000000007</v>
      </c>
      <c r="J332" s="9">
        <v>208.089</v>
      </c>
      <c r="K332" s="21">
        <v>43503</v>
      </c>
      <c r="L332" s="3">
        <v>0.78333333333333333</v>
      </c>
      <c r="M332" s="7" t="s">
        <v>23</v>
      </c>
      <c r="N332" s="19">
        <v>198.18</v>
      </c>
      <c r="O332" s="15">
        <v>4.7619047620000003</v>
      </c>
      <c r="P332" s="9">
        <v>9.9090000000000007</v>
      </c>
      <c r="Q332" s="11">
        <v>6.8</v>
      </c>
    </row>
    <row r="333" spans="1:17" x14ac:dyDescent="0.25">
      <c r="A333" s="5" t="s">
        <v>361</v>
      </c>
      <c r="B333" s="7" t="s">
        <v>13</v>
      </c>
      <c r="C333" s="7" t="s">
        <v>14</v>
      </c>
      <c r="D333" s="7" t="s">
        <v>21</v>
      </c>
      <c r="E333" s="7" t="s">
        <v>25</v>
      </c>
      <c r="F333" s="7" t="s">
        <v>38</v>
      </c>
      <c r="G333" s="9">
        <v>32.9</v>
      </c>
      <c r="H333" s="13">
        <v>3</v>
      </c>
      <c r="I333" s="17">
        <v>4.9349999999999996</v>
      </c>
      <c r="J333" s="9">
        <v>103.63500000000001</v>
      </c>
      <c r="K333" s="21">
        <v>43513</v>
      </c>
      <c r="L333" s="3">
        <v>0.7270833333333333</v>
      </c>
      <c r="M333" s="7" t="s">
        <v>27</v>
      </c>
      <c r="N333" s="19">
        <v>98.7</v>
      </c>
      <c r="O333" s="15">
        <v>4.7619047620000003</v>
      </c>
      <c r="P333" s="9">
        <v>4.9349999999999996</v>
      </c>
      <c r="Q333" s="11">
        <v>9.1</v>
      </c>
    </row>
    <row r="334" spans="1:17" x14ac:dyDescent="0.25">
      <c r="A334" s="5" t="s">
        <v>362</v>
      </c>
      <c r="B334" s="7" t="s">
        <v>13</v>
      </c>
      <c r="C334" s="7" t="s">
        <v>14</v>
      </c>
      <c r="D334" s="7" t="s">
        <v>21</v>
      </c>
      <c r="E334" s="7" t="s">
        <v>25</v>
      </c>
      <c r="F334" s="7" t="s">
        <v>40</v>
      </c>
      <c r="G334" s="9">
        <v>77.02</v>
      </c>
      <c r="H334" s="13">
        <v>5</v>
      </c>
      <c r="I334" s="17">
        <v>19.254999999999999</v>
      </c>
      <c r="J334" s="9">
        <v>404.35500000000002</v>
      </c>
      <c r="K334" s="21">
        <v>43499</v>
      </c>
      <c r="L334" s="3">
        <v>0.66597222222222219</v>
      </c>
      <c r="M334" s="7" t="s">
        <v>23</v>
      </c>
      <c r="N334" s="19">
        <v>385.1</v>
      </c>
      <c r="O334" s="15">
        <v>4.7619047620000003</v>
      </c>
      <c r="P334" s="9">
        <v>19.254999999999999</v>
      </c>
      <c r="Q334" s="11">
        <v>5.5</v>
      </c>
    </row>
    <row r="335" spans="1:17" x14ac:dyDescent="0.25">
      <c r="A335" s="5" t="s">
        <v>363</v>
      </c>
      <c r="B335" s="7" t="s">
        <v>13</v>
      </c>
      <c r="C335" s="7" t="s">
        <v>14</v>
      </c>
      <c r="D335" s="7" t="s">
        <v>15</v>
      </c>
      <c r="E335" s="7" t="s">
        <v>25</v>
      </c>
      <c r="F335" s="7" t="s">
        <v>38</v>
      </c>
      <c r="G335" s="9">
        <v>23.48</v>
      </c>
      <c r="H335" s="13">
        <v>2</v>
      </c>
      <c r="I335" s="17">
        <v>2.3479999999999999</v>
      </c>
      <c r="J335" s="9">
        <v>49.308</v>
      </c>
      <c r="K335" s="21">
        <v>43538</v>
      </c>
      <c r="L335" s="3">
        <v>0.47291666666666665</v>
      </c>
      <c r="M335" s="7" t="s">
        <v>27</v>
      </c>
      <c r="N335" s="19">
        <v>46.96</v>
      </c>
      <c r="O335" s="15">
        <v>4.7619047620000003</v>
      </c>
      <c r="P335" s="9">
        <v>2.3479999999999999</v>
      </c>
      <c r="Q335" s="11">
        <v>7.9</v>
      </c>
    </row>
    <row r="336" spans="1:17" x14ac:dyDescent="0.25">
      <c r="A336" s="5" t="s">
        <v>364</v>
      </c>
      <c r="B336" s="7" t="s">
        <v>20</v>
      </c>
      <c r="C336" s="7" t="s">
        <v>1034</v>
      </c>
      <c r="D336" s="7" t="s">
        <v>15</v>
      </c>
      <c r="E336" s="7" t="s">
        <v>25</v>
      </c>
      <c r="F336" s="7" t="s">
        <v>30</v>
      </c>
      <c r="G336" s="9">
        <v>14.7</v>
      </c>
      <c r="H336" s="13">
        <v>5</v>
      </c>
      <c r="I336" s="17">
        <v>3.6749999999999998</v>
      </c>
      <c r="J336" s="9">
        <v>77.174999999999997</v>
      </c>
      <c r="K336" s="21">
        <v>43548</v>
      </c>
      <c r="L336" s="3">
        <v>0.57499999999999996</v>
      </c>
      <c r="M336" s="7" t="s">
        <v>18</v>
      </c>
      <c r="N336" s="19">
        <v>73.5</v>
      </c>
      <c r="O336" s="15">
        <v>4.7619047620000003</v>
      </c>
      <c r="P336" s="9">
        <v>3.6749999999999998</v>
      </c>
      <c r="Q336" s="11">
        <v>8.5</v>
      </c>
    </row>
    <row r="337" spans="1:17" x14ac:dyDescent="0.25">
      <c r="A337" s="5" t="s">
        <v>365</v>
      </c>
      <c r="B337" s="7" t="s">
        <v>13</v>
      </c>
      <c r="C337" s="7" t="s">
        <v>14</v>
      </c>
      <c r="D337" s="7" t="s">
        <v>15</v>
      </c>
      <c r="E337" s="7" t="s">
        <v>16</v>
      </c>
      <c r="F337" s="7" t="s">
        <v>22</v>
      </c>
      <c r="G337" s="9">
        <v>28.45</v>
      </c>
      <c r="H337" s="13">
        <v>5</v>
      </c>
      <c r="I337" s="17">
        <v>7.1124999999999998</v>
      </c>
      <c r="J337" s="9">
        <v>149.36250000000001</v>
      </c>
      <c r="K337" s="21">
        <v>43545</v>
      </c>
      <c r="L337" s="3">
        <v>0.4284722222222222</v>
      </c>
      <c r="M337" s="7" t="s">
        <v>27</v>
      </c>
      <c r="N337" s="19">
        <v>142.25</v>
      </c>
      <c r="O337" s="15">
        <v>4.7619047620000003</v>
      </c>
      <c r="P337" s="9">
        <v>7.1124999999999998</v>
      </c>
      <c r="Q337" s="11">
        <v>9.1</v>
      </c>
    </row>
    <row r="338" spans="1:17" x14ac:dyDescent="0.25">
      <c r="A338" s="5" t="s">
        <v>366</v>
      </c>
      <c r="B338" s="7" t="s">
        <v>13</v>
      </c>
      <c r="C338" s="7" t="s">
        <v>14</v>
      </c>
      <c r="D338" s="7" t="s">
        <v>21</v>
      </c>
      <c r="E338" s="7" t="s">
        <v>25</v>
      </c>
      <c r="F338" s="7" t="s">
        <v>40</v>
      </c>
      <c r="G338" s="9">
        <v>76.400000000000006</v>
      </c>
      <c r="H338" s="13">
        <v>9</v>
      </c>
      <c r="I338" s="17">
        <v>34.380000000000003</v>
      </c>
      <c r="J338" s="9">
        <v>721.98</v>
      </c>
      <c r="K338" s="21">
        <v>43543</v>
      </c>
      <c r="L338" s="3">
        <v>0.65902777777777777</v>
      </c>
      <c r="M338" s="7" t="s">
        <v>18</v>
      </c>
      <c r="N338" s="19">
        <v>687.6</v>
      </c>
      <c r="O338" s="15">
        <v>4.7619047620000003</v>
      </c>
      <c r="P338" s="9">
        <v>34.380000000000003</v>
      </c>
      <c r="Q338" s="11">
        <v>7.5</v>
      </c>
    </row>
    <row r="339" spans="1:17" x14ac:dyDescent="0.25">
      <c r="A339" s="5" t="s">
        <v>367</v>
      </c>
      <c r="B339" s="7" t="s">
        <v>36</v>
      </c>
      <c r="C339" s="7" t="s">
        <v>37</v>
      </c>
      <c r="D339" s="7" t="s">
        <v>21</v>
      </c>
      <c r="E339" s="7" t="s">
        <v>16</v>
      </c>
      <c r="F339" s="7" t="s">
        <v>30</v>
      </c>
      <c r="G339" s="9">
        <v>57.95</v>
      </c>
      <c r="H339" s="13">
        <v>6</v>
      </c>
      <c r="I339" s="17">
        <v>17.385000000000002</v>
      </c>
      <c r="J339" s="9">
        <v>365.08499999999998</v>
      </c>
      <c r="K339" s="21">
        <v>43520</v>
      </c>
      <c r="L339" s="3">
        <v>0.54305555555555551</v>
      </c>
      <c r="M339" s="7" t="s">
        <v>23</v>
      </c>
      <c r="N339" s="19">
        <v>347.7</v>
      </c>
      <c r="O339" s="15">
        <v>4.7619047620000003</v>
      </c>
      <c r="P339" s="9">
        <v>17.385000000000002</v>
      </c>
      <c r="Q339" s="11">
        <v>5.2</v>
      </c>
    </row>
    <row r="340" spans="1:17" x14ac:dyDescent="0.25">
      <c r="A340" s="5" t="s">
        <v>368</v>
      </c>
      <c r="B340" s="7" t="s">
        <v>20</v>
      </c>
      <c r="C340" s="7" t="s">
        <v>1034</v>
      </c>
      <c r="D340" s="7" t="s">
        <v>21</v>
      </c>
      <c r="E340" s="7" t="s">
        <v>16</v>
      </c>
      <c r="F340" s="7" t="s">
        <v>22</v>
      </c>
      <c r="G340" s="9">
        <v>47.65</v>
      </c>
      <c r="H340" s="13">
        <v>3</v>
      </c>
      <c r="I340" s="17">
        <v>7.1475</v>
      </c>
      <c r="J340" s="9">
        <v>150.0975</v>
      </c>
      <c r="K340" s="21">
        <v>43552</v>
      </c>
      <c r="L340" s="3">
        <v>0.54027777777777775</v>
      </c>
      <c r="M340" s="7" t="s">
        <v>27</v>
      </c>
      <c r="N340" s="19">
        <v>142.94999999999999</v>
      </c>
      <c r="O340" s="15">
        <v>4.7619047620000003</v>
      </c>
      <c r="P340" s="9">
        <v>7.1475</v>
      </c>
      <c r="Q340" s="11">
        <v>9.5</v>
      </c>
    </row>
    <row r="341" spans="1:17" x14ac:dyDescent="0.25">
      <c r="A341" s="5" t="s">
        <v>369</v>
      </c>
      <c r="B341" s="7" t="s">
        <v>36</v>
      </c>
      <c r="C341" s="7" t="s">
        <v>37</v>
      </c>
      <c r="D341" s="7" t="s">
        <v>15</v>
      </c>
      <c r="E341" s="7" t="s">
        <v>16</v>
      </c>
      <c r="F341" s="7" t="s">
        <v>38</v>
      </c>
      <c r="G341" s="9">
        <v>42.82</v>
      </c>
      <c r="H341" s="13">
        <v>9</v>
      </c>
      <c r="I341" s="17">
        <v>19.268999999999998</v>
      </c>
      <c r="J341" s="9">
        <v>404.649</v>
      </c>
      <c r="K341" s="21">
        <v>43501</v>
      </c>
      <c r="L341" s="3">
        <v>0.6430555555555556</v>
      </c>
      <c r="M341" s="7" t="s">
        <v>27</v>
      </c>
      <c r="N341" s="19">
        <v>385.38</v>
      </c>
      <c r="O341" s="15">
        <v>4.7619047620000003</v>
      </c>
      <c r="P341" s="9">
        <v>19.268999999999998</v>
      </c>
      <c r="Q341" s="11">
        <v>8.9</v>
      </c>
    </row>
    <row r="342" spans="1:17" x14ac:dyDescent="0.25">
      <c r="A342" s="5" t="s">
        <v>370</v>
      </c>
      <c r="B342" s="7" t="s">
        <v>36</v>
      </c>
      <c r="C342" s="7" t="s">
        <v>37</v>
      </c>
      <c r="D342" s="7" t="s">
        <v>15</v>
      </c>
      <c r="E342" s="7" t="s">
        <v>25</v>
      </c>
      <c r="F342" s="7" t="s">
        <v>22</v>
      </c>
      <c r="G342" s="9">
        <v>48.09</v>
      </c>
      <c r="H342" s="13">
        <v>3</v>
      </c>
      <c r="I342" s="17">
        <v>7.2134999999999998</v>
      </c>
      <c r="J342" s="9">
        <v>151.48349999999999</v>
      </c>
      <c r="K342" s="21">
        <v>43506</v>
      </c>
      <c r="L342" s="3">
        <v>0.76597222222222228</v>
      </c>
      <c r="M342" s="7" t="s">
        <v>27</v>
      </c>
      <c r="N342" s="19">
        <v>144.27000000000001</v>
      </c>
      <c r="O342" s="15">
        <v>4.7619047620000003</v>
      </c>
      <c r="P342" s="9">
        <v>7.2134999999999998</v>
      </c>
      <c r="Q342" s="11">
        <v>7.8</v>
      </c>
    </row>
    <row r="343" spans="1:17" x14ac:dyDescent="0.25">
      <c r="A343" s="5" t="s">
        <v>371</v>
      </c>
      <c r="B343" s="7" t="s">
        <v>36</v>
      </c>
      <c r="C343" s="7" t="s">
        <v>37</v>
      </c>
      <c r="D343" s="7" t="s">
        <v>15</v>
      </c>
      <c r="E343" s="7" t="s">
        <v>16</v>
      </c>
      <c r="F343" s="7" t="s">
        <v>17</v>
      </c>
      <c r="G343" s="9">
        <v>55.97</v>
      </c>
      <c r="H343" s="13">
        <v>7</v>
      </c>
      <c r="I343" s="17">
        <v>19.589500000000001</v>
      </c>
      <c r="J343" s="9">
        <v>411.37950000000001</v>
      </c>
      <c r="K343" s="21">
        <v>43529</v>
      </c>
      <c r="L343" s="3">
        <v>0.79583333333333328</v>
      </c>
      <c r="M343" s="7" t="s">
        <v>18</v>
      </c>
      <c r="N343" s="19">
        <v>391.79</v>
      </c>
      <c r="O343" s="15">
        <v>4.7619047620000003</v>
      </c>
      <c r="P343" s="9">
        <v>19.589500000000001</v>
      </c>
      <c r="Q343" s="11">
        <v>8.9</v>
      </c>
    </row>
    <row r="344" spans="1:17" x14ac:dyDescent="0.25">
      <c r="A344" s="5" t="s">
        <v>372</v>
      </c>
      <c r="B344" s="7" t="s">
        <v>36</v>
      </c>
      <c r="C344" s="7" t="s">
        <v>37</v>
      </c>
      <c r="D344" s="7" t="s">
        <v>15</v>
      </c>
      <c r="E344" s="7" t="s">
        <v>16</v>
      </c>
      <c r="F344" s="7" t="s">
        <v>17</v>
      </c>
      <c r="G344" s="9">
        <v>76.900000000000006</v>
      </c>
      <c r="H344" s="13">
        <v>7</v>
      </c>
      <c r="I344" s="17">
        <v>26.914999999999999</v>
      </c>
      <c r="J344" s="9">
        <v>565.21500000000003</v>
      </c>
      <c r="K344" s="21">
        <v>43511</v>
      </c>
      <c r="L344" s="3">
        <v>0.84791666666666665</v>
      </c>
      <c r="M344" s="7" t="s">
        <v>23</v>
      </c>
      <c r="N344" s="19">
        <v>538.29999999999995</v>
      </c>
      <c r="O344" s="15">
        <v>4.7619047620000003</v>
      </c>
      <c r="P344" s="9">
        <v>26.914999999999999</v>
      </c>
      <c r="Q344" s="11">
        <v>7.7</v>
      </c>
    </row>
    <row r="345" spans="1:17" x14ac:dyDescent="0.25">
      <c r="A345" s="5" t="s">
        <v>373</v>
      </c>
      <c r="B345" s="7" t="s">
        <v>20</v>
      </c>
      <c r="C345" s="7" t="s">
        <v>1034</v>
      </c>
      <c r="D345" s="7" t="s">
        <v>21</v>
      </c>
      <c r="E345" s="7" t="s">
        <v>16</v>
      </c>
      <c r="F345" s="7" t="s">
        <v>38</v>
      </c>
      <c r="G345" s="9">
        <v>97.03</v>
      </c>
      <c r="H345" s="13">
        <v>5</v>
      </c>
      <c r="I345" s="17">
        <v>24.2575</v>
      </c>
      <c r="J345" s="9">
        <v>509.40750000000003</v>
      </c>
      <c r="K345" s="21">
        <v>43495</v>
      </c>
      <c r="L345" s="3">
        <v>0.68333333333333335</v>
      </c>
      <c r="M345" s="7" t="s">
        <v>18</v>
      </c>
      <c r="N345" s="19">
        <v>485.15</v>
      </c>
      <c r="O345" s="15">
        <v>4.7619047620000003</v>
      </c>
      <c r="P345" s="9">
        <v>24.2575</v>
      </c>
      <c r="Q345" s="11">
        <v>9.3000000000000007</v>
      </c>
    </row>
    <row r="346" spans="1:17" x14ac:dyDescent="0.25">
      <c r="A346" s="5" t="s">
        <v>374</v>
      </c>
      <c r="B346" s="7" t="s">
        <v>13</v>
      </c>
      <c r="C346" s="7" t="s">
        <v>14</v>
      </c>
      <c r="D346" s="7" t="s">
        <v>21</v>
      </c>
      <c r="E346" s="7" t="s">
        <v>25</v>
      </c>
      <c r="F346" s="7" t="s">
        <v>30</v>
      </c>
      <c r="G346" s="9">
        <v>44.65</v>
      </c>
      <c r="H346" s="13">
        <v>3</v>
      </c>
      <c r="I346" s="17">
        <v>6.6974999999999998</v>
      </c>
      <c r="J346" s="9">
        <v>140.64750000000001</v>
      </c>
      <c r="K346" s="21">
        <v>43510</v>
      </c>
      <c r="L346" s="3">
        <v>0.62777777777777777</v>
      </c>
      <c r="M346" s="7" t="s">
        <v>23</v>
      </c>
      <c r="N346" s="19">
        <v>133.94999999999999</v>
      </c>
      <c r="O346" s="15">
        <v>4.7619047620000003</v>
      </c>
      <c r="P346" s="9">
        <v>6.6974999999999998</v>
      </c>
      <c r="Q346" s="11">
        <v>6.2</v>
      </c>
    </row>
    <row r="347" spans="1:17" x14ac:dyDescent="0.25">
      <c r="A347" s="5" t="s">
        <v>375</v>
      </c>
      <c r="B347" s="7" t="s">
        <v>13</v>
      </c>
      <c r="C347" s="7" t="s">
        <v>14</v>
      </c>
      <c r="D347" s="7" t="s">
        <v>21</v>
      </c>
      <c r="E347" s="7" t="s">
        <v>16</v>
      </c>
      <c r="F347" s="7" t="s">
        <v>40</v>
      </c>
      <c r="G347" s="9">
        <v>77.930000000000007</v>
      </c>
      <c r="H347" s="13">
        <v>9</v>
      </c>
      <c r="I347" s="17">
        <v>35.0685</v>
      </c>
      <c r="J347" s="9">
        <v>736.43849999999998</v>
      </c>
      <c r="K347" s="21">
        <v>43523</v>
      </c>
      <c r="L347" s="3">
        <v>0.67361111111111116</v>
      </c>
      <c r="M347" s="7" t="s">
        <v>18</v>
      </c>
      <c r="N347" s="19">
        <v>701.37</v>
      </c>
      <c r="O347" s="15">
        <v>4.7619047620000003</v>
      </c>
      <c r="P347" s="9">
        <v>35.0685</v>
      </c>
      <c r="Q347" s="11">
        <v>7.6</v>
      </c>
    </row>
    <row r="348" spans="1:17" x14ac:dyDescent="0.25">
      <c r="A348" s="5" t="s">
        <v>376</v>
      </c>
      <c r="B348" s="7" t="s">
        <v>13</v>
      </c>
      <c r="C348" s="7" t="s">
        <v>14</v>
      </c>
      <c r="D348" s="7" t="s">
        <v>15</v>
      </c>
      <c r="E348" s="7" t="s">
        <v>25</v>
      </c>
      <c r="F348" s="7" t="s">
        <v>22</v>
      </c>
      <c r="G348" s="9">
        <v>71.95</v>
      </c>
      <c r="H348" s="13">
        <v>1</v>
      </c>
      <c r="I348" s="17">
        <v>3.5975000000000001</v>
      </c>
      <c r="J348" s="9">
        <v>75.547499999999999</v>
      </c>
      <c r="K348" s="21">
        <v>43500</v>
      </c>
      <c r="L348" s="3">
        <v>0.50972222222222219</v>
      </c>
      <c r="M348" s="7" t="s">
        <v>23</v>
      </c>
      <c r="N348" s="19">
        <v>71.95</v>
      </c>
      <c r="O348" s="15">
        <v>4.7619047620000003</v>
      </c>
      <c r="P348" s="9">
        <v>3.5975000000000001</v>
      </c>
      <c r="Q348" s="11">
        <v>7.3</v>
      </c>
    </row>
    <row r="349" spans="1:17" x14ac:dyDescent="0.25">
      <c r="A349" s="5" t="s">
        <v>377</v>
      </c>
      <c r="B349" s="7" t="s">
        <v>20</v>
      </c>
      <c r="C349" s="7" t="s">
        <v>1034</v>
      </c>
      <c r="D349" s="7" t="s">
        <v>15</v>
      </c>
      <c r="E349" s="7" t="s">
        <v>16</v>
      </c>
      <c r="F349" s="7" t="s">
        <v>26</v>
      </c>
      <c r="G349" s="9">
        <v>89.25</v>
      </c>
      <c r="H349" s="13">
        <v>8</v>
      </c>
      <c r="I349" s="17">
        <v>35.700000000000003</v>
      </c>
      <c r="J349" s="9">
        <v>749.7</v>
      </c>
      <c r="K349" s="21">
        <v>43485</v>
      </c>
      <c r="L349" s="3">
        <v>0.42569444444444443</v>
      </c>
      <c r="M349" s="7" t="s">
        <v>23</v>
      </c>
      <c r="N349" s="19">
        <v>714</v>
      </c>
      <c r="O349" s="15">
        <v>4.7619047620000003</v>
      </c>
      <c r="P349" s="9">
        <v>35.700000000000003</v>
      </c>
      <c r="Q349" s="11">
        <v>4.7</v>
      </c>
    </row>
    <row r="350" spans="1:17" x14ac:dyDescent="0.25">
      <c r="A350" s="5" t="s">
        <v>378</v>
      </c>
      <c r="B350" s="7" t="s">
        <v>13</v>
      </c>
      <c r="C350" s="7" t="s">
        <v>14</v>
      </c>
      <c r="D350" s="7" t="s">
        <v>21</v>
      </c>
      <c r="E350" s="7" t="s">
        <v>25</v>
      </c>
      <c r="F350" s="7" t="s">
        <v>22</v>
      </c>
      <c r="G350" s="9">
        <v>26.02</v>
      </c>
      <c r="H350" s="13">
        <v>7</v>
      </c>
      <c r="I350" s="17">
        <v>9.1069999999999993</v>
      </c>
      <c r="J350" s="9">
        <v>191.24700000000001</v>
      </c>
      <c r="K350" s="21">
        <v>43552</v>
      </c>
      <c r="L350" s="3">
        <v>0.73472222222222228</v>
      </c>
      <c r="M350" s="7" t="s">
        <v>23</v>
      </c>
      <c r="N350" s="19">
        <v>182.14</v>
      </c>
      <c r="O350" s="15">
        <v>4.7619047620000003</v>
      </c>
      <c r="P350" s="9">
        <v>9.1069999999999993</v>
      </c>
      <c r="Q350" s="11">
        <v>5.0999999999999996</v>
      </c>
    </row>
    <row r="351" spans="1:17" x14ac:dyDescent="0.25">
      <c r="A351" s="5" t="s">
        <v>379</v>
      </c>
      <c r="B351" s="7" t="s">
        <v>36</v>
      </c>
      <c r="C351" s="7" t="s">
        <v>37</v>
      </c>
      <c r="D351" s="7" t="s">
        <v>21</v>
      </c>
      <c r="E351" s="7" t="s">
        <v>16</v>
      </c>
      <c r="F351" s="7" t="s">
        <v>17</v>
      </c>
      <c r="G351" s="9">
        <v>13.5</v>
      </c>
      <c r="H351" s="13">
        <v>10</v>
      </c>
      <c r="I351" s="17">
        <v>6.75</v>
      </c>
      <c r="J351" s="9">
        <v>141.75</v>
      </c>
      <c r="K351" s="21">
        <v>43523</v>
      </c>
      <c r="L351" s="3">
        <v>0.46250000000000002</v>
      </c>
      <c r="M351" s="7" t="s">
        <v>27</v>
      </c>
      <c r="N351" s="19">
        <v>135</v>
      </c>
      <c r="O351" s="15">
        <v>4.7619047620000003</v>
      </c>
      <c r="P351" s="9">
        <v>6.75</v>
      </c>
      <c r="Q351" s="11">
        <v>4.8</v>
      </c>
    </row>
    <row r="352" spans="1:17" x14ac:dyDescent="0.25">
      <c r="A352" s="5" t="s">
        <v>380</v>
      </c>
      <c r="B352" s="7" t="s">
        <v>20</v>
      </c>
      <c r="C352" s="7" t="s">
        <v>1034</v>
      </c>
      <c r="D352" s="7" t="s">
        <v>15</v>
      </c>
      <c r="E352" s="7" t="s">
        <v>16</v>
      </c>
      <c r="F352" s="7" t="s">
        <v>40</v>
      </c>
      <c r="G352" s="9">
        <v>99.3</v>
      </c>
      <c r="H352" s="13">
        <v>10</v>
      </c>
      <c r="I352" s="17">
        <v>49.65</v>
      </c>
      <c r="J352" s="9">
        <v>1042.6500000000001</v>
      </c>
      <c r="K352" s="21">
        <v>43511</v>
      </c>
      <c r="L352" s="3">
        <v>0.62013888888888891</v>
      </c>
      <c r="M352" s="7" t="s">
        <v>27</v>
      </c>
      <c r="N352" s="19">
        <v>993</v>
      </c>
      <c r="O352" s="15">
        <v>4.7619047620000003</v>
      </c>
      <c r="P352" s="9">
        <v>49.65</v>
      </c>
      <c r="Q352" s="11">
        <v>6.6</v>
      </c>
    </row>
    <row r="353" spans="1:17" x14ac:dyDescent="0.25">
      <c r="A353" s="5" t="s">
        <v>381</v>
      </c>
      <c r="B353" s="7" t="s">
        <v>13</v>
      </c>
      <c r="C353" s="7" t="s">
        <v>14</v>
      </c>
      <c r="D353" s="7" t="s">
        <v>21</v>
      </c>
      <c r="E353" s="7" t="s">
        <v>25</v>
      </c>
      <c r="F353" s="7" t="s">
        <v>22</v>
      </c>
      <c r="G353" s="9">
        <v>51.69</v>
      </c>
      <c r="H353" s="13">
        <v>7</v>
      </c>
      <c r="I353" s="17">
        <v>18.0915</v>
      </c>
      <c r="J353" s="9">
        <v>379.92149999999998</v>
      </c>
      <c r="K353" s="21">
        <v>43491</v>
      </c>
      <c r="L353" s="3">
        <v>0.76527777777777772</v>
      </c>
      <c r="M353" s="7" t="s">
        <v>23</v>
      </c>
      <c r="N353" s="19">
        <v>361.83</v>
      </c>
      <c r="O353" s="15">
        <v>4.7619047620000003</v>
      </c>
      <c r="P353" s="9">
        <v>18.0915</v>
      </c>
      <c r="Q353" s="11">
        <v>5.5</v>
      </c>
    </row>
    <row r="354" spans="1:17" x14ac:dyDescent="0.25">
      <c r="A354" s="5" t="s">
        <v>382</v>
      </c>
      <c r="B354" s="7" t="s">
        <v>36</v>
      </c>
      <c r="C354" s="7" t="s">
        <v>37</v>
      </c>
      <c r="D354" s="7" t="s">
        <v>15</v>
      </c>
      <c r="E354" s="7" t="s">
        <v>16</v>
      </c>
      <c r="F354" s="7" t="s">
        <v>40</v>
      </c>
      <c r="G354" s="9">
        <v>54.73</v>
      </c>
      <c r="H354" s="13">
        <v>7</v>
      </c>
      <c r="I354" s="17">
        <v>19.1555</v>
      </c>
      <c r="J354" s="9">
        <v>402.26549999999997</v>
      </c>
      <c r="K354" s="21">
        <v>43538</v>
      </c>
      <c r="L354" s="3">
        <v>0.79305555555555551</v>
      </c>
      <c r="M354" s="7" t="s">
        <v>27</v>
      </c>
      <c r="N354" s="19">
        <v>383.11</v>
      </c>
      <c r="O354" s="15">
        <v>4.7619047620000003</v>
      </c>
      <c r="P354" s="9">
        <v>19.1555</v>
      </c>
      <c r="Q354" s="11">
        <v>8.5</v>
      </c>
    </row>
    <row r="355" spans="1:17" x14ac:dyDescent="0.25">
      <c r="A355" s="5" t="s">
        <v>383</v>
      </c>
      <c r="B355" s="7" t="s">
        <v>36</v>
      </c>
      <c r="C355" s="7" t="s">
        <v>37</v>
      </c>
      <c r="D355" s="7" t="s">
        <v>15</v>
      </c>
      <c r="E355" s="7" t="s">
        <v>25</v>
      </c>
      <c r="F355" s="7" t="s">
        <v>26</v>
      </c>
      <c r="G355" s="9">
        <v>27</v>
      </c>
      <c r="H355" s="13">
        <v>9</v>
      </c>
      <c r="I355" s="17">
        <v>12.15</v>
      </c>
      <c r="J355" s="9">
        <v>255.15</v>
      </c>
      <c r="K355" s="21">
        <v>43526</v>
      </c>
      <c r="L355" s="3">
        <v>0.59444444444444444</v>
      </c>
      <c r="M355" s="7" t="s">
        <v>23</v>
      </c>
      <c r="N355" s="19">
        <v>243</v>
      </c>
      <c r="O355" s="15">
        <v>4.7619047620000003</v>
      </c>
      <c r="P355" s="9">
        <v>12.15</v>
      </c>
      <c r="Q355" s="11">
        <v>4.8</v>
      </c>
    </row>
    <row r="356" spans="1:17" x14ac:dyDescent="0.25">
      <c r="A356" s="5" t="s">
        <v>384</v>
      </c>
      <c r="B356" s="7" t="s">
        <v>20</v>
      </c>
      <c r="C356" s="7" t="s">
        <v>1034</v>
      </c>
      <c r="D356" s="7" t="s">
        <v>21</v>
      </c>
      <c r="E356" s="7" t="s">
        <v>16</v>
      </c>
      <c r="F356" s="7" t="s">
        <v>22</v>
      </c>
      <c r="G356" s="9">
        <v>30.24</v>
      </c>
      <c r="H356" s="13">
        <v>1</v>
      </c>
      <c r="I356" s="17">
        <v>1.512</v>
      </c>
      <c r="J356" s="9">
        <v>31.751999999999999</v>
      </c>
      <c r="K356" s="21">
        <v>43528</v>
      </c>
      <c r="L356" s="3">
        <v>0.65555555555555556</v>
      </c>
      <c r="M356" s="7" t="s">
        <v>23</v>
      </c>
      <c r="N356" s="19">
        <v>30.24</v>
      </c>
      <c r="O356" s="15">
        <v>4.7619047620000003</v>
      </c>
      <c r="P356" s="9">
        <v>1.512</v>
      </c>
      <c r="Q356" s="11">
        <v>8.4</v>
      </c>
    </row>
    <row r="357" spans="1:17" x14ac:dyDescent="0.25">
      <c r="A357" s="5" t="s">
        <v>385</v>
      </c>
      <c r="B357" s="7" t="s">
        <v>36</v>
      </c>
      <c r="C357" s="7" t="s">
        <v>37</v>
      </c>
      <c r="D357" s="7" t="s">
        <v>15</v>
      </c>
      <c r="E357" s="7" t="s">
        <v>16</v>
      </c>
      <c r="F357" s="7" t="s">
        <v>38</v>
      </c>
      <c r="G357" s="9">
        <v>89.14</v>
      </c>
      <c r="H357" s="13">
        <v>4</v>
      </c>
      <c r="I357" s="17">
        <v>17.827999999999999</v>
      </c>
      <c r="J357" s="9">
        <v>374.38799999999998</v>
      </c>
      <c r="K357" s="21">
        <v>43472</v>
      </c>
      <c r="L357" s="3">
        <v>0.51388888888888884</v>
      </c>
      <c r="M357" s="7" t="s">
        <v>27</v>
      </c>
      <c r="N357" s="19">
        <v>356.56</v>
      </c>
      <c r="O357" s="15">
        <v>4.7619047620000003</v>
      </c>
      <c r="P357" s="9">
        <v>17.827999999999999</v>
      </c>
      <c r="Q357" s="11">
        <v>7.8</v>
      </c>
    </row>
    <row r="358" spans="1:17" x14ac:dyDescent="0.25">
      <c r="A358" s="5" t="s">
        <v>386</v>
      </c>
      <c r="B358" s="7" t="s">
        <v>20</v>
      </c>
      <c r="C358" s="7" t="s">
        <v>1034</v>
      </c>
      <c r="D358" s="7" t="s">
        <v>21</v>
      </c>
      <c r="E358" s="7" t="s">
        <v>16</v>
      </c>
      <c r="F358" s="7" t="s">
        <v>40</v>
      </c>
      <c r="G358" s="9">
        <v>37.549999999999997</v>
      </c>
      <c r="H358" s="13">
        <v>10</v>
      </c>
      <c r="I358" s="17">
        <v>18.774999999999999</v>
      </c>
      <c r="J358" s="9">
        <v>394.27499999999998</v>
      </c>
      <c r="K358" s="21">
        <v>43532</v>
      </c>
      <c r="L358" s="3">
        <v>0.83402777777777781</v>
      </c>
      <c r="M358" s="7" t="s">
        <v>27</v>
      </c>
      <c r="N358" s="19">
        <v>375.5</v>
      </c>
      <c r="O358" s="15">
        <v>4.7619047620000003</v>
      </c>
      <c r="P358" s="9">
        <v>18.774999999999999</v>
      </c>
      <c r="Q358" s="11">
        <v>9.3000000000000007</v>
      </c>
    </row>
    <row r="359" spans="1:17" x14ac:dyDescent="0.25">
      <c r="A359" s="5" t="s">
        <v>387</v>
      </c>
      <c r="B359" s="7" t="s">
        <v>20</v>
      </c>
      <c r="C359" s="7" t="s">
        <v>1034</v>
      </c>
      <c r="D359" s="7" t="s">
        <v>21</v>
      </c>
      <c r="E359" s="7" t="s">
        <v>16</v>
      </c>
      <c r="F359" s="7" t="s">
        <v>30</v>
      </c>
      <c r="G359" s="9">
        <v>95.44</v>
      </c>
      <c r="H359" s="13">
        <v>10</v>
      </c>
      <c r="I359" s="17">
        <v>47.72</v>
      </c>
      <c r="J359" s="9">
        <v>1002.12</v>
      </c>
      <c r="K359" s="21">
        <v>43474</v>
      </c>
      <c r="L359" s="3">
        <v>0.57291666666666663</v>
      </c>
      <c r="M359" s="7" t="s">
        <v>23</v>
      </c>
      <c r="N359" s="19">
        <v>954.4</v>
      </c>
      <c r="O359" s="15">
        <v>4.7619047620000003</v>
      </c>
      <c r="P359" s="9">
        <v>47.72</v>
      </c>
      <c r="Q359" s="11">
        <v>5.2</v>
      </c>
    </row>
    <row r="360" spans="1:17" x14ac:dyDescent="0.25">
      <c r="A360" s="5" t="s">
        <v>388</v>
      </c>
      <c r="B360" s="7" t="s">
        <v>36</v>
      </c>
      <c r="C360" s="7" t="s">
        <v>37</v>
      </c>
      <c r="D360" s="7" t="s">
        <v>21</v>
      </c>
      <c r="E360" s="7" t="s">
        <v>25</v>
      </c>
      <c r="F360" s="7" t="s">
        <v>22</v>
      </c>
      <c r="G360" s="9">
        <v>27.5</v>
      </c>
      <c r="H360" s="13">
        <v>3</v>
      </c>
      <c r="I360" s="17">
        <v>4.125</v>
      </c>
      <c r="J360" s="9">
        <v>86.625</v>
      </c>
      <c r="K360" s="21">
        <v>43525</v>
      </c>
      <c r="L360" s="3">
        <v>0.65277777777777779</v>
      </c>
      <c r="M360" s="7" t="s">
        <v>18</v>
      </c>
      <c r="N360" s="19">
        <v>82.5</v>
      </c>
      <c r="O360" s="15">
        <v>4.7619047620000003</v>
      </c>
      <c r="P360" s="9">
        <v>4.125</v>
      </c>
      <c r="Q360" s="11">
        <v>6.5</v>
      </c>
    </row>
    <row r="361" spans="1:17" x14ac:dyDescent="0.25">
      <c r="A361" s="5" t="s">
        <v>389</v>
      </c>
      <c r="B361" s="7" t="s">
        <v>36</v>
      </c>
      <c r="C361" s="7" t="s">
        <v>37</v>
      </c>
      <c r="D361" s="7" t="s">
        <v>21</v>
      </c>
      <c r="E361" s="7" t="s">
        <v>25</v>
      </c>
      <c r="F361" s="7" t="s">
        <v>30</v>
      </c>
      <c r="G361" s="9">
        <v>74.97</v>
      </c>
      <c r="H361" s="13">
        <v>1</v>
      </c>
      <c r="I361" s="17">
        <v>3.7484999999999999</v>
      </c>
      <c r="J361" s="9">
        <v>78.718500000000006</v>
      </c>
      <c r="K361" s="21">
        <v>43540</v>
      </c>
      <c r="L361" s="3">
        <v>0.70694444444444449</v>
      </c>
      <c r="M361" s="7" t="s">
        <v>23</v>
      </c>
      <c r="N361" s="19">
        <v>74.97</v>
      </c>
      <c r="O361" s="15">
        <v>4.7619047620000003</v>
      </c>
      <c r="P361" s="9">
        <v>3.7484999999999999</v>
      </c>
      <c r="Q361" s="11">
        <v>5.6</v>
      </c>
    </row>
    <row r="362" spans="1:17" x14ac:dyDescent="0.25">
      <c r="A362" s="5" t="s">
        <v>390</v>
      </c>
      <c r="B362" s="7" t="s">
        <v>13</v>
      </c>
      <c r="C362" s="7" t="s">
        <v>14</v>
      </c>
      <c r="D362" s="7" t="s">
        <v>15</v>
      </c>
      <c r="E362" s="7" t="s">
        <v>25</v>
      </c>
      <c r="F362" s="7" t="s">
        <v>38</v>
      </c>
      <c r="G362" s="9">
        <v>80.959999999999994</v>
      </c>
      <c r="H362" s="13">
        <v>8</v>
      </c>
      <c r="I362" s="17">
        <v>32.384</v>
      </c>
      <c r="J362" s="9">
        <v>680.06399999999996</v>
      </c>
      <c r="K362" s="21">
        <v>43513</v>
      </c>
      <c r="L362" s="3">
        <v>0.46666666666666667</v>
      </c>
      <c r="M362" s="7" t="s">
        <v>27</v>
      </c>
      <c r="N362" s="19">
        <v>647.67999999999995</v>
      </c>
      <c r="O362" s="15">
        <v>4.7619047620000003</v>
      </c>
      <c r="P362" s="9">
        <v>32.384</v>
      </c>
      <c r="Q362" s="11">
        <v>7.4</v>
      </c>
    </row>
    <row r="363" spans="1:17" x14ac:dyDescent="0.25">
      <c r="A363" s="5" t="s">
        <v>391</v>
      </c>
      <c r="B363" s="7" t="s">
        <v>20</v>
      </c>
      <c r="C363" s="7" t="s">
        <v>1034</v>
      </c>
      <c r="D363" s="7" t="s">
        <v>21</v>
      </c>
      <c r="E363" s="7" t="s">
        <v>16</v>
      </c>
      <c r="F363" s="7" t="s">
        <v>38</v>
      </c>
      <c r="G363" s="9">
        <v>94.47</v>
      </c>
      <c r="H363" s="13">
        <v>8</v>
      </c>
      <c r="I363" s="17">
        <v>37.787999999999997</v>
      </c>
      <c r="J363" s="9">
        <v>793.548</v>
      </c>
      <c r="K363" s="21">
        <v>43523</v>
      </c>
      <c r="L363" s="3">
        <v>0.6333333333333333</v>
      </c>
      <c r="M363" s="7" t="s">
        <v>23</v>
      </c>
      <c r="N363" s="19">
        <v>755.76</v>
      </c>
      <c r="O363" s="15">
        <v>4.7619047620000003</v>
      </c>
      <c r="P363" s="9">
        <v>37.787999999999997</v>
      </c>
      <c r="Q363" s="11">
        <v>9.1</v>
      </c>
    </row>
    <row r="364" spans="1:17" x14ac:dyDescent="0.25">
      <c r="A364" s="5" t="s">
        <v>392</v>
      </c>
      <c r="B364" s="7" t="s">
        <v>20</v>
      </c>
      <c r="C364" s="7" t="s">
        <v>1034</v>
      </c>
      <c r="D364" s="7" t="s">
        <v>21</v>
      </c>
      <c r="E364" s="7" t="s">
        <v>25</v>
      </c>
      <c r="F364" s="7" t="s">
        <v>38</v>
      </c>
      <c r="G364" s="9">
        <v>99.79</v>
      </c>
      <c r="H364" s="13">
        <v>2</v>
      </c>
      <c r="I364" s="17">
        <v>9.9789999999999992</v>
      </c>
      <c r="J364" s="9">
        <v>209.559</v>
      </c>
      <c r="K364" s="21">
        <v>43531</v>
      </c>
      <c r="L364" s="3">
        <v>0.85902777777777772</v>
      </c>
      <c r="M364" s="7" t="s">
        <v>18</v>
      </c>
      <c r="N364" s="19">
        <v>199.58</v>
      </c>
      <c r="O364" s="15">
        <v>4.7619047620000003</v>
      </c>
      <c r="P364" s="9">
        <v>9.9789999999999992</v>
      </c>
      <c r="Q364" s="11">
        <v>8</v>
      </c>
    </row>
    <row r="365" spans="1:17" x14ac:dyDescent="0.25">
      <c r="A365" s="5" t="s">
        <v>393</v>
      </c>
      <c r="B365" s="7" t="s">
        <v>13</v>
      </c>
      <c r="C365" s="7" t="s">
        <v>14</v>
      </c>
      <c r="D365" s="7" t="s">
        <v>21</v>
      </c>
      <c r="E365" s="7" t="s">
        <v>25</v>
      </c>
      <c r="F365" s="7" t="s">
        <v>26</v>
      </c>
      <c r="G365" s="9">
        <v>73.22</v>
      </c>
      <c r="H365" s="13">
        <v>6</v>
      </c>
      <c r="I365" s="17">
        <v>21.966000000000001</v>
      </c>
      <c r="J365" s="9">
        <v>461.286</v>
      </c>
      <c r="K365" s="21">
        <v>43486</v>
      </c>
      <c r="L365" s="3">
        <v>0.73888888888888893</v>
      </c>
      <c r="M365" s="7" t="s">
        <v>23</v>
      </c>
      <c r="N365" s="19">
        <v>439.32</v>
      </c>
      <c r="O365" s="15">
        <v>4.7619047620000003</v>
      </c>
      <c r="P365" s="9">
        <v>21.966000000000001</v>
      </c>
      <c r="Q365" s="11">
        <v>7.2</v>
      </c>
    </row>
    <row r="366" spans="1:17" x14ac:dyDescent="0.25">
      <c r="A366" s="5" t="s">
        <v>394</v>
      </c>
      <c r="B366" s="7" t="s">
        <v>20</v>
      </c>
      <c r="C366" s="7" t="s">
        <v>1034</v>
      </c>
      <c r="D366" s="7" t="s">
        <v>21</v>
      </c>
      <c r="E366" s="7" t="s">
        <v>16</v>
      </c>
      <c r="F366" s="7" t="s">
        <v>38</v>
      </c>
      <c r="G366" s="9">
        <v>41.24</v>
      </c>
      <c r="H366" s="13">
        <v>4</v>
      </c>
      <c r="I366" s="17">
        <v>8.2479999999999993</v>
      </c>
      <c r="J366" s="9">
        <v>173.208</v>
      </c>
      <c r="K366" s="21">
        <v>43515</v>
      </c>
      <c r="L366" s="3">
        <v>0.68263888888888891</v>
      </c>
      <c r="M366" s="7" t="s">
        <v>23</v>
      </c>
      <c r="N366" s="19">
        <v>164.96</v>
      </c>
      <c r="O366" s="15">
        <v>4.7619047620000003</v>
      </c>
      <c r="P366" s="9">
        <v>8.2479999999999993</v>
      </c>
      <c r="Q366" s="11">
        <v>7.1</v>
      </c>
    </row>
    <row r="367" spans="1:17" x14ac:dyDescent="0.25">
      <c r="A367" s="5" t="s">
        <v>395</v>
      </c>
      <c r="B367" s="7" t="s">
        <v>20</v>
      </c>
      <c r="C367" s="7" t="s">
        <v>1034</v>
      </c>
      <c r="D367" s="7" t="s">
        <v>21</v>
      </c>
      <c r="E367" s="7" t="s">
        <v>16</v>
      </c>
      <c r="F367" s="7" t="s">
        <v>40</v>
      </c>
      <c r="G367" s="9">
        <v>81.680000000000007</v>
      </c>
      <c r="H367" s="13">
        <v>4</v>
      </c>
      <c r="I367" s="17">
        <v>16.335999999999999</v>
      </c>
      <c r="J367" s="9">
        <v>343.05599999999998</v>
      </c>
      <c r="K367" s="21">
        <v>43471</v>
      </c>
      <c r="L367" s="3">
        <v>0.5083333333333333</v>
      </c>
      <c r="M367" s="7" t="s">
        <v>23</v>
      </c>
      <c r="N367" s="19">
        <v>326.72000000000003</v>
      </c>
      <c r="O367" s="15">
        <v>4.7619047620000003</v>
      </c>
      <c r="P367" s="9">
        <v>16.335999999999999</v>
      </c>
      <c r="Q367" s="11">
        <v>9.1</v>
      </c>
    </row>
    <row r="368" spans="1:17" x14ac:dyDescent="0.25">
      <c r="A368" s="5" t="s">
        <v>396</v>
      </c>
      <c r="B368" s="7" t="s">
        <v>20</v>
      </c>
      <c r="C368" s="7" t="s">
        <v>1034</v>
      </c>
      <c r="D368" s="7" t="s">
        <v>21</v>
      </c>
      <c r="E368" s="7" t="s">
        <v>16</v>
      </c>
      <c r="F368" s="7" t="s">
        <v>22</v>
      </c>
      <c r="G368" s="9">
        <v>51.32</v>
      </c>
      <c r="H368" s="13">
        <v>9</v>
      </c>
      <c r="I368" s="17">
        <v>23.094000000000001</v>
      </c>
      <c r="J368" s="9">
        <v>484.97399999999999</v>
      </c>
      <c r="K368" s="21">
        <v>43538</v>
      </c>
      <c r="L368" s="3">
        <v>0.81458333333333333</v>
      </c>
      <c r="M368" s="7" t="s">
        <v>23</v>
      </c>
      <c r="N368" s="19">
        <v>461.88</v>
      </c>
      <c r="O368" s="15">
        <v>4.7619047620000003</v>
      </c>
      <c r="P368" s="9">
        <v>23.094000000000001</v>
      </c>
      <c r="Q368" s="11">
        <v>5.6</v>
      </c>
    </row>
    <row r="369" spans="1:17" x14ac:dyDescent="0.25">
      <c r="A369" s="5" t="s">
        <v>397</v>
      </c>
      <c r="B369" s="7" t="s">
        <v>13</v>
      </c>
      <c r="C369" s="7" t="s">
        <v>14</v>
      </c>
      <c r="D369" s="7" t="s">
        <v>15</v>
      </c>
      <c r="E369" s="7" t="s">
        <v>25</v>
      </c>
      <c r="F369" s="7" t="s">
        <v>26</v>
      </c>
      <c r="G369" s="9">
        <v>65.94</v>
      </c>
      <c r="H369" s="13">
        <v>4</v>
      </c>
      <c r="I369" s="17">
        <v>13.188000000000001</v>
      </c>
      <c r="J369" s="9">
        <v>276.94799999999998</v>
      </c>
      <c r="K369" s="21">
        <v>43548</v>
      </c>
      <c r="L369" s="3">
        <v>0.43680555555555556</v>
      </c>
      <c r="M369" s="7" t="s">
        <v>23</v>
      </c>
      <c r="N369" s="19">
        <v>263.76</v>
      </c>
      <c r="O369" s="15">
        <v>4.7619047620000003</v>
      </c>
      <c r="P369" s="9">
        <v>13.188000000000001</v>
      </c>
      <c r="Q369" s="11">
        <v>6</v>
      </c>
    </row>
    <row r="370" spans="1:17" x14ac:dyDescent="0.25">
      <c r="A370" s="5" t="s">
        <v>398</v>
      </c>
      <c r="B370" s="7" t="s">
        <v>20</v>
      </c>
      <c r="C370" s="7" t="s">
        <v>1034</v>
      </c>
      <c r="D370" s="7" t="s">
        <v>21</v>
      </c>
      <c r="E370" s="7" t="s">
        <v>16</v>
      </c>
      <c r="F370" s="7" t="s">
        <v>30</v>
      </c>
      <c r="G370" s="9">
        <v>14.36</v>
      </c>
      <c r="H370" s="13">
        <v>10</v>
      </c>
      <c r="I370" s="17">
        <v>7.18</v>
      </c>
      <c r="J370" s="9">
        <v>150.78</v>
      </c>
      <c r="K370" s="21">
        <v>43492</v>
      </c>
      <c r="L370" s="3">
        <v>0.60277777777777775</v>
      </c>
      <c r="M370" s="7" t="s">
        <v>23</v>
      </c>
      <c r="N370" s="19">
        <v>143.6</v>
      </c>
      <c r="O370" s="15">
        <v>4.7619047620000003</v>
      </c>
      <c r="P370" s="9">
        <v>7.18</v>
      </c>
      <c r="Q370" s="11">
        <v>5.4</v>
      </c>
    </row>
    <row r="371" spans="1:17" x14ac:dyDescent="0.25">
      <c r="A371" s="5" t="s">
        <v>399</v>
      </c>
      <c r="B371" s="7" t="s">
        <v>13</v>
      </c>
      <c r="C371" s="7" t="s">
        <v>14</v>
      </c>
      <c r="D371" s="7" t="s">
        <v>15</v>
      </c>
      <c r="E371" s="7" t="s">
        <v>25</v>
      </c>
      <c r="F371" s="7" t="s">
        <v>22</v>
      </c>
      <c r="G371" s="9">
        <v>21.5</v>
      </c>
      <c r="H371" s="13">
        <v>9</v>
      </c>
      <c r="I371" s="17">
        <v>9.6750000000000007</v>
      </c>
      <c r="J371" s="9">
        <v>203.17500000000001</v>
      </c>
      <c r="K371" s="21">
        <v>43530</v>
      </c>
      <c r="L371" s="3">
        <v>0.53194444444444444</v>
      </c>
      <c r="M371" s="7" t="s">
        <v>27</v>
      </c>
      <c r="N371" s="19">
        <v>193.5</v>
      </c>
      <c r="O371" s="15">
        <v>4.7619047620000003</v>
      </c>
      <c r="P371" s="9">
        <v>9.6750000000000007</v>
      </c>
      <c r="Q371" s="11">
        <v>7.8</v>
      </c>
    </row>
    <row r="372" spans="1:17" x14ac:dyDescent="0.25">
      <c r="A372" s="5" t="s">
        <v>400</v>
      </c>
      <c r="B372" s="7" t="s">
        <v>36</v>
      </c>
      <c r="C372" s="7" t="s">
        <v>37</v>
      </c>
      <c r="D372" s="7" t="s">
        <v>15</v>
      </c>
      <c r="E372" s="7" t="s">
        <v>16</v>
      </c>
      <c r="F372" s="7" t="s">
        <v>22</v>
      </c>
      <c r="G372" s="9">
        <v>26.26</v>
      </c>
      <c r="H372" s="13">
        <v>7</v>
      </c>
      <c r="I372" s="17">
        <v>9.1910000000000007</v>
      </c>
      <c r="J372" s="9">
        <v>193.011</v>
      </c>
      <c r="K372" s="21">
        <v>43498</v>
      </c>
      <c r="L372" s="3">
        <v>0.81944444444444442</v>
      </c>
      <c r="M372" s="7" t="s">
        <v>23</v>
      </c>
      <c r="N372" s="19">
        <v>183.82</v>
      </c>
      <c r="O372" s="15">
        <v>4.7619047620000003</v>
      </c>
      <c r="P372" s="9">
        <v>9.1910000000000007</v>
      </c>
      <c r="Q372" s="11">
        <v>9.9</v>
      </c>
    </row>
    <row r="373" spans="1:17" x14ac:dyDescent="0.25">
      <c r="A373" s="5" t="s">
        <v>401</v>
      </c>
      <c r="B373" s="7" t="s">
        <v>36</v>
      </c>
      <c r="C373" s="7" t="s">
        <v>37</v>
      </c>
      <c r="D373" s="7" t="s">
        <v>21</v>
      </c>
      <c r="E373" s="7" t="s">
        <v>16</v>
      </c>
      <c r="F373" s="7" t="s">
        <v>40</v>
      </c>
      <c r="G373" s="9">
        <v>60.96</v>
      </c>
      <c r="H373" s="13">
        <v>2</v>
      </c>
      <c r="I373" s="17">
        <v>6.0960000000000001</v>
      </c>
      <c r="J373" s="9">
        <v>128.01599999999999</v>
      </c>
      <c r="K373" s="21">
        <v>43490</v>
      </c>
      <c r="L373" s="3">
        <v>0.81874999999999998</v>
      </c>
      <c r="M373" s="7" t="s">
        <v>27</v>
      </c>
      <c r="N373" s="19">
        <v>121.92</v>
      </c>
      <c r="O373" s="15">
        <v>4.7619047620000003</v>
      </c>
      <c r="P373" s="9">
        <v>6.0960000000000001</v>
      </c>
      <c r="Q373" s="11">
        <v>4.9000000000000004</v>
      </c>
    </row>
    <row r="374" spans="1:17" x14ac:dyDescent="0.25">
      <c r="A374" s="5" t="s">
        <v>402</v>
      </c>
      <c r="B374" s="7" t="s">
        <v>20</v>
      </c>
      <c r="C374" s="7" t="s">
        <v>1034</v>
      </c>
      <c r="D374" s="7" t="s">
        <v>21</v>
      </c>
      <c r="E374" s="7" t="s">
        <v>16</v>
      </c>
      <c r="F374" s="7" t="s">
        <v>26</v>
      </c>
      <c r="G374" s="9">
        <v>70.11</v>
      </c>
      <c r="H374" s="13">
        <v>6</v>
      </c>
      <c r="I374" s="17">
        <v>21.033000000000001</v>
      </c>
      <c r="J374" s="9">
        <v>441.69299999999998</v>
      </c>
      <c r="K374" s="21">
        <v>43538</v>
      </c>
      <c r="L374" s="3">
        <v>0.74583333333333335</v>
      </c>
      <c r="M374" s="7" t="s">
        <v>18</v>
      </c>
      <c r="N374" s="19">
        <v>420.66</v>
      </c>
      <c r="O374" s="15">
        <v>4.7619047620000003</v>
      </c>
      <c r="P374" s="9">
        <v>21.033000000000001</v>
      </c>
      <c r="Q374" s="11">
        <v>5.2</v>
      </c>
    </row>
    <row r="375" spans="1:17" x14ac:dyDescent="0.25">
      <c r="A375" s="5" t="s">
        <v>403</v>
      </c>
      <c r="B375" s="7" t="s">
        <v>20</v>
      </c>
      <c r="C375" s="7" t="s">
        <v>1034</v>
      </c>
      <c r="D375" s="7" t="s">
        <v>21</v>
      </c>
      <c r="E375" s="7" t="s">
        <v>25</v>
      </c>
      <c r="F375" s="7" t="s">
        <v>40</v>
      </c>
      <c r="G375" s="9">
        <v>42.08</v>
      </c>
      <c r="H375" s="13">
        <v>6</v>
      </c>
      <c r="I375" s="17">
        <v>12.624000000000001</v>
      </c>
      <c r="J375" s="9">
        <v>265.10399999999998</v>
      </c>
      <c r="K375" s="21">
        <v>43494</v>
      </c>
      <c r="L375" s="3">
        <v>0.51736111111111116</v>
      </c>
      <c r="M375" s="7" t="s">
        <v>23</v>
      </c>
      <c r="N375" s="19">
        <v>252.48</v>
      </c>
      <c r="O375" s="15">
        <v>4.7619047620000003</v>
      </c>
      <c r="P375" s="9">
        <v>12.624000000000001</v>
      </c>
      <c r="Q375" s="11">
        <v>8.9</v>
      </c>
    </row>
    <row r="376" spans="1:17" x14ac:dyDescent="0.25">
      <c r="A376" s="5" t="s">
        <v>404</v>
      </c>
      <c r="B376" s="7" t="s">
        <v>13</v>
      </c>
      <c r="C376" s="7" t="s">
        <v>14</v>
      </c>
      <c r="D376" s="7" t="s">
        <v>21</v>
      </c>
      <c r="E376" s="7" t="s">
        <v>16</v>
      </c>
      <c r="F376" s="7" t="s">
        <v>26</v>
      </c>
      <c r="G376" s="9">
        <v>67.09</v>
      </c>
      <c r="H376" s="13">
        <v>5</v>
      </c>
      <c r="I376" s="17">
        <v>16.772500000000001</v>
      </c>
      <c r="J376" s="9">
        <v>352.22250000000003</v>
      </c>
      <c r="K376" s="21">
        <v>43468</v>
      </c>
      <c r="L376" s="3">
        <v>0.69930555555555551</v>
      </c>
      <c r="M376" s="7" t="s">
        <v>27</v>
      </c>
      <c r="N376" s="19">
        <v>335.45</v>
      </c>
      <c r="O376" s="15">
        <v>4.7619047620000003</v>
      </c>
      <c r="P376" s="9">
        <v>16.772500000000001</v>
      </c>
      <c r="Q376" s="11">
        <v>9.1</v>
      </c>
    </row>
    <row r="377" spans="1:17" x14ac:dyDescent="0.25">
      <c r="A377" s="5" t="s">
        <v>405</v>
      </c>
      <c r="B377" s="7" t="s">
        <v>13</v>
      </c>
      <c r="C377" s="7" t="s">
        <v>14</v>
      </c>
      <c r="D377" s="7" t="s">
        <v>15</v>
      </c>
      <c r="E377" s="7" t="s">
        <v>16</v>
      </c>
      <c r="F377" s="7" t="s">
        <v>40</v>
      </c>
      <c r="G377" s="9">
        <v>96.7</v>
      </c>
      <c r="H377" s="13">
        <v>5</v>
      </c>
      <c r="I377" s="17">
        <v>24.175000000000001</v>
      </c>
      <c r="J377" s="9">
        <v>507.67500000000001</v>
      </c>
      <c r="K377" s="21">
        <v>43479</v>
      </c>
      <c r="L377" s="3">
        <v>0.53611111111111109</v>
      </c>
      <c r="M377" s="7" t="s">
        <v>18</v>
      </c>
      <c r="N377" s="19">
        <v>483.5</v>
      </c>
      <c r="O377" s="15">
        <v>4.7619047620000003</v>
      </c>
      <c r="P377" s="9">
        <v>24.175000000000001</v>
      </c>
      <c r="Q377" s="11">
        <v>7</v>
      </c>
    </row>
    <row r="378" spans="1:17" x14ac:dyDescent="0.25">
      <c r="A378" s="5" t="s">
        <v>406</v>
      </c>
      <c r="B378" s="7" t="s">
        <v>36</v>
      </c>
      <c r="C378" s="7" t="s">
        <v>37</v>
      </c>
      <c r="D378" s="7" t="s">
        <v>15</v>
      </c>
      <c r="E378" s="7" t="s">
        <v>16</v>
      </c>
      <c r="F378" s="7" t="s">
        <v>26</v>
      </c>
      <c r="G378" s="9">
        <v>35.380000000000003</v>
      </c>
      <c r="H378" s="13">
        <v>9</v>
      </c>
      <c r="I378" s="17">
        <v>15.920999999999999</v>
      </c>
      <c r="J378" s="9">
        <v>334.34100000000001</v>
      </c>
      <c r="K378" s="21">
        <v>43470</v>
      </c>
      <c r="L378" s="3">
        <v>0.82638888888888884</v>
      </c>
      <c r="M378" s="7" t="s">
        <v>27</v>
      </c>
      <c r="N378" s="19">
        <v>318.42</v>
      </c>
      <c r="O378" s="15">
        <v>4.7619047620000003</v>
      </c>
      <c r="P378" s="9">
        <v>15.920999999999999</v>
      </c>
      <c r="Q378" s="11">
        <v>9.6</v>
      </c>
    </row>
    <row r="379" spans="1:17" x14ac:dyDescent="0.25">
      <c r="A379" s="5" t="s">
        <v>407</v>
      </c>
      <c r="B379" s="7" t="s">
        <v>20</v>
      </c>
      <c r="C379" s="7" t="s">
        <v>1034</v>
      </c>
      <c r="D379" s="7" t="s">
        <v>21</v>
      </c>
      <c r="E379" s="7" t="s">
        <v>25</v>
      </c>
      <c r="F379" s="7" t="s">
        <v>30</v>
      </c>
      <c r="G379" s="9">
        <v>95.49</v>
      </c>
      <c r="H379" s="13">
        <v>7</v>
      </c>
      <c r="I379" s="17">
        <v>33.421500000000002</v>
      </c>
      <c r="J379" s="9">
        <v>701.85149999999999</v>
      </c>
      <c r="K379" s="21">
        <v>43518</v>
      </c>
      <c r="L379" s="3">
        <v>0.76180555555555551</v>
      </c>
      <c r="M379" s="7" t="s">
        <v>18</v>
      </c>
      <c r="N379" s="19">
        <v>668.43</v>
      </c>
      <c r="O379" s="15">
        <v>4.7619047620000003</v>
      </c>
      <c r="P379" s="9">
        <v>33.421500000000002</v>
      </c>
      <c r="Q379" s="11">
        <v>8.6999999999999993</v>
      </c>
    </row>
    <row r="380" spans="1:17" x14ac:dyDescent="0.25">
      <c r="A380" s="5" t="s">
        <v>408</v>
      </c>
      <c r="B380" s="7" t="s">
        <v>20</v>
      </c>
      <c r="C380" s="7" t="s">
        <v>1034</v>
      </c>
      <c r="D380" s="7" t="s">
        <v>15</v>
      </c>
      <c r="E380" s="7" t="s">
        <v>25</v>
      </c>
      <c r="F380" s="7" t="s">
        <v>40</v>
      </c>
      <c r="G380" s="9">
        <v>96.98</v>
      </c>
      <c r="H380" s="13">
        <v>4</v>
      </c>
      <c r="I380" s="17">
        <v>19.396000000000001</v>
      </c>
      <c r="J380" s="9">
        <v>407.31599999999997</v>
      </c>
      <c r="K380" s="21">
        <v>43502</v>
      </c>
      <c r="L380" s="3">
        <v>0.72222222222222221</v>
      </c>
      <c r="M380" s="7" t="s">
        <v>18</v>
      </c>
      <c r="N380" s="19">
        <v>387.92</v>
      </c>
      <c r="O380" s="15">
        <v>4.7619047620000003</v>
      </c>
      <c r="P380" s="9">
        <v>19.396000000000001</v>
      </c>
      <c r="Q380" s="11">
        <v>9.4</v>
      </c>
    </row>
    <row r="381" spans="1:17" x14ac:dyDescent="0.25">
      <c r="A381" s="5" t="s">
        <v>409</v>
      </c>
      <c r="B381" s="7" t="s">
        <v>36</v>
      </c>
      <c r="C381" s="7" t="s">
        <v>37</v>
      </c>
      <c r="D381" s="7" t="s">
        <v>21</v>
      </c>
      <c r="E381" s="7" t="s">
        <v>16</v>
      </c>
      <c r="F381" s="7" t="s">
        <v>22</v>
      </c>
      <c r="G381" s="9">
        <v>23.65</v>
      </c>
      <c r="H381" s="13">
        <v>4</v>
      </c>
      <c r="I381" s="17">
        <v>4.7300000000000004</v>
      </c>
      <c r="J381" s="9">
        <v>99.33</v>
      </c>
      <c r="K381" s="21">
        <v>43495</v>
      </c>
      <c r="L381" s="3">
        <v>0.56388888888888888</v>
      </c>
      <c r="M381" s="7" t="s">
        <v>27</v>
      </c>
      <c r="N381" s="19">
        <v>94.6</v>
      </c>
      <c r="O381" s="15">
        <v>4.7619047620000003</v>
      </c>
      <c r="P381" s="9">
        <v>4.7300000000000004</v>
      </c>
      <c r="Q381" s="11">
        <v>4</v>
      </c>
    </row>
    <row r="382" spans="1:17" x14ac:dyDescent="0.25">
      <c r="A382" s="5" t="s">
        <v>410</v>
      </c>
      <c r="B382" s="7" t="s">
        <v>13</v>
      </c>
      <c r="C382" s="7" t="s">
        <v>14</v>
      </c>
      <c r="D382" s="7" t="s">
        <v>15</v>
      </c>
      <c r="E382" s="7" t="s">
        <v>25</v>
      </c>
      <c r="F382" s="7" t="s">
        <v>30</v>
      </c>
      <c r="G382" s="9">
        <v>82.33</v>
      </c>
      <c r="H382" s="13">
        <v>4</v>
      </c>
      <c r="I382" s="17">
        <v>16.466000000000001</v>
      </c>
      <c r="J382" s="9">
        <v>345.786</v>
      </c>
      <c r="K382" s="21">
        <v>43476</v>
      </c>
      <c r="L382" s="3">
        <v>0.44236111111111109</v>
      </c>
      <c r="M382" s="7" t="s">
        <v>27</v>
      </c>
      <c r="N382" s="19">
        <v>329.32</v>
      </c>
      <c r="O382" s="15">
        <v>4.7619047620000003</v>
      </c>
      <c r="P382" s="9">
        <v>16.466000000000001</v>
      </c>
      <c r="Q382" s="11">
        <v>7.5</v>
      </c>
    </row>
    <row r="383" spans="1:17" x14ac:dyDescent="0.25">
      <c r="A383" s="5" t="s">
        <v>411</v>
      </c>
      <c r="B383" s="7" t="s">
        <v>20</v>
      </c>
      <c r="C383" s="7" t="s">
        <v>1034</v>
      </c>
      <c r="D383" s="7" t="s">
        <v>21</v>
      </c>
      <c r="E383" s="7" t="s">
        <v>16</v>
      </c>
      <c r="F383" s="7" t="s">
        <v>22</v>
      </c>
      <c r="G383" s="9">
        <v>26.61</v>
      </c>
      <c r="H383" s="13">
        <v>2</v>
      </c>
      <c r="I383" s="17">
        <v>2.661</v>
      </c>
      <c r="J383" s="9">
        <v>55.881</v>
      </c>
      <c r="K383" s="21">
        <v>43543</v>
      </c>
      <c r="L383" s="3">
        <v>0.60763888888888884</v>
      </c>
      <c r="M383" s="7" t="s">
        <v>23</v>
      </c>
      <c r="N383" s="19">
        <v>53.22</v>
      </c>
      <c r="O383" s="15">
        <v>4.7619047620000003</v>
      </c>
      <c r="P383" s="9">
        <v>2.661</v>
      </c>
      <c r="Q383" s="11">
        <v>4.2</v>
      </c>
    </row>
    <row r="384" spans="1:17" x14ac:dyDescent="0.25">
      <c r="A384" s="5" t="s">
        <v>412</v>
      </c>
      <c r="B384" s="7" t="s">
        <v>36</v>
      </c>
      <c r="C384" s="7" t="s">
        <v>37</v>
      </c>
      <c r="D384" s="7" t="s">
        <v>21</v>
      </c>
      <c r="E384" s="7" t="s">
        <v>16</v>
      </c>
      <c r="F384" s="7" t="s">
        <v>38</v>
      </c>
      <c r="G384" s="9">
        <v>99.69</v>
      </c>
      <c r="H384" s="13">
        <v>5</v>
      </c>
      <c r="I384" s="17">
        <v>24.922499999999999</v>
      </c>
      <c r="J384" s="9">
        <v>523.37249999999995</v>
      </c>
      <c r="K384" s="21">
        <v>43479</v>
      </c>
      <c r="L384" s="3">
        <v>0.50624999999999998</v>
      </c>
      <c r="M384" s="7" t="s">
        <v>23</v>
      </c>
      <c r="N384" s="19">
        <v>498.45</v>
      </c>
      <c r="O384" s="15">
        <v>4.7619047620000003</v>
      </c>
      <c r="P384" s="9">
        <v>24.922499999999999</v>
      </c>
      <c r="Q384" s="11">
        <v>9.9</v>
      </c>
    </row>
    <row r="385" spans="1:17" x14ac:dyDescent="0.25">
      <c r="A385" s="5" t="s">
        <v>413</v>
      </c>
      <c r="B385" s="7" t="s">
        <v>20</v>
      </c>
      <c r="C385" s="7" t="s">
        <v>1034</v>
      </c>
      <c r="D385" s="7" t="s">
        <v>15</v>
      </c>
      <c r="E385" s="7" t="s">
        <v>16</v>
      </c>
      <c r="F385" s="7" t="s">
        <v>38</v>
      </c>
      <c r="G385" s="9">
        <v>74.89</v>
      </c>
      <c r="H385" s="13">
        <v>4</v>
      </c>
      <c r="I385" s="17">
        <v>14.978</v>
      </c>
      <c r="J385" s="9">
        <v>314.53800000000001</v>
      </c>
      <c r="K385" s="21">
        <v>43525</v>
      </c>
      <c r="L385" s="3">
        <v>0.64722222222222225</v>
      </c>
      <c r="M385" s="7" t="s">
        <v>18</v>
      </c>
      <c r="N385" s="19">
        <v>299.56</v>
      </c>
      <c r="O385" s="15">
        <v>4.7619047620000003</v>
      </c>
      <c r="P385" s="9">
        <v>14.978</v>
      </c>
      <c r="Q385" s="11">
        <v>4.2</v>
      </c>
    </row>
    <row r="386" spans="1:17" x14ac:dyDescent="0.25">
      <c r="A386" s="5" t="s">
        <v>414</v>
      </c>
      <c r="B386" s="7" t="s">
        <v>13</v>
      </c>
      <c r="C386" s="7" t="s">
        <v>14</v>
      </c>
      <c r="D386" s="7" t="s">
        <v>21</v>
      </c>
      <c r="E386" s="7" t="s">
        <v>16</v>
      </c>
      <c r="F386" s="7" t="s">
        <v>38</v>
      </c>
      <c r="G386" s="9">
        <v>40.94</v>
      </c>
      <c r="H386" s="13">
        <v>5</v>
      </c>
      <c r="I386" s="17">
        <v>10.234999999999999</v>
      </c>
      <c r="J386" s="9">
        <v>214.935</v>
      </c>
      <c r="K386" s="21">
        <v>43471</v>
      </c>
      <c r="L386" s="3">
        <v>0.58194444444444449</v>
      </c>
      <c r="M386" s="7" t="s">
        <v>18</v>
      </c>
      <c r="N386" s="19">
        <v>204.7</v>
      </c>
      <c r="O386" s="15">
        <v>4.7619047620000003</v>
      </c>
      <c r="P386" s="9">
        <v>10.234999999999999</v>
      </c>
      <c r="Q386" s="11">
        <v>9.9</v>
      </c>
    </row>
    <row r="387" spans="1:17" x14ac:dyDescent="0.25">
      <c r="A387" s="5" t="s">
        <v>415</v>
      </c>
      <c r="B387" s="7" t="s">
        <v>36</v>
      </c>
      <c r="C387" s="7" t="s">
        <v>37</v>
      </c>
      <c r="D387" s="7" t="s">
        <v>15</v>
      </c>
      <c r="E387" s="7" t="s">
        <v>25</v>
      </c>
      <c r="F387" s="7" t="s">
        <v>30</v>
      </c>
      <c r="G387" s="9">
        <v>75.819999999999993</v>
      </c>
      <c r="H387" s="13">
        <v>1</v>
      </c>
      <c r="I387" s="17">
        <v>3.7909999999999999</v>
      </c>
      <c r="J387" s="9">
        <v>79.611000000000004</v>
      </c>
      <c r="K387" s="21">
        <v>43496</v>
      </c>
      <c r="L387" s="3">
        <v>0.55486111111111114</v>
      </c>
      <c r="M387" s="7" t="s">
        <v>23</v>
      </c>
      <c r="N387" s="19">
        <v>75.819999999999993</v>
      </c>
      <c r="O387" s="15">
        <v>4.7619047620000003</v>
      </c>
      <c r="P387" s="9">
        <v>3.7909999999999999</v>
      </c>
      <c r="Q387" s="11">
        <v>5.8</v>
      </c>
    </row>
    <row r="388" spans="1:17" x14ac:dyDescent="0.25">
      <c r="A388" s="5" t="s">
        <v>416</v>
      </c>
      <c r="B388" s="7" t="s">
        <v>20</v>
      </c>
      <c r="C388" s="7" t="s">
        <v>1034</v>
      </c>
      <c r="D388" s="7" t="s">
        <v>21</v>
      </c>
      <c r="E388" s="7" t="s">
        <v>25</v>
      </c>
      <c r="F388" s="7" t="s">
        <v>38</v>
      </c>
      <c r="G388" s="9">
        <v>46.77</v>
      </c>
      <c r="H388" s="13">
        <v>6</v>
      </c>
      <c r="I388" s="17">
        <v>14.031000000000001</v>
      </c>
      <c r="J388" s="9">
        <v>294.65100000000001</v>
      </c>
      <c r="K388" s="21">
        <v>43535</v>
      </c>
      <c r="L388" s="3">
        <v>0.56736111111111109</v>
      </c>
      <c r="M388" s="7" t="s">
        <v>23</v>
      </c>
      <c r="N388" s="19">
        <v>280.62</v>
      </c>
      <c r="O388" s="15">
        <v>4.7619047620000003</v>
      </c>
      <c r="P388" s="9">
        <v>14.031000000000001</v>
      </c>
      <c r="Q388" s="11">
        <v>6</v>
      </c>
    </row>
    <row r="389" spans="1:17" x14ac:dyDescent="0.25">
      <c r="A389" s="5" t="s">
        <v>417</v>
      </c>
      <c r="B389" s="7" t="s">
        <v>13</v>
      </c>
      <c r="C389" s="7" t="s">
        <v>14</v>
      </c>
      <c r="D389" s="7" t="s">
        <v>21</v>
      </c>
      <c r="E389" s="7" t="s">
        <v>16</v>
      </c>
      <c r="F389" s="7" t="s">
        <v>17</v>
      </c>
      <c r="G389" s="9">
        <v>32.32</v>
      </c>
      <c r="H389" s="13">
        <v>10</v>
      </c>
      <c r="I389" s="17">
        <v>16.16</v>
      </c>
      <c r="J389" s="9">
        <v>339.36</v>
      </c>
      <c r="K389" s="21">
        <v>43516</v>
      </c>
      <c r="L389" s="3">
        <v>0.7006944444444444</v>
      </c>
      <c r="M389" s="7" t="s">
        <v>27</v>
      </c>
      <c r="N389" s="19">
        <v>323.2</v>
      </c>
      <c r="O389" s="15">
        <v>4.7619047620000003</v>
      </c>
      <c r="P389" s="9">
        <v>16.16</v>
      </c>
      <c r="Q389" s="11">
        <v>10</v>
      </c>
    </row>
    <row r="390" spans="1:17" x14ac:dyDescent="0.25">
      <c r="A390" s="5" t="s">
        <v>418</v>
      </c>
      <c r="B390" s="7" t="s">
        <v>20</v>
      </c>
      <c r="C390" s="7" t="s">
        <v>1034</v>
      </c>
      <c r="D390" s="7" t="s">
        <v>15</v>
      </c>
      <c r="E390" s="7" t="s">
        <v>16</v>
      </c>
      <c r="F390" s="7" t="s">
        <v>40</v>
      </c>
      <c r="G390" s="9">
        <v>54.07</v>
      </c>
      <c r="H390" s="13">
        <v>9</v>
      </c>
      <c r="I390" s="17">
        <v>24.331499999999998</v>
      </c>
      <c r="J390" s="9">
        <v>510.9615</v>
      </c>
      <c r="K390" s="21">
        <v>43492</v>
      </c>
      <c r="L390" s="3">
        <v>0.62152777777777779</v>
      </c>
      <c r="M390" s="7" t="s">
        <v>18</v>
      </c>
      <c r="N390" s="19">
        <v>486.63</v>
      </c>
      <c r="O390" s="15">
        <v>4.7619047620000003</v>
      </c>
      <c r="P390" s="9">
        <v>24.331499999999998</v>
      </c>
      <c r="Q390" s="11">
        <v>9.5</v>
      </c>
    </row>
    <row r="391" spans="1:17" x14ac:dyDescent="0.25">
      <c r="A391" s="5" t="s">
        <v>419</v>
      </c>
      <c r="B391" s="7" t="s">
        <v>36</v>
      </c>
      <c r="C391" s="7" t="s">
        <v>37</v>
      </c>
      <c r="D391" s="7" t="s">
        <v>21</v>
      </c>
      <c r="E391" s="7" t="s">
        <v>25</v>
      </c>
      <c r="F391" s="7" t="s">
        <v>38</v>
      </c>
      <c r="G391" s="9">
        <v>18.22</v>
      </c>
      <c r="H391" s="13">
        <v>7</v>
      </c>
      <c r="I391" s="17">
        <v>6.3769999999999998</v>
      </c>
      <c r="J391" s="9">
        <v>133.917</v>
      </c>
      <c r="K391" s="21">
        <v>43534</v>
      </c>
      <c r="L391" s="3">
        <v>0.58611111111111114</v>
      </c>
      <c r="M391" s="7" t="s">
        <v>27</v>
      </c>
      <c r="N391" s="19">
        <v>127.54</v>
      </c>
      <c r="O391" s="15">
        <v>4.7619047620000003</v>
      </c>
      <c r="P391" s="9">
        <v>6.3769999999999998</v>
      </c>
      <c r="Q391" s="11">
        <v>6.6</v>
      </c>
    </row>
    <row r="392" spans="1:17" x14ac:dyDescent="0.25">
      <c r="A392" s="5" t="s">
        <v>420</v>
      </c>
      <c r="B392" s="7" t="s">
        <v>20</v>
      </c>
      <c r="C392" s="7" t="s">
        <v>1034</v>
      </c>
      <c r="D392" s="7" t="s">
        <v>15</v>
      </c>
      <c r="E392" s="7" t="s">
        <v>16</v>
      </c>
      <c r="F392" s="7" t="s">
        <v>40</v>
      </c>
      <c r="G392" s="9">
        <v>80.48</v>
      </c>
      <c r="H392" s="13">
        <v>3</v>
      </c>
      <c r="I392" s="17">
        <v>12.071999999999999</v>
      </c>
      <c r="J392" s="9">
        <v>253.512</v>
      </c>
      <c r="K392" s="21">
        <v>43511</v>
      </c>
      <c r="L392" s="3">
        <v>0.52152777777777781</v>
      </c>
      <c r="M392" s="7" t="s">
        <v>23</v>
      </c>
      <c r="N392" s="19">
        <v>241.44</v>
      </c>
      <c r="O392" s="15">
        <v>4.7619047620000003</v>
      </c>
      <c r="P392" s="9">
        <v>12.071999999999999</v>
      </c>
      <c r="Q392" s="11">
        <v>8.1</v>
      </c>
    </row>
    <row r="393" spans="1:17" x14ac:dyDescent="0.25">
      <c r="A393" s="5" t="s">
        <v>421</v>
      </c>
      <c r="B393" s="7" t="s">
        <v>36</v>
      </c>
      <c r="C393" s="7" t="s">
        <v>37</v>
      </c>
      <c r="D393" s="7" t="s">
        <v>21</v>
      </c>
      <c r="E393" s="7" t="s">
        <v>16</v>
      </c>
      <c r="F393" s="7" t="s">
        <v>40</v>
      </c>
      <c r="G393" s="9">
        <v>37.950000000000003</v>
      </c>
      <c r="H393" s="13">
        <v>10</v>
      </c>
      <c r="I393" s="17">
        <v>18.975000000000001</v>
      </c>
      <c r="J393" s="9">
        <v>398.47500000000002</v>
      </c>
      <c r="K393" s="21">
        <v>43491</v>
      </c>
      <c r="L393" s="3">
        <v>0.61875000000000002</v>
      </c>
      <c r="M393" s="7" t="s">
        <v>23</v>
      </c>
      <c r="N393" s="19">
        <v>379.5</v>
      </c>
      <c r="O393" s="15">
        <v>4.7619047620000003</v>
      </c>
      <c r="P393" s="9">
        <v>18.975000000000001</v>
      </c>
      <c r="Q393" s="11">
        <v>9.6999999999999993</v>
      </c>
    </row>
    <row r="394" spans="1:17" x14ac:dyDescent="0.25">
      <c r="A394" s="5" t="s">
        <v>422</v>
      </c>
      <c r="B394" s="7" t="s">
        <v>13</v>
      </c>
      <c r="C394" s="7" t="s">
        <v>14</v>
      </c>
      <c r="D394" s="7" t="s">
        <v>15</v>
      </c>
      <c r="E394" s="7" t="s">
        <v>25</v>
      </c>
      <c r="F394" s="7" t="s">
        <v>22</v>
      </c>
      <c r="G394" s="9">
        <v>76.819999999999993</v>
      </c>
      <c r="H394" s="13">
        <v>1</v>
      </c>
      <c r="I394" s="17">
        <v>3.8410000000000002</v>
      </c>
      <c r="J394" s="9">
        <v>80.661000000000001</v>
      </c>
      <c r="K394" s="21">
        <v>43509</v>
      </c>
      <c r="L394" s="3">
        <v>0.76875000000000004</v>
      </c>
      <c r="M394" s="7" t="s">
        <v>18</v>
      </c>
      <c r="N394" s="19">
        <v>76.819999999999993</v>
      </c>
      <c r="O394" s="15">
        <v>4.7619047620000003</v>
      </c>
      <c r="P394" s="9">
        <v>3.8410000000000002</v>
      </c>
      <c r="Q394" s="11">
        <v>7.2</v>
      </c>
    </row>
    <row r="395" spans="1:17" x14ac:dyDescent="0.25">
      <c r="A395" s="5" t="s">
        <v>423</v>
      </c>
      <c r="B395" s="7" t="s">
        <v>13</v>
      </c>
      <c r="C395" s="7" t="s">
        <v>14</v>
      </c>
      <c r="D395" s="7" t="s">
        <v>15</v>
      </c>
      <c r="E395" s="7" t="s">
        <v>16</v>
      </c>
      <c r="F395" s="7" t="s">
        <v>30</v>
      </c>
      <c r="G395" s="9">
        <v>52.26</v>
      </c>
      <c r="H395" s="13">
        <v>10</v>
      </c>
      <c r="I395" s="17">
        <v>26.13</v>
      </c>
      <c r="J395" s="9">
        <v>548.73</v>
      </c>
      <c r="K395" s="21">
        <v>43533</v>
      </c>
      <c r="L395" s="3">
        <v>0.53125</v>
      </c>
      <c r="M395" s="7" t="s">
        <v>27</v>
      </c>
      <c r="N395" s="19">
        <v>522.6</v>
      </c>
      <c r="O395" s="15">
        <v>4.7619047620000003</v>
      </c>
      <c r="P395" s="9">
        <v>26.13</v>
      </c>
      <c r="Q395" s="11">
        <v>6.2</v>
      </c>
    </row>
    <row r="396" spans="1:17" x14ac:dyDescent="0.25">
      <c r="A396" s="5" t="s">
        <v>424</v>
      </c>
      <c r="B396" s="7" t="s">
        <v>13</v>
      </c>
      <c r="C396" s="7" t="s">
        <v>14</v>
      </c>
      <c r="D396" s="7" t="s">
        <v>21</v>
      </c>
      <c r="E396" s="7" t="s">
        <v>16</v>
      </c>
      <c r="F396" s="7" t="s">
        <v>17</v>
      </c>
      <c r="G396" s="9">
        <v>79.739999999999995</v>
      </c>
      <c r="H396" s="13">
        <v>1</v>
      </c>
      <c r="I396" s="17">
        <v>3.9870000000000001</v>
      </c>
      <c r="J396" s="9">
        <v>83.727000000000004</v>
      </c>
      <c r="K396" s="21">
        <v>43530</v>
      </c>
      <c r="L396" s="3">
        <v>0.44166666666666665</v>
      </c>
      <c r="M396" s="7" t="s">
        <v>18</v>
      </c>
      <c r="N396" s="19">
        <v>79.739999999999995</v>
      </c>
      <c r="O396" s="15">
        <v>4.7619047620000003</v>
      </c>
      <c r="P396" s="9">
        <v>3.9870000000000001</v>
      </c>
      <c r="Q396" s="11">
        <v>7.3</v>
      </c>
    </row>
    <row r="397" spans="1:17" x14ac:dyDescent="0.25">
      <c r="A397" s="5" t="s">
        <v>425</v>
      </c>
      <c r="B397" s="7" t="s">
        <v>13</v>
      </c>
      <c r="C397" s="7" t="s">
        <v>14</v>
      </c>
      <c r="D397" s="7" t="s">
        <v>21</v>
      </c>
      <c r="E397" s="7" t="s">
        <v>16</v>
      </c>
      <c r="F397" s="7" t="s">
        <v>17</v>
      </c>
      <c r="G397" s="9">
        <v>77.5</v>
      </c>
      <c r="H397" s="13">
        <v>5</v>
      </c>
      <c r="I397" s="17">
        <v>19.375</v>
      </c>
      <c r="J397" s="9">
        <v>406.875</v>
      </c>
      <c r="K397" s="21">
        <v>43489</v>
      </c>
      <c r="L397" s="3">
        <v>0.85833333333333328</v>
      </c>
      <c r="M397" s="7" t="s">
        <v>18</v>
      </c>
      <c r="N397" s="19">
        <v>387.5</v>
      </c>
      <c r="O397" s="15">
        <v>4.7619047620000003</v>
      </c>
      <c r="P397" s="9">
        <v>19.375</v>
      </c>
      <c r="Q397" s="11">
        <v>4.3</v>
      </c>
    </row>
    <row r="398" spans="1:17" x14ac:dyDescent="0.25">
      <c r="A398" s="5" t="s">
        <v>426</v>
      </c>
      <c r="B398" s="7" t="s">
        <v>13</v>
      </c>
      <c r="C398" s="7" t="s">
        <v>14</v>
      </c>
      <c r="D398" s="7" t="s">
        <v>21</v>
      </c>
      <c r="E398" s="7" t="s">
        <v>16</v>
      </c>
      <c r="F398" s="7" t="s">
        <v>38</v>
      </c>
      <c r="G398" s="9">
        <v>54.27</v>
      </c>
      <c r="H398" s="13">
        <v>5</v>
      </c>
      <c r="I398" s="17">
        <v>13.567500000000001</v>
      </c>
      <c r="J398" s="9">
        <v>284.91750000000002</v>
      </c>
      <c r="K398" s="21">
        <v>43537</v>
      </c>
      <c r="L398" s="3">
        <v>0.59444444444444444</v>
      </c>
      <c r="M398" s="7" t="s">
        <v>18</v>
      </c>
      <c r="N398" s="19">
        <v>271.35000000000002</v>
      </c>
      <c r="O398" s="15">
        <v>4.7619047620000003</v>
      </c>
      <c r="P398" s="9">
        <v>13.567500000000001</v>
      </c>
      <c r="Q398" s="11">
        <v>4.5999999999999996</v>
      </c>
    </row>
    <row r="399" spans="1:17" x14ac:dyDescent="0.25">
      <c r="A399" s="5" t="s">
        <v>427</v>
      </c>
      <c r="B399" s="7" t="s">
        <v>36</v>
      </c>
      <c r="C399" s="7" t="s">
        <v>37</v>
      </c>
      <c r="D399" s="7" t="s">
        <v>21</v>
      </c>
      <c r="E399" s="7" t="s">
        <v>25</v>
      </c>
      <c r="F399" s="7" t="s">
        <v>26</v>
      </c>
      <c r="G399" s="9">
        <v>13.59</v>
      </c>
      <c r="H399" s="13">
        <v>9</v>
      </c>
      <c r="I399" s="17">
        <v>6.1154999999999999</v>
      </c>
      <c r="J399" s="9">
        <v>128.4255</v>
      </c>
      <c r="K399" s="21">
        <v>43539</v>
      </c>
      <c r="L399" s="3">
        <v>0.43472222222222223</v>
      </c>
      <c r="M399" s="7" t="s">
        <v>23</v>
      </c>
      <c r="N399" s="19">
        <v>122.31</v>
      </c>
      <c r="O399" s="15">
        <v>4.7619047620000003</v>
      </c>
      <c r="P399" s="9">
        <v>6.1154999999999999</v>
      </c>
      <c r="Q399" s="11">
        <v>5.8</v>
      </c>
    </row>
    <row r="400" spans="1:17" x14ac:dyDescent="0.25">
      <c r="A400" s="5" t="s">
        <v>428</v>
      </c>
      <c r="B400" s="7" t="s">
        <v>36</v>
      </c>
      <c r="C400" s="7" t="s">
        <v>37</v>
      </c>
      <c r="D400" s="7" t="s">
        <v>15</v>
      </c>
      <c r="E400" s="7" t="s">
        <v>16</v>
      </c>
      <c r="F400" s="7" t="s">
        <v>17</v>
      </c>
      <c r="G400" s="9">
        <v>41.06</v>
      </c>
      <c r="H400" s="13">
        <v>6</v>
      </c>
      <c r="I400" s="17">
        <v>12.318</v>
      </c>
      <c r="J400" s="9">
        <v>258.678</v>
      </c>
      <c r="K400" s="21">
        <v>43529</v>
      </c>
      <c r="L400" s="3">
        <v>0.5625</v>
      </c>
      <c r="M400" s="7" t="s">
        <v>27</v>
      </c>
      <c r="N400" s="19">
        <v>246.36</v>
      </c>
      <c r="O400" s="15">
        <v>4.7619047620000003</v>
      </c>
      <c r="P400" s="9">
        <v>12.318</v>
      </c>
      <c r="Q400" s="11">
        <v>8.3000000000000007</v>
      </c>
    </row>
    <row r="401" spans="1:17" x14ac:dyDescent="0.25">
      <c r="A401" s="5" t="s">
        <v>429</v>
      </c>
      <c r="B401" s="7" t="s">
        <v>36</v>
      </c>
      <c r="C401" s="7" t="s">
        <v>37</v>
      </c>
      <c r="D401" s="7" t="s">
        <v>15</v>
      </c>
      <c r="E401" s="7" t="s">
        <v>25</v>
      </c>
      <c r="F401" s="7" t="s">
        <v>22</v>
      </c>
      <c r="G401" s="9">
        <v>19.239999999999998</v>
      </c>
      <c r="H401" s="13">
        <v>9</v>
      </c>
      <c r="I401" s="17">
        <v>8.6579999999999995</v>
      </c>
      <c r="J401" s="9">
        <v>181.81800000000001</v>
      </c>
      <c r="K401" s="21">
        <v>43528</v>
      </c>
      <c r="L401" s="3">
        <v>0.68611111111111112</v>
      </c>
      <c r="M401" s="7" t="s">
        <v>23</v>
      </c>
      <c r="N401" s="19">
        <v>173.16</v>
      </c>
      <c r="O401" s="15">
        <v>4.7619047620000003</v>
      </c>
      <c r="P401" s="9">
        <v>8.6579999999999995</v>
      </c>
      <c r="Q401" s="11">
        <v>8</v>
      </c>
    </row>
    <row r="402" spans="1:17" x14ac:dyDescent="0.25">
      <c r="A402" s="5" t="s">
        <v>430</v>
      </c>
      <c r="B402" s="7" t="s">
        <v>20</v>
      </c>
      <c r="C402" s="7" t="s">
        <v>1034</v>
      </c>
      <c r="D402" s="7" t="s">
        <v>21</v>
      </c>
      <c r="E402" s="7" t="s">
        <v>16</v>
      </c>
      <c r="F402" s="7" t="s">
        <v>38</v>
      </c>
      <c r="G402" s="9">
        <v>39.43</v>
      </c>
      <c r="H402" s="13">
        <v>6</v>
      </c>
      <c r="I402" s="17">
        <v>11.829000000000001</v>
      </c>
      <c r="J402" s="9">
        <v>248.40899999999999</v>
      </c>
      <c r="K402" s="21">
        <v>43549</v>
      </c>
      <c r="L402" s="3">
        <v>0.84583333333333333</v>
      </c>
      <c r="M402" s="7" t="s">
        <v>27</v>
      </c>
      <c r="N402" s="19">
        <v>236.58</v>
      </c>
      <c r="O402" s="15">
        <v>4.7619047620000003</v>
      </c>
      <c r="P402" s="9">
        <v>11.829000000000001</v>
      </c>
      <c r="Q402" s="11">
        <v>9.4</v>
      </c>
    </row>
    <row r="403" spans="1:17" x14ac:dyDescent="0.25">
      <c r="A403" s="5" t="s">
        <v>431</v>
      </c>
      <c r="B403" s="7" t="s">
        <v>20</v>
      </c>
      <c r="C403" s="7" t="s">
        <v>1034</v>
      </c>
      <c r="D403" s="7" t="s">
        <v>21</v>
      </c>
      <c r="E403" s="7" t="s">
        <v>25</v>
      </c>
      <c r="F403" s="7" t="s">
        <v>26</v>
      </c>
      <c r="G403" s="9">
        <v>46.22</v>
      </c>
      <c r="H403" s="13">
        <v>4</v>
      </c>
      <c r="I403" s="17">
        <v>9.2439999999999998</v>
      </c>
      <c r="J403" s="9">
        <v>194.124</v>
      </c>
      <c r="K403" s="21">
        <v>43536</v>
      </c>
      <c r="L403" s="3">
        <v>0.83611111111111114</v>
      </c>
      <c r="M403" s="7" t="s">
        <v>27</v>
      </c>
      <c r="N403" s="19">
        <v>184.88</v>
      </c>
      <c r="O403" s="15">
        <v>4.7619047620000003</v>
      </c>
      <c r="P403" s="9">
        <v>9.2439999999999998</v>
      </c>
      <c r="Q403" s="11">
        <v>6.2</v>
      </c>
    </row>
    <row r="404" spans="1:17" x14ac:dyDescent="0.25">
      <c r="A404" s="5" t="s">
        <v>432</v>
      </c>
      <c r="B404" s="7" t="s">
        <v>20</v>
      </c>
      <c r="C404" s="7" t="s">
        <v>1034</v>
      </c>
      <c r="D404" s="7" t="s">
        <v>15</v>
      </c>
      <c r="E404" s="7" t="s">
        <v>25</v>
      </c>
      <c r="F404" s="7" t="s">
        <v>26</v>
      </c>
      <c r="G404" s="9">
        <v>13.98</v>
      </c>
      <c r="H404" s="13">
        <v>1</v>
      </c>
      <c r="I404" s="17">
        <v>0.69899999999999995</v>
      </c>
      <c r="J404" s="9">
        <v>14.679</v>
      </c>
      <c r="K404" s="21">
        <v>43500</v>
      </c>
      <c r="L404" s="3">
        <v>0.56805555555555554</v>
      </c>
      <c r="M404" s="7" t="s">
        <v>18</v>
      </c>
      <c r="N404" s="19">
        <v>13.98</v>
      </c>
      <c r="O404" s="15">
        <v>4.7619047620000003</v>
      </c>
      <c r="P404" s="9">
        <v>0.69899999999999995</v>
      </c>
      <c r="Q404" s="11">
        <v>9.8000000000000007</v>
      </c>
    </row>
    <row r="405" spans="1:17" x14ac:dyDescent="0.25">
      <c r="A405" s="5" t="s">
        <v>433</v>
      </c>
      <c r="B405" s="7" t="s">
        <v>36</v>
      </c>
      <c r="C405" s="7" t="s">
        <v>37</v>
      </c>
      <c r="D405" s="7" t="s">
        <v>21</v>
      </c>
      <c r="E405" s="7" t="s">
        <v>16</v>
      </c>
      <c r="F405" s="7" t="s">
        <v>40</v>
      </c>
      <c r="G405" s="9">
        <v>39.75</v>
      </c>
      <c r="H405" s="13">
        <v>5</v>
      </c>
      <c r="I405" s="17">
        <v>9.9375</v>
      </c>
      <c r="J405" s="9">
        <v>208.6875</v>
      </c>
      <c r="K405" s="21">
        <v>43518</v>
      </c>
      <c r="L405" s="3">
        <v>0.4465277777777778</v>
      </c>
      <c r="M405" s="7" t="s">
        <v>18</v>
      </c>
      <c r="N405" s="19">
        <v>198.75</v>
      </c>
      <c r="O405" s="15">
        <v>4.7619047620000003</v>
      </c>
      <c r="P405" s="9">
        <v>9.9375</v>
      </c>
      <c r="Q405" s="11">
        <v>9.6</v>
      </c>
    </row>
    <row r="406" spans="1:17" x14ac:dyDescent="0.25">
      <c r="A406" s="5" t="s">
        <v>434</v>
      </c>
      <c r="B406" s="7" t="s">
        <v>20</v>
      </c>
      <c r="C406" s="7" t="s">
        <v>1034</v>
      </c>
      <c r="D406" s="7" t="s">
        <v>15</v>
      </c>
      <c r="E406" s="7" t="s">
        <v>16</v>
      </c>
      <c r="F406" s="7" t="s">
        <v>40</v>
      </c>
      <c r="G406" s="9">
        <v>97.79</v>
      </c>
      <c r="H406" s="13">
        <v>7</v>
      </c>
      <c r="I406" s="17">
        <v>34.226500000000001</v>
      </c>
      <c r="J406" s="9">
        <v>718.75649999999996</v>
      </c>
      <c r="K406" s="21">
        <v>43512</v>
      </c>
      <c r="L406" s="3">
        <v>0.72916666666666663</v>
      </c>
      <c r="M406" s="7" t="s">
        <v>18</v>
      </c>
      <c r="N406" s="19">
        <v>684.53</v>
      </c>
      <c r="O406" s="15">
        <v>4.7619047620000003</v>
      </c>
      <c r="P406" s="9">
        <v>34.226500000000001</v>
      </c>
      <c r="Q406" s="11">
        <v>4.9000000000000004</v>
      </c>
    </row>
    <row r="407" spans="1:17" x14ac:dyDescent="0.25">
      <c r="A407" s="5" t="s">
        <v>435</v>
      </c>
      <c r="B407" s="7" t="s">
        <v>13</v>
      </c>
      <c r="C407" s="7" t="s">
        <v>14</v>
      </c>
      <c r="D407" s="7" t="s">
        <v>15</v>
      </c>
      <c r="E407" s="7" t="s">
        <v>25</v>
      </c>
      <c r="F407" s="7" t="s">
        <v>30</v>
      </c>
      <c r="G407" s="9">
        <v>67.260000000000005</v>
      </c>
      <c r="H407" s="13">
        <v>4</v>
      </c>
      <c r="I407" s="17">
        <v>13.452</v>
      </c>
      <c r="J407" s="9">
        <v>282.49200000000002</v>
      </c>
      <c r="K407" s="21">
        <v>43484</v>
      </c>
      <c r="L407" s="3">
        <v>0.64444444444444449</v>
      </c>
      <c r="M407" s="7" t="s">
        <v>27</v>
      </c>
      <c r="N407" s="19">
        <v>269.04000000000002</v>
      </c>
      <c r="O407" s="15">
        <v>4.7619047620000003</v>
      </c>
      <c r="P407" s="9">
        <v>13.452</v>
      </c>
      <c r="Q407" s="11">
        <v>8</v>
      </c>
    </row>
    <row r="408" spans="1:17" x14ac:dyDescent="0.25">
      <c r="A408" s="5" t="s">
        <v>436</v>
      </c>
      <c r="B408" s="7" t="s">
        <v>13</v>
      </c>
      <c r="C408" s="7" t="s">
        <v>14</v>
      </c>
      <c r="D408" s="7" t="s">
        <v>21</v>
      </c>
      <c r="E408" s="7" t="s">
        <v>25</v>
      </c>
      <c r="F408" s="7" t="s">
        <v>38</v>
      </c>
      <c r="G408" s="9">
        <v>13.79</v>
      </c>
      <c r="H408" s="13">
        <v>5</v>
      </c>
      <c r="I408" s="17">
        <v>3.4474999999999998</v>
      </c>
      <c r="J408" s="9">
        <v>72.397499999999994</v>
      </c>
      <c r="K408" s="21">
        <v>43476</v>
      </c>
      <c r="L408" s="3">
        <v>0.79652777777777772</v>
      </c>
      <c r="M408" s="7" t="s">
        <v>27</v>
      </c>
      <c r="N408" s="19">
        <v>68.95</v>
      </c>
      <c r="O408" s="15">
        <v>4.7619047620000003</v>
      </c>
      <c r="P408" s="9">
        <v>3.4474999999999998</v>
      </c>
      <c r="Q408" s="11">
        <v>7.8</v>
      </c>
    </row>
    <row r="409" spans="1:17" x14ac:dyDescent="0.25">
      <c r="A409" s="5" t="s">
        <v>437</v>
      </c>
      <c r="B409" s="7" t="s">
        <v>36</v>
      </c>
      <c r="C409" s="7" t="s">
        <v>37</v>
      </c>
      <c r="D409" s="7" t="s">
        <v>15</v>
      </c>
      <c r="E409" s="7" t="s">
        <v>16</v>
      </c>
      <c r="F409" s="7" t="s">
        <v>40</v>
      </c>
      <c r="G409" s="9">
        <v>68.709999999999994</v>
      </c>
      <c r="H409" s="13">
        <v>4</v>
      </c>
      <c r="I409" s="17">
        <v>13.742000000000001</v>
      </c>
      <c r="J409" s="9">
        <v>288.58199999999999</v>
      </c>
      <c r="K409" s="21">
        <v>43469</v>
      </c>
      <c r="L409" s="3">
        <v>0.79236111111111107</v>
      </c>
      <c r="M409" s="7" t="s">
        <v>23</v>
      </c>
      <c r="N409" s="19">
        <v>274.83999999999997</v>
      </c>
      <c r="O409" s="15">
        <v>4.7619047620000003</v>
      </c>
      <c r="P409" s="9">
        <v>13.742000000000001</v>
      </c>
      <c r="Q409" s="11">
        <v>4.0999999999999996</v>
      </c>
    </row>
    <row r="410" spans="1:17" x14ac:dyDescent="0.25">
      <c r="A410" s="5" t="s">
        <v>438</v>
      </c>
      <c r="B410" s="7" t="s">
        <v>13</v>
      </c>
      <c r="C410" s="7" t="s">
        <v>14</v>
      </c>
      <c r="D410" s="7" t="s">
        <v>21</v>
      </c>
      <c r="E410" s="7" t="s">
        <v>16</v>
      </c>
      <c r="F410" s="7" t="s">
        <v>26</v>
      </c>
      <c r="G410" s="9">
        <v>56.53</v>
      </c>
      <c r="H410" s="13">
        <v>4</v>
      </c>
      <c r="I410" s="17">
        <v>11.305999999999999</v>
      </c>
      <c r="J410" s="9">
        <v>237.42599999999999</v>
      </c>
      <c r="K410" s="21">
        <v>43528</v>
      </c>
      <c r="L410" s="3">
        <v>0.82499999999999996</v>
      </c>
      <c r="M410" s="7" t="s">
        <v>18</v>
      </c>
      <c r="N410" s="19">
        <v>226.12</v>
      </c>
      <c r="O410" s="15">
        <v>4.7619047620000003</v>
      </c>
      <c r="P410" s="9">
        <v>11.305999999999999</v>
      </c>
      <c r="Q410" s="11">
        <v>5.5</v>
      </c>
    </row>
    <row r="411" spans="1:17" x14ac:dyDescent="0.25">
      <c r="A411" s="5" t="s">
        <v>439</v>
      </c>
      <c r="B411" s="7" t="s">
        <v>20</v>
      </c>
      <c r="C411" s="7" t="s">
        <v>1034</v>
      </c>
      <c r="D411" s="7" t="s">
        <v>21</v>
      </c>
      <c r="E411" s="7" t="s">
        <v>16</v>
      </c>
      <c r="F411" s="7" t="s">
        <v>40</v>
      </c>
      <c r="G411" s="9">
        <v>23.82</v>
      </c>
      <c r="H411" s="13">
        <v>5</v>
      </c>
      <c r="I411" s="17">
        <v>5.9550000000000001</v>
      </c>
      <c r="J411" s="9">
        <v>125.05500000000001</v>
      </c>
      <c r="K411" s="21">
        <v>43493</v>
      </c>
      <c r="L411" s="3">
        <v>0.80833333333333335</v>
      </c>
      <c r="M411" s="7" t="s">
        <v>18</v>
      </c>
      <c r="N411" s="19">
        <v>119.1</v>
      </c>
      <c r="O411" s="15">
        <v>4.7619047620000003</v>
      </c>
      <c r="P411" s="9">
        <v>5.9550000000000001</v>
      </c>
      <c r="Q411" s="11">
        <v>5.4</v>
      </c>
    </row>
    <row r="412" spans="1:17" x14ac:dyDescent="0.25">
      <c r="A412" s="5" t="s">
        <v>440</v>
      </c>
      <c r="B412" s="7" t="s">
        <v>36</v>
      </c>
      <c r="C412" s="7" t="s">
        <v>37</v>
      </c>
      <c r="D412" s="7" t="s">
        <v>21</v>
      </c>
      <c r="E412" s="7" t="s">
        <v>16</v>
      </c>
      <c r="F412" s="7" t="s">
        <v>17</v>
      </c>
      <c r="G412" s="9">
        <v>34.21</v>
      </c>
      <c r="H412" s="13">
        <v>10</v>
      </c>
      <c r="I412" s="17">
        <v>17.105</v>
      </c>
      <c r="J412" s="9">
        <v>359.20499999999998</v>
      </c>
      <c r="K412" s="21">
        <v>43467</v>
      </c>
      <c r="L412" s="3">
        <v>0.54166666666666663</v>
      </c>
      <c r="M412" s="7" t="s">
        <v>23</v>
      </c>
      <c r="N412" s="19">
        <v>342.1</v>
      </c>
      <c r="O412" s="15">
        <v>4.7619047620000003</v>
      </c>
      <c r="P412" s="9">
        <v>17.105</v>
      </c>
      <c r="Q412" s="11">
        <v>5.0999999999999996</v>
      </c>
    </row>
    <row r="413" spans="1:17" x14ac:dyDescent="0.25">
      <c r="A413" s="5" t="s">
        <v>441</v>
      </c>
      <c r="B413" s="7" t="s">
        <v>36</v>
      </c>
      <c r="C413" s="7" t="s">
        <v>37</v>
      </c>
      <c r="D413" s="7" t="s">
        <v>21</v>
      </c>
      <c r="E413" s="7" t="s">
        <v>25</v>
      </c>
      <c r="F413" s="7" t="s">
        <v>30</v>
      </c>
      <c r="G413" s="9">
        <v>21.87</v>
      </c>
      <c r="H413" s="13">
        <v>2</v>
      </c>
      <c r="I413" s="17">
        <v>2.1869999999999998</v>
      </c>
      <c r="J413" s="9">
        <v>45.927</v>
      </c>
      <c r="K413" s="21">
        <v>43490</v>
      </c>
      <c r="L413" s="3">
        <v>0.60347222222222219</v>
      </c>
      <c r="M413" s="7" t="s">
        <v>18</v>
      </c>
      <c r="N413" s="19">
        <v>43.74</v>
      </c>
      <c r="O413" s="15">
        <v>4.7619047620000003</v>
      </c>
      <c r="P413" s="9">
        <v>2.1869999999999998</v>
      </c>
      <c r="Q413" s="11">
        <v>6.9</v>
      </c>
    </row>
    <row r="414" spans="1:17" x14ac:dyDescent="0.25">
      <c r="A414" s="5" t="s">
        <v>442</v>
      </c>
      <c r="B414" s="7" t="s">
        <v>13</v>
      </c>
      <c r="C414" s="7" t="s">
        <v>14</v>
      </c>
      <c r="D414" s="7" t="s">
        <v>15</v>
      </c>
      <c r="E414" s="7" t="s">
        <v>25</v>
      </c>
      <c r="F414" s="7" t="s">
        <v>17</v>
      </c>
      <c r="G414" s="9">
        <v>20.97</v>
      </c>
      <c r="H414" s="13">
        <v>5</v>
      </c>
      <c r="I414" s="17">
        <v>5.2424999999999997</v>
      </c>
      <c r="J414" s="9">
        <v>110.0925</v>
      </c>
      <c r="K414" s="21">
        <v>43469</v>
      </c>
      <c r="L414" s="3">
        <v>0.55625000000000002</v>
      </c>
      <c r="M414" s="7" t="s">
        <v>23</v>
      </c>
      <c r="N414" s="19">
        <v>104.85</v>
      </c>
      <c r="O414" s="15">
        <v>4.7619047620000003</v>
      </c>
      <c r="P414" s="9">
        <v>5.2424999999999997</v>
      </c>
      <c r="Q414" s="11">
        <v>7.8</v>
      </c>
    </row>
    <row r="415" spans="1:17" x14ac:dyDescent="0.25">
      <c r="A415" s="5" t="s">
        <v>443</v>
      </c>
      <c r="B415" s="7" t="s">
        <v>13</v>
      </c>
      <c r="C415" s="7" t="s">
        <v>14</v>
      </c>
      <c r="D415" s="7" t="s">
        <v>21</v>
      </c>
      <c r="E415" s="7" t="s">
        <v>25</v>
      </c>
      <c r="F415" s="7" t="s">
        <v>30</v>
      </c>
      <c r="G415" s="9">
        <v>25.84</v>
      </c>
      <c r="H415" s="13">
        <v>3</v>
      </c>
      <c r="I415" s="17">
        <v>3.8759999999999999</v>
      </c>
      <c r="J415" s="9">
        <v>81.396000000000001</v>
      </c>
      <c r="K415" s="21">
        <v>43534</v>
      </c>
      <c r="L415" s="3">
        <v>0.78819444444444442</v>
      </c>
      <c r="M415" s="7" t="s">
        <v>18</v>
      </c>
      <c r="N415" s="19">
        <v>77.52</v>
      </c>
      <c r="O415" s="15">
        <v>4.7619047620000003</v>
      </c>
      <c r="P415" s="9">
        <v>3.8759999999999999</v>
      </c>
      <c r="Q415" s="11">
        <v>6.6</v>
      </c>
    </row>
    <row r="416" spans="1:17" x14ac:dyDescent="0.25">
      <c r="A416" s="5" t="s">
        <v>444</v>
      </c>
      <c r="B416" s="7" t="s">
        <v>13</v>
      </c>
      <c r="C416" s="7" t="s">
        <v>14</v>
      </c>
      <c r="D416" s="7" t="s">
        <v>21</v>
      </c>
      <c r="E416" s="7" t="s">
        <v>25</v>
      </c>
      <c r="F416" s="7" t="s">
        <v>26</v>
      </c>
      <c r="G416" s="9">
        <v>50.93</v>
      </c>
      <c r="H416" s="13">
        <v>8</v>
      </c>
      <c r="I416" s="17">
        <v>20.372</v>
      </c>
      <c r="J416" s="9">
        <v>427.81200000000001</v>
      </c>
      <c r="K416" s="21">
        <v>43546</v>
      </c>
      <c r="L416" s="3">
        <v>0.81666666666666665</v>
      </c>
      <c r="M416" s="7" t="s">
        <v>18</v>
      </c>
      <c r="N416" s="19">
        <v>407.44</v>
      </c>
      <c r="O416" s="15">
        <v>4.7619047620000003</v>
      </c>
      <c r="P416" s="9">
        <v>20.372</v>
      </c>
      <c r="Q416" s="11">
        <v>9.1999999999999993</v>
      </c>
    </row>
    <row r="417" spans="1:17" x14ac:dyDescent="0.25">
      <c r="A417" s="5" t="s">
        <v>445</v>
      </c>
      <c r="B417" s="7" t="s">
        <v>36</v>
      </c>
      <c r="C417" s="7" t="s">
        <v>37</v>
      </c>
      <c r="D417" s="7" t="s">
        <v>21</v>
      </c>
      <c r="E417" s="7" t="s">
        <v>25</v>
      </c>
      <c r="F417" s="7" t="s">
        <v>17</v>
      </c>
      <c r="G417" s="9">
        <v>96.11</v>
      </c>
      <c r="H417" s="13">
        <v>1</v>
      </c>
      <c r="I417" s="17">
        <v>4.8055000000000003</v>
      </c>
      <c r="J417" s="9">
        <v>100.91549999999999</v>
      </c>
      <c r="K417" s="21">
        <v>43490</v>
      </c>
      <c r="L417" s="3">
        <v>0.68611111111111112</v>
      </c>
      <c r="M417" s="7" t="s">
        <v>18</v>
      </c>
      <c r="N417" s="19">
        <v>96.11</v>
      </c>
      <c r="O417" s="15">
        <v>4.7619047620000003</v>
      </c>
      <c r="P417" s="9">
        <v>4.8055000000000003</v>
      </c>
      <c r="Q417" s="11">
        <v>7.8</v>
      </c>
    </row>
    <row r="418" spans="1:17" x14ac:dyDescent="0.25">
      <c r="A418" s="5" t="s">
        <v>446</v>
      </c>
      <c r="B418" s="7" t="s">
        <v>20</v>
      </c>
      <c r="C418" s="7" t="s">
        <v>1034</v>
      </c>
      <c r="D418" s="7" t="s">
        <v>21</v>
      </c>
      <c r="E418" s="7" t="s">
        <v>16</v>
      </c>
      <c r="F418" s="7" t="s">
        <v>26</v>
      </c>
      <c r="G418" s="9">
        <v>45.38</v>
      </c>
      <c r="H418" s="13">
        <v>4</v>
      </c>
      <c r="I418" s="17">
        <v>9.0760000000000005</v>
      </c>
      <c r="J418" s="9">
        <v>190.596</v>
      </c>
      <c r="K418" s="21">
        <v>43473</v>
      </c>
      <c r="L418" s="3">
        <v>0.57499999999999996</v>
      </c>
      <c r="M418" s="7" t="s">
        <v>27</v>
      </c>
      <c r="N418" s="19">
        <v>181.52</v>
      </c>
      <c r="O418" s="15">
        <v>4.7619047620000003</v>
      </c>
      <c r="P418" s="9">
        <v>9.0760000000000005</v>
      </c>
      <c r="Q418" s="11">
        <v>8.6999999999999993</v>
      </c>
    </row>
    <row r="419" spans="1:17" x14ac:dyDescent="0.25">
      <c r="A419" s="5" t="s">
        <v>447</v>
      </c>
      <c r="B419" s="7" t="s">
        <v>20</v>
      </c>
      <c r="C419" s="7" t="s">
        <v>1034</v>
      </c>
      <c r="D419" s="7" t="s">
        <v>15</v>
      </c>
      <c r="E419" s="7" t="s">
        <v>16</v>
      </c>
      <c r="F419" s="7" t="s">
        <v>17</v>
      </c>
      <c r="G419" s="9">
        <v>81.510000000000005</v>
      </c>
      <c r="H419" s="13">
        <v>1</v>
      </c>
      <c r="I419" s="17">
        <v>4.0754999999999999</v>
      </c>
      <c r="J419" s="9">
        <v>85.585499999999996</v>
      </c>
      <c r="K419" s="21">
        <v>43487</v>
      </c>
      <c r="L419" s="3">
        <v>0.45624999999999999</v>
      </c>
      <c r="M419" s="7" t="s">
        <v>18</v>
      </c>
      <c r="N419" s="19">
        <v>81.510000000000005</v>
      </c>
      <c r="O419" s="15">
        <v>4.7619047620000003</v>
      </c>
      <c r="P419" s="9">
        <v>4.0754999999999999</v>
      </c>
      <c r="Q419" s="11">
        <v>9.1999999999999993</v>
      </c>
    </row>
    <row r="420" spans="1:17" x14ac:dyDescent="0.25">
      <c r="A420" s="5" t="s">
        <v>448</v>
      </c>
      <c r="B420" s="7" t="s">
        <v>36</v>
      </c>
      <c r="C420" s="7" t="s">
        <v>37</v>
      </c>
      <c r="D420" s="7" t="s">
        <v>21</v>
      </c>
      <c r="E420" s="7" t="s">
        <v>16</v>
      </c>
      <c r="F420" s="7" t="s">
        <v>17</v>
      </c>
      <c r="G420" s="9">
        <v>57.22</v>
      </c>
      <c r="H420" s="13">
        <v>2</v>
      </c>
      <c r="I420" s="17">
        <v>5.7220000000000004</v>
      </c>
      <c r="J420" s="9">
        <v>120.16200000000001</v>
      </c>
      <c r="K420" s="21">
        <v>43477</v>
      </c>
      <c r="L420" s="3">
        <v>0.71736111111111112</v>
      </c>
      <c r="M420" s="7" t="s">
        <v>18</v>
      </c>
      <c r="N420" s="19">
        <v>114.44</v>
      </c>
      <c r="O420" s="15">
        <v>4.7619047620000003</v>
      </c>
      <c r="P420" s="9">
        <v>5.7220000000000004</v>
      </c>
      <c r="Q420" s="11">
        <v>8.3000000000000007</v>
      </c>
    </row>
    <row r="421" spans="1:17" x14ac:dyDescent="0.25">
      <c r="A421" s="5" t="s">
        <v>449</v>
      </c>
      <c r="B421" s="7" t="s">
        <v>13</v>
      </c>
      <c r="C421" s="7" t="s">
        <v>14</v>
      </c>
      <c r="D421" s="7" t="s">
        <v>15</v>
      </c>
      <c r="E421" s="7" t="s">
        <v>16</v>
      </c>
      <c r="F421" s="7" t="s">
        <v>22</v>
      </c>
      <c r="G421" s="9">
        <v>25.22</v>
      </c>
      <c r="H421" s="13">
        <v>7</v>
      </c>
      <c r="I421" s="17">
        <v>8.827</v>
      </c>
      <c r="J421" s="9">
        <v>185.36699999999999</v>
      </c>
      <c r="K421" s="21">
        <v>43500</v>
      </c>
      <c r="L421" s="3">
        <v>0.43263888888888891</v>
      </c>
      <c r="M421" s="7" t="s">
        <v>23</v>
      </c>
      <c r="N421" s="19">
        <v>176.54</v>
      </c>
      <c r="O421" s="15">
        <v>4.7619047620000003</v>
      </c>
      <c r="P421" s="9">
        <v>8.827</v>
      </c>
      <c r="Q421" s="11">
        <v>8.1999999999999993</v>
      </c>
    </row>
    <row r="422" spans="1:17" x14ac:dyDescent="0.25">
      <c r="A422" s="5" t="s">
        <v>450</v>
      </c>
      <c r="B422" s="7" t="s">
        <v>20</v>
      </c>
      <c r="C422" s="7" t="s">
        <v>1034</v>
      </c>
      <c r="D422" s="7" t="s">
        <v>15</v>
      </c>
      <c r="E422" s="7" t="s">
        <v>16</v>
      </c>
      <c r="F422" s="7" t="s">
        <v>38</v>
      </c>
      <c r="G422" s="9">
        <v>38.6</v>
      </c>
      <c r="H422" s="13">
        <v>3</v>
      </c>
      <c r="I422" s="17">
        <v>5.79</v>
      </c>
      <c r="J422" s="9">
        <v>121.59</v>
      </c>
      <c r="K422" s="21">
        <v>43552</v>
      </c>
      <c r="L422" s="3">
        <v>0.58125000000000004</v>
      </c>
      <c r="M422" s="7" t="s">
        <v>18</v>
      </c>
      <c r="N422" s="19">
        <v>115.8</v>
      </c>
      <c r="O422" s="15">
        <v>4.7619047620000003</v>
      </c>
      <c r="P422" s="9">
        <v>5.79</v>
      </c>
      <c r="Q422" s="11">
        <v>7.5</v>
      </c>
    </row>
    <row r="423" spans="1:17" x14ac:dyDescent="0.25">
      <c r="A423" s="5" t="s">
        <v>451</v>
      </c>
      <c r="B423" s="7" t="s">
        <v>20</v>
      </c>
      <c r="C423" s="7" t="s">
        <v>1034</v>
      </c>
      <c r="D423" s="7" t="s">
        <v>21</v>
      </c>
      <c r="E423" s="7" t="s">
        <v>16</v>
      </c>
      <c r="F423" s="7" t="s">
        <v>22</v>
      </c>
      <c r="G423" s="9">
        <v>84.05</v>
      </c>
      <c r="H423" s="13">
        <v>3</v>
      </c>
      <c r="I423" s="17">
        <v>12.6075</v>
      </c>
      <c r="J423" s="9">
        <v>264.75749999999999</v>
      </c>
      <c r="K423" s="21">
        <v>43488</v>
      </c>
      <c r="L423" s="3">
        <v>0.56180555555555556</v>
      </c>
      <c r="M423" s="7" t="s">
        <v>23</v>
      </c>
      <c r="N423" s="19">
        <v>252.15</v>
      </c>
      <c r="O423" s="15">
        <v>4.7619047620000003</v>
      </c>
      <c r="P423" s="9">
        <v>12.6075</v>
      </c>
      <c r="Q423" s="11">
        <v>9.8000000000000007</v>
      </c>
    </row>
    <row r="424" spans="1:17" x14ac:dyDescent="0.25">
      <c r="A424" s="5" t="s">
        <v>452</v>
      </c>
      <c r="B424" s="7" t="s">
        <v>20</v>
      </c>
      <c r="C424" s="7" t="s">
        <v>1034</v>
      </c>
      <c r="D424" s="7" t="s">
        <v>15</v>
      </c>
      <c r="E424" s="7" t="s">
        <v>16</v>
      </c>
      <c r="F424" s="7" t="s">
        <v>40</v>
      </c>
      <c r="G424" s="9">
        <v>97.21</v>
      </c>
      <c r="H424" s="13">
        <v>10</v>
      </c>
      <c r="I424" s="17">
        <v>48.604999999999997</v>
      </c>
      <c r="J424" s="9">
        <v>1020.705</v>
      </c>
      <c r="K424" s="21">
        <v>43504</v>
      </c>
      <c r="L424" s="3">
        <v>0.54166666666666663</v>
      </c>
      <c r="M424" s="7" t="s">
        <v>27</v>
      </c>
      <c r="N424" s="19">
        <v>972.1</v>
      </c>
      <c r="O424" s="15">
        <v>4.7619047620000003</v>
      </c>
      <c r="P424" s="9">
        <v>48.604999999999997</v>
      </c>
      <c r="Q424" s="11">
        <v>8.6999999999999993</v>
      </c>
    </row>
    <row r="425" spans="1:17" x14ac:dyDescent="0.25">
      <c r="A425" s="5" t="s">
        <v>453</v>
      </c>
      <c r="B425" s="7" t="s">
        <v>36</v>
      </c>
      <c r="C425" s="7" t="s">
        <v>37</v>
      </c>
      <c r="D425" s="7" t="s">
        <v>15</v>
      </c>
      <c r="E425" s="7" t="s">
        <v>25</v>
      </c>
      <c r="F425" s="7" t="s">
        <v>40</v>
      </c>
      <c r="G425" s="9">
        <v>25.42</v>
      </c>
      <c r="H425" s="13">
        <v>8</v>
      </c>
      <c r="I425" s="17">
        <v>10.167999999999999</v>
      </c>
      <c r="J425" s="9">
        <v>213.52799999999999</v>
      </c>
      <c r="K425" s="21">
        <v>43543</v>
      </c>
      <c r="L425" s="3">
        <v>0.8208333333333333</v>
      </c>
      <c r="M425" s="7" t="s">
        <v>27</v>
      </c>
      <c r="N425" s="19">
        <v>203.36</v>
      </c>
      <c r="O425" s="15">
        <v>4.7619047620000003</v>
      </c>
      <c r="P425" s="9">
        <v>10.167999999999999</v>
      </c>
      <c r="Q425" s="11">
        <v>6.7</v>
      </c>
    </row>
    <row r="426" spans="1:17" x14ac:dyDescent="0.25">
      <c r="A426" s="5" t="s">
        <v>454</v>
      </c>
      <c r="B426" s="7" t="s">
        <v>20</v>
      </c>
      <c r="C426" s="7" t="s">
        <v>1034</v>
      </c>
      <c r="D426" s="7" t="s">
        <v>21</v>
      </c>
      <c r="E426" s="7" t="s">
        <v>25</v>
      </c>
      <c r="F426" s="7" t="s">
        <v>40</v>
      </c>
      <c r="G426" s="9">
        <v>16.28</v>
      </c>
      <c r="H426" s="13">
        <v>1</v>
      </c>
      <c r="I426" s="17">
        <v>0.81399999999999995</v>
      </c>
      <c r="J426" s="9">
        <v>17.094000000000001</v>
      </c>
      <c r="K426" s="21">
        <v>43533</v>
      </c>
      <c r="L426" s="3">
        <v>0.65</v>
      </c>
      <c r="M426" s="7" t="s">
        <v>23</v>
      </c>
      <c r="N426" s="19">
        <v>16.28</v>
      </c>
      <c r="O426" s="15">
        <v>4.7619047620000003</v>
      </c>
      <c r="P426" s="9">
        <v>0.81399999999999995</v>
      </c>
      <c r="Q426" s="11">
        <v>5</v>
      </c>
    </row>
    <row r="427" spans="1:17" x14ac:dyDescent="0.25">
      <c r="A427" s="5" t="s">
        <v>455</v>
      </c>
      <c r="B427" s="7" t="s">
        <v>36</v>
      </c>
      <c r="C427" s="7" t="s">
        <v>37</v>
      </c>
      <c r="D427" s="7" t="s">
        <v>15</v>
      </c>
      <c r="E427" s="7" t="s">
        <v>25</v>
      </c>
      <c r="F427" s="7" t="s">
        <v>40</v>
      </c>
      <c r="G427" s="9">
        <v>40.61</v>
      </c>
      <c r="H427" s="13">
        <v>9</v>
      </c>
      <c r="I427" s="17">
        <v>18.2745</v>
      </c>
      <c r="J427" s="9">
        <v>383.7645</v>
      </c>
      <c r="K427" s="21">
        <v>43467</v>
      </c>
      <c r="L427" s="3">
        <v>0.56944444444444442</v>
      </c>
      <c r="M427" s="7" t="s">
        <v>23</v>
      </c>
      <c r="N427" s="19">
        <v>365.49</v>
      </c>
      <c r="O427" s="15">
        <v>4.7619047620000003</v>
      </c>
      <c r="P427" s="9">
        <v>18.2745</v>
      </c>
      <c r="Q427" s="11">
        <v>7</v>
      </c>
    </row>
    <row r="428" spans="1:17" x14ac:dyDescent="0.25">
      <c r="A428" s="5" t="s">
        <v>456</v>
      </c>
      <c r="B428" s="7" t="s">
        <v>13</v>
      </c>
      <c r="C428" s="7" t="s">
        <v>14</v>
      </c>
      <c r="D428" s="7" t="s">
        <v>15</v>
      </c>
      <c r="E428" s="7" t="s">
        <v>25</v>
      </c>
      <c r="F428" s="7" t="s">
        <v>17</v>
      </c>
      <c r="G428" s="9">
        <v>53.17</v>
      </c>
      <c r="H428" s="13">
        <v>7</v>
      </c>
      <c r="I428" s="17">
        <v>18.609500000000001</v>
      </c>
      <c r="J428" s="9">
        <v>390.79950000000002</v>
      </c>
      <c r="K428" s="21">
        <v>43486</v>
      </c>
      <c r="L428" s="3">
        <v>0.75069444444444444</v>
      </c>
      <c r="M428" s="7" t="s">
        <v>23</v>
      </c>
      <c r="N428" s="19">
        <v>372.19</v>
      </c>
      <c r="O428" s="15">
        <v>4.7619047620000003</v>
      </c>
      <c r="P428" s="9">
        <v>18.609500000000001</v>
      </c>
      <c r="Q428" s="11">
        <v>8.9</v>
      </c>
    </row>
    <row r="429" spans="1:17" x14ac:dyDescent="0.25">
      <c r="A429" s="5" t="s">
        <v>457</v>
      </c>
      <c r="B429" s="7" t="s">
        <v>36</v>
      </c>
      <c r="C429" s="7" t="s">
        <v>37</v>
      </c>
      <c r="D429" s="7" t="s">
        <v>15</v>
      </c>
      <c r="E429" s="7" t="s">
        <v>16</v>
      </c>
      <c r="F429" s="7" t="s">
        <v>38</v>
      </c>
      <c r="G429" s="9">
        <v>20.87</v>
      </c>
      <c r="H429" s="13">
        <v>3</v>
      </c>
      <c r="I429" s="17">
        <v>3.1305000000000001</v>
      </c>
      <c r="J429" s="9">
        <v>65.740499999999997</v>
      </c>
      <c r="K429" s="21">
        <v>43544</v>
      </c>
      <c r="L429" s="3">
        <v>0.57847222222222228</v>
      </c>
      <c r="M429" s="7" t="s">
        <v>27</v>
      </c>
      <c r="N429" s="19">
        <v>62.61</v>
      </c>
      <c r="O429" s="15">
        <v>4.7619047620000003</v>
      </c>
      <c r="P429" s="9">
        <v>3.1305000000000001</v>
      </c>
      <c r="Q429" s="11">
        <v>8</v>
      </c>
    </row>
    <row r="430" spans="1:17" x14ac:dyDescent="0.25">
      <c r="A430" s="5" t="s">
        <v>458</v>
      </c>
      <c r="B430" s="7" t="s">
        <v>36</v>
      </c>
      <c r="C430" s="7" t="s">
        <v>37</v>
      </c>
      <c r="D430" s="7" t="s">
        <v>21</v>
      </c>
      <c r="E430" s="7" t="s">
        <v>25</v>
      </c>
      <c r="F430" s="7" t="s">
        <v>30</v>
      </c>
      <c r="G430" s="9">
        <v>67.27</v>
      </c>
      <c r="H430" s="13">
        <v>5</v>
      </c>
      <c r="I430" s="17">
        <v>16.817499999999999</v>
      </c>
      <c r="J430" s="9">
        <v>353.16750000000002</v>
      </c>
      <c r="K430" s="21">
        <v>43523</v>
      </c>
      <c r="L430" s="3">
        <v>0.7270833333333333</v>
      </c>
      <c r="M430" s="7" t="s">
        <v>23</v>
      </c>
      <c r="N430" s="19">
        <v>336.35</v>
      </c>
      <c r="O430" s="15">
        <v>4.7619047620000003</v>
      </c>
      <c r="P430" s="9">
        <v>16.817499999999999</v>
      </c>
      <c r="Q430" s="11">
        <v>6.9</v>
      </c>
    </row>
    <row r="431" spans="1:17" x14ac:dyDescent="0.25">
      <c r="A431" s="5" t="s">
        <v>459</v>
      </c>
      <c r="B431" s="7" t="s">
        <v>13</v>
      </c>
      <c r="C431" s="7" t="s">
        <v>14</v>
      </c>
      <c r="D431" s="7" t="s">
        <v>15</v>
      </c>
      <c r="E431" s="7" t="s">
        <v>16</v>
      </c>
      <c r="F431" s="7" t="s">
        <v>26</v>
      </c>
      <c r="G431" s="9">
        <v>90.65</v>
      </c>
      <c r="H431" s="13">
        <v>10</v>
      </c>
      <c r="I431" s="17">
        <v>45.325000000000003</v>
      </c>
      <c r="J431" s="9">
        <v>951.82500000000005</v>
      </c>
      <c r="K431" s="21">
        <v>43532</v>
      </c>
      <c r="L431" s="3">
        <v>0.45347222222222222</v>
      </c>
      <c r="M431" s="7" t="s">
        <v>18</v>
      </c>
      <c r="N431" s="19">
        <v>906.5</v>
      </c>
      <c r="O431" s="15">
        <v>4.7619047620000003</v>
      </c>
      <c r="P431" s="9">
        <v>45.325000000000003</v>
      </c>
      <c r="Q431" s="11">
        <v>7.3</v>
      </c>
    </row>
    <row r="432" spans="1:17" x14ac:dyDescent="0.25">
      <c r="A432" s="5" t="s">
        <v>460</v>
      </c>
      <c r="B432" s="7" t="s">
        <v>36</v>
      </c>
      <c r="C432" s="7" t="s">
        <v>37</v>
      </c>
      <c r="D432" s="7" t="s">
        <v>21</v>
      </c>
      <c r="E432" s="7" t="s">
        <v>25</v>
      </c>
      <c r="F432" s="7" t="s">
        <v>40</v>
      </c>
      <c r="G432" s="9">
        <v>69.08</v>
      </c>
      <c r="H432" s="13">
        <v>2</v>
      </c>
      <c r="I432" s="17">
        <v>6.9080000000000004</v>
      </c>
      <c r="J432" s="9">
        <v>145.06800000000001</v>
      </c>
      <c r="K432" s="21">
        <v>43496</v>
      </c>
      <c r="L432" s="3">
        <v>0.82499999999999996</v>
      </c>
      <c r="M432" s="7" t="s">
        <v>27</v>
      </c>
      <c r="N432" s="19">
        <v>138.16</v>
      </c>
      <c r="O432" s="15">
        <v>4.7619047620000003</v>
      </c>
      <c r="P432" s="9">
        <v>6.9080000000000004</v>
      </c>
      <c r="Q432" s="11">
        <v>6.9</v>
      </c>
    </row>
    <row r="433" spans="1:17" x14ac:dyDescent="0.25">
      <c r="A433" s="5" t="s">
        <v>461</v>
      </c>
      <c r="B433" s="7" t="s">
        <v>20</v>
      </c>
      <c r="C433" s="7" t="s">
        <v>1034</v>
      </c>
      <c r="D433" s="7" t="s">
        <v>21</v>
      </c>
      <c r="E433" s="7" t="s">
        <v>25</v>
      </c>
      <c r="F433" s="7" t="s">
        <v>38</v>
      </c>
      <c r="G433" s="9">
        <v>43.27</v>
      </c>
      <c r="H433" s="13">
        <v>2</v>
      </c>
      <c r="I433" s="17">
        <v>4.327</v>
      </c>
      <c r="J433" s="9">
        <v>90.867000000000004</v>
      </c>
      <c r="K433" s="21">
        <v>43532</v>
      </c>
      <c r="L433" s="3">
        <v>0.70347222222222228</v>
      </c>
      <c r="M433" s="7" t="s">
        <v>18</v>
      </c>
      <c r="N433" s="19">
        <v>86.54</v>
      </c>
      <c r="O433" s="15">
        <v>4.7619047620000003</v>
      </c>
      <c r="P433" s="9">
        <v>4.327</v>
      </c>
      <c r="Q433" s="11">
        <v>5.7</v>
      </c>
    </row>
    <row r="434" spans="1:17" x14ac:dyDescent="0.25">
      <c r="A434" s="5" t="s">
        <v>462</v>
      </c>
      <c r="B434" s="7" t="s">
        <v>13</v>
      </c>
      <c r="C434" s="7" t="s">
        <v>14</v>
      </c>
      <c r="D434" s="7" t="s">
        <v>21</v>
      </c>
      <c r="E434" s="7" t="s">
        <v>16</v>
      </c>
      <c r="F434" s="7" t="s">
        <v>22</v>
      </c>
      <c r="G434" s="9">
        <v>23.46</v>
      </c>
      <c r="H434" s="13">
        <v>6</v>
      </c>
      <c r="I434" s="17">
        <v>7.0380000000000003</v>
      </c>
      <c r="J434" s="9">
        <v>147.798</v>
      </c>
      <c r="K434" s="21">
        <v>43478</v>
      </c>
      <c r="L434" s="3">
        <v>0.80138888888888893</v>
      </c>
      <c r="M434" s="7" t="s">
        <v>18</v>
      </c>
      <c r="N434" s="19">
        <v>140.76</v>
      </c>
      <c r="O434" s="15">
        <v>4.7619047620000003</v>
      </c>
      <c r="P434" s="9">
        <v>7.0380000000000003</v>
      </c>
      <c r="Q434" s="11">
        <v>6.4</v>
      </c>
    </row>
    <row r="435" spans="1:17" x14ac:dyDescent="0.25">
      <c r="A435" s="5" t="s">
        <v>463</v>
      </c>
      <c r="B435" s="7" t="s">
        <v>36</v>
      </c>
      <c r="C435" s="7" t="s">
        <v>37</v>
      </c>
      <c r="D435" s="7" t="s">
        <v>21</v>
      </c>
      <c r="E435" s="7" t="s">
        <v>25</v>
      </c>
      <c r="F435" s="7" t="s">
        <v>40</v>
      </c>
      <c r="G435" s="9">
        <v>95.54</v>
      </c>
      <c r="H435" s="13">
        <v>7</v>
      </c>
      <c r="I435" s="17">
        <v>33.439</v>
      </c>
      <c r="J435" s="9">
        <v>702.21900000000005</v>
      </c>
      <c r="K435" s="21">
        <v>43533</v>
      </c>
      <c r="L435" s="3">
        <v>0.60833333333333328</v>
      </c>
      <c r="M435" s="7" t="s">
        <v>27</v>
      </c>
      <c r="N435" s="19">
        <v>668.78</v>
      </c>
      <c r="O435" s="15">
        <v>4.7619047620000003</v>
      </c>
      <c r="P435" s="9">
        <v>33.439</v>
      </c>
      <c r="Q435" s="11">
        <v>9.6</v>
      </c>
    </row>
    <row r="436" spans="1:17" x14ac:dyDescent="0.25">
      <c r="A436" s="5" t="s">
        <v>464</v>
      </c>
      <c r="B436" s="7" t="s">
        <v>36</v>
      </c>
      <c r="C436" s="7" t="s">
        <v>37</v>
      </c>
      <c r="D436" s="7" t="s">
        <v>21</v>
      </c>
      <c r="E436" s="7" t="s">
        <v>16</v>
      </c>
      <c r="F436" s="7" t="s">
        <v>40</v>
      </c>
      <c r="G436" s="9">
        <v>47.44</v>
      </c>
      <c r="H436" s="13">
        <v>1</v>
      </c>
      <c r="I436" s="17">
        <v>2.3719999999999999</v>
      </c>
      <c r="J436" s="9">
        <v>49.811999999999998</v>
      </c>
      <c r="K436" s="21">
        <v>43518</v>
      </c>
      <c r="L436" s="3">
        <v>0.7631944444444444</v>
      </c>
      <c r="M436" s="7" t="s">
        <v>27</v>
      </c>
      <c r="N436" s="19">
        <v>47.44</v>
      </c>
      <c r="O436" s="15">
        <v>4.7619047620000003</v>
      </c>
      <c r="P436" s="9">
        <v>2.3719999999999999</v>
      </c>
      <c r="Q436" s="11">
        <v>6.8</v>
      </c>
    </row>
    <row r="437" spans="1:17" x14ac:dyDescent="0.25">
      <c r="A437" s="5" t="s">
        <v>465</v>
      </c>
      <c r="B437" s="7" t="s">
        <v>20</v>
      </c>
      <c r="C437" s="7" t="s">
        <v>1034</v>
      </c>
      <c r="D437" s="7" t="s">
        <v>21</v>
      </c>
      <c r="E437" s="7" t="s">
        <v>25</v>
      </c>
      <c r="F437" s="7" t="s">
        <v>30</v>
      </c>
      <c r="G437" s="9">
        <v>99.24</v>
      </c>
      <c r="H437" s="13">
        <v>9</v>
      </c>
      <c r="I437" s="17">
        <v>44.658000000000001</v>
      </c>
      <c r="J437" s="9">
        <v>937.81799999999998</v>
      </c>
      <c r="K437" s="21">
        <v>43543</v>
      </c>
      <c r="L437" s="3">
        <v>0.79791666666666672</v>
      </c>
      <c r="M437" s="7" t="s">
        <v>18</v>
      </c>
      <c r="N437" s="19">
        <v>893.16</v>
      </c>
      <c r="O437" s="15">
        <v>4.7619047620000003</v>
      </c>
      <c r="P437" s="9">
        <v>44.658000000000001</v>
      </c>
      <c r="Q437" s="11">
        <v>9</v>
      </c>
    </row>
    <row r="438" spans="1:17" x14ac:dyDescent="0.25">
      <c r="A438" s="5" t="s">
        <v>466</v>
      </c>
      <c r="B438" s="7" t="s">
        <v>20</v>
      </c>
      <c r="C438" s="7" t="s">
        <v>1034</v>
      </c>
      <c r="D438" s="7" t="s">
        <v>15</v>
      </c>
      <c r="E438" s="7" t="s">
        <v>25</v>
      </c>
      <c r="F438" s="7" t="s">
        <v>30</v>
      </c>
      <c r="G438" s="9">
        <v>82.93</v>
      </c>
      <c r="H438" s="13">
        <v>4</v>
      </c>
      <c r="I438" s="17">
        <v>16.585999999999999</v>
      </c>
      <c r="J438" s="9">
        <v>348.30599999999998</v>
      </c>
      <c r="K438" s="21">
        <v>43485</v>
      </c>
      <c r="L438" s="3">
        <v>0.70208333333333328</v>
      </c>
      <c r="M438" s="7" t="s">
        <v>18</v>
      </c>
      <c r="N438" s="19">
        <v>331.72</v>
      </c>
      <c r="O438" s="15">
        <v>4.7619047620000003</v>
      </c>
      <c r="P438" s="9">
        <v>16.585999999999999</v>
      </c>
      <c r="Q438" s="11">
        <v>9.6</v>
      </c>
    </row>
    <row r="439" spans="1:17" x14ac:dyDescent="0.25">
      <c r="A439" s="5" t="s">
        <v>467</v>
      </c>
      <c r="B439" s="7" t="s">
        <v>13</v>
      </c>
      <c r="C439" s="7" t="s">
        <v>14</v>
      </c>
      <c r="D439" s="7" t="s">
        <v>21</v>
      </c>
      <c r="E439" s="7" t="s">
        <v>25</v>
      </c>
      <c r="F439" s="7" t="s">
        <v>26</v>
      </c>
      <c r="G439" s="9">
        <v>33.99</v>
      </c>
      <c r="H439" s="13">
        <v>6</v>
      </c>
      <c r="I439" s="17">
        <v>10.196999999999999</v>
      </c>
      <c r="J439" s="9">
        <v>214.137</v>
      </c>
      <c r="K439" s="21">
        <v>43532</v>
      </c>
      <c r="L439" s="3">
        <v>0.65069444444444446</v>
      </c>
      <c r="M439" s="7" t="s">
        <v>27</v>
      </c>
      <c r="N439" s="19">
        <v>203.94</v>
      </c>
      <c r="O439" s="15">
        <v>4.7619047620000003</v>
      </c>
      <c r="P439" s="9">
        <v>10.196999999999999</v>
      </c>
      <c r="Q439" s="11">
        <v>7.7</v>
      </c>
    </row>
    <row r="440" spans="1:17" x14ac:dyDescent="0.25">
      <c r="A440" s="5" t="s">
        <v>468</v>
      </c>
      <c r="B440" s="7" t="s">
        <v>20</v>
      </c>
      <c r="C440" s="7" t="s">
        <v>1034</v>
      </c>
      <c r="D440" s="7" t="s">
        <v>15</v>
      </c>
      <c r="E440" s="7" t="s">
        <v>25</v>
      </c>
      <c r="F440" s="7" t="s">
        <v>38</v>
      </c>
      <c r="G440" s="9">
        <v>17.04</v>
      </c>
      <c r="H440" s="13">
        <v>4</v>
      </c>
      <c r="I440" s="17">
        <v>3.4079999999999999</v>
      </c>
      <c r="J440" s="9">
        <v>71.567999999999998</v>
      </c>
      <c r="K440" s="21">
        <v>43532</v>
      </c>
      <c r="L440" s="3">
        <v>0.84375</v>
      </c>
      <c r="M440" s="7" t="s">
        <v>18</v>
      </c>
      <c r="N440" s="19">
        <v>68.16</v>
      </c>
      <c r="O440" s="15">
        <v>4.7619047620000003</v>
      </c>
      <c r="P440" s="9">
        <v>3.4079999999999999</v>
      </c>
      <c r="Q440" s="11">
        <v>7</v>
      </c>
    </row>
    <row r="441" spans="1:17" x14ac:dyDescent="0.25">
      <c r="A441" s="5" t="s">
        <v>469</v>
      </c>
      <c r="B441" s="7" t="s">
        <v>20</v>
      </c>
      <c r="C441" s="7" t="s">
        <v>1034</v>
      </c>
      <c r="D441" s="7" t="s">
        <v>21</v>
      </c>
      <c r="E441" s="7" t="s">
        <v>16</v>
      </c>
      <c r="F441" s="7" t="s">
        <v>22</v>
      </c>
      <c r="G441" s="9">
        <v>40.86</v>
      </c>
      <c r="H441" s="13">
        <v>8</v>
      </c>
      <c r="I441" s="17">
        <v>16.344000000000001</v>
      </c>
      <c r="J441" s="9">
        <v>343.22399999999999</v>
      </c>
      <c r="K441" s="21">
        <v>43503</v>
      </c>
      <c r="L441" s="3">
        <v>0.60972222222222228</v>
      </c>
      <c r="M441" s="7" t="s">
        <v>27</v>
      </c>
      <c r="N441" s="19">
        <v>326.88</v>
      </c>
      <c r="O441" s="15">
        <v>4.7619047620000003</v>
      </c>
      <c r="P441" s="9">
        <v>16.344000000000001</v>
      </c>
      <c r="Q441" s="11">
        <v>6.5</v>
      </c>
    </row>
    <row r="442" spans="1:17" x14ac:dyDescent="0.25">
      <c r="A442" s="5" t="s">
        <v>470</v>
      </c>
      <c r="B442" s="7" t="s">
        <v>20</v>
      </c>
      <c r="C442" s="7" t="s">
        <v>1034</v>
      </c>
      <c r="D442" s="7" t="s">
        <v>15</v>
      </c>
      <c r="E442" s="7" t="s">
        <v>25</v>
      </c>
      <c r="F442" s="7" t="s">
        <v>38</v>
      </c>
      <c r="G442" s="9">
        <v>17.440000000000001</v>
      </c>
      <c r="H442" s="13">
        <v>5</v>
      </c>
      <c r="I442" s="17">
        <v>4.3600000000000003</v>
      </c>
      <c r="J442" s="9">
        <v>91.56</v>
      </c>
      <c r="K442" s="21">
        <v>43480</v>
      </c>
      <c r="L442" s="3">
        <v>0.80902777777777779</v>
      </c>
      <c r="M442" s="7" t="s">
        <v>23</v>
      </c>
      <c r="N442" s="19">
        <v>87.2</v>
      </c>
      <c r="O442" s="15">
        <v>4.7619047620000003</v>
      </c>
      <c r="P442" s="9">
        <v>4.3600000000000003</v>
      </c>
      <c r="Q442" s="11">
        <v>8.1</v>
      </c>
    </row>
    <row r="443" spans="1:17" x14ac:dyDescent="0.25">
      <c r="A443" s="5" t="s">
        <v>471</v>
      </c>
      <c r="B443" s="7" t="s">
        <v>36</v>
      </c>
      <c r="C443" s="7" t="s">
        <v>37</v>
      </c>
      <c r="D443" s="7" t="s">
        <v>15</v>
      </c>
      <c r="E443" s="7" t="s">
        <v>16</v>
      </c>
      <c r="F443" s="7" t="s">
        <v>30</v>
      </c>
      <c r="G443" s="9">
        <v>88.43</v>
      </c>
      <c r="H443" s="13">
        <v>8</v>
      </c>
      <c r="I443" s="17">
        <v>35.372</v>
      </c>
      <c r="J443" s="9">
        <v>742.81200000000001</v>
      </c>
      <c r="K443" s="21">
        <v>43546</v>
      </c>
      <c r="L443" s="3">
        <v>0.81597222222222221</v>
      </c>
      <c r="M443" s="7" t="s">
        <v>27</v>
      </c>
      <c r="N443" s="19">
        <v>707.44</v>
      </c>
      <c r="O443" s="15">
        <v>4.7619047620000003</v>
      </c>
      <c r="P443" s="9">
        <v>35.372</v>
      </c>
      <c r="Q443" s="11">
        <v>4.3</v>
      </c>
    </row>
    <row r="444" spans="1:17" x14ac:dyDescent="0.25">
      <c r="A444" s="5" t="s">
        <v>472</v>
      </c>
      <c r="B444" s="7" t="s">
        <v>13</v>
      </c>
      <c r="C444" s="7" t="s">
        <v>14</v>
      </c>
      <c r="D444" s="7" t="s">
        <v>15</v>
      </c>
      <c r="E444" s="7" t="s">
        <v>16</v>
      </c>
      <c r="F444" s="7" t="s">
        <v>26</v>
      </c>
      <c r="G444" s="9">
        <v>89.21</v>
      </c>
      <c r="H444" s="13">
        <v>9</v>
      </c>
      <c r="I444" s="17">
        <v>40.144500000000001</v>
      </c>
      <c r="J444" s="9">
        <v>843.03449999999998</v>
      </c>
      <c r="K444" s="21">
        <v>43480</v>
      </c>
      <c r="L444" s="3">
        <v>0.65416666666666667</v>
      </c>
      <c r="M444" s="7" t="s">
        <v>27</v>
      </c>
      <c r="N444" s="19">
        <v>802.89</v>
      </c>
      <c r="O444" s="15">
        <v>4.7619047620000003</v>
      </c>
      <c r="P444" s="9">
        <v>40.144500000000001</v>
      </c>
      <c r="Q444" s="11">
        <v>6.5</v>
      </c>
    </row>
    <row r="445" spans="1:17" x14ac:dyDescent="0.25">
      <c r="A445" s="5" t="s">
        <v>473</v>
      </c>
      <c r="B445" s="7" t="s">
        <v>20</v>
      </c>
      <c r="C445" s="7" t="s">
        <v>1034</v>
      </c>
      <c r="D445" s="7" t="s">
        <v>21</v>
      </c>
      <c r="E445" s="7" t="s">
        <v>25</v>
      </c>
      <c r="F445" s="7" t="s">
        <v>40</v>
      </c>
      <c r="G445" s="9">
        <v>12.78</v>
      </c>
      <c r="H445" s="13">
        <v>1</v>
      </c>
      <c r="I445" s="17">
        <v>0.63900000000000001</v>
      </c>
      <c r="J445" s="9">
        <v>13.419</v>
      </c>
      <c r="K445" s="21">
        <v>43473</v>
      </c>
      <c r="L445" s="3">
        <v>0.59097222222222223</v>
      </c>
      <c r="M445" s="7" t="s">
        <v>18</v>
      </c>
      <c r="N445" s="19">
        <v>12.78</v>
      </c>
      <c r="O445" s="15">
        <v>4.7619047620000003</v>
      </c>
      <c r="P445" s="9">
        <v>0.63900000000000001</v>
      </c>
      <c r="Q445" s="11">
        <v>9.5</v>
      </c>
    </row>
    <row r="446" spans="1:17" x14ac:dyDescent="0.25">
      <c r="A446" s="5" t="s">
        <v>474</v>
      </c>
      <c r="B446" s="7" t="s">
        <v>13</v>
      </c>
      <c r="C446" s="7" t="s">
        <v>14</v>
      </c>
      <c r="D446" s="7" t="s">
        <v>21</v>
      </c>
      <c r="E446" s="7" t="s">
        <v>16</v>
      </c>
      <c r="F446" s="7" t="s">
        <v>30</v>
      </c>
      <c r="G446" s="9">
        <v>19.100000000000001</v>
      </c>
      <c r="H446" s="13">
        <v>7</v>
      </c>
      <c r="I446" s="17">
        <v>6.6849999999999996</v>
      </c>
      <c r="J446" s="9">
        <v>140.38499999999999</v>
      </c>
      <c r="K446" s="21">
        <v>43480</v>
      </c>
      <c r="L446" s="3">
        <v>0.4465277777777778</v>
      </c>
      <c r="M446" s="7" t="s">
        <v>23</v>
      </c>
      <c r="N446" s="19">
        <v>133.69999999999999</v>
      </c>
      <c r="O446" s="15">
        <v>4.7619047620000003</v>
      </c>
      <c r="P446" s="9">
        <v>6.6849999999999996</v>
      </c>
      <c r="Q446" s="11">
        <v>9.6999999999999993</v>
      </c>
    </row>
    <row r="447" spans="1:17" x14ac:dyDescent="0.25">
      <c r="A447" s="5" t="s">
        <v>475</v>
      </c>
      <c r="B447" s="7" t="s">
        <v>36</v>
      </c>
      <c r="C447" s="7" t="s">
        <v>37</v>
      </c>
      <c r="D447" s="7" t="s">
        <v>15</v>
      </c>
      <c r="E447" s="7" t="s">
        <v>16</v>
      </c>
      <c r="F447" s="7" t="s">
        <v>17</v>
      </c>
      <c r="G447" s="9">
        <v>19.149999999999999</v>
      </c>
      <c r="H447" s="13">
        <v>1</v>
      </c>
      <c r="I447" s="17">
        <v>0.95750000000000002</v>
      </c>
      <c r="J447" s="9">
        <v>20.107500000000002</v>
      </c>
      <c r="K447" s="21">
        <v>43493</v>
      </c>
      <c r="L447" s="3">
        <v>0.74861111111111112</v>
      </c>
      <c r="M447" s="7" t="s">
        <v>27</v>
      </c>
      <c r="N447" s="19">
        <v>19.149999999999999</v>
      </c>
      <c r="O447" s="15">
        <v>4.7619047620000003</v>
      </c>
      <c r="P447" s="9">
        <v>0.95750000000000002</v>
      </c>
      <c r="Q447" s="11">
        <v>9.5</v>
      </c>
    </row>
    <row r="448" spans="1:17" x14ac:dyDescent="0.25">
      <c r="A448" s="5" t="s">
        <v>476</v>
      </c>
      <c r="B448" s="7" t="s">
        <v>20</v>
      </c>
      <c r="C448" s="7" t="s">
        <v>1034</v>
      </c>
      <c r="D448" s="7" t="s">
        <v>15</v>
      </c>
      <c r="E448" s="7" t="s">
        <v>25</v>
      </c>
      <c r="F448" s="7" t="s">
        <v>38</v>
      </c>
      <c r="G448" s="9">
        <v>27.66</v>
      </c>
      <c r="H448" s="13">
        <v>10</v>
      </c>
      <c r="I448" s="17">
        <v>13.83</v>
      </c>
      <c r="J448" s="9">
        <v>290.43</v>
      </c>
      <c r="K448" s="21">
        <v>43510</v>
      </c>
      <c r="L448" s="3">
        <v>0.47638888888888886</v>
      </c>
      <c r="M448" s="7" t="s">
        <v>27</v>
      </c>
      <c r="N448" s="19">
        <v>276.60000000000002</v>
      </c>
      <c r="O448" s="15">
        <v>4.7619047620000003</v>
      </c>
      <c r="P448" s="9">
        <v>13.83</v>
      </c>
      <c r="Q448" s="11">
        <v>8.9</v>
      </c>
    </row>
    <row r="449" spans="1:17" x14ac:dyDescent="0.25">
      <c r="A449" s="5" t="s">
        <v>477</v>
      </c>
      <c r="B449" s="7" t="s">
        <v>20</v>
      </c>
      <c r="C449" s="7" t="s">
        <v>1034</v>
      </c>
      <c r="D449" s="7" t="s">
        <v>21</v>
      </c>
      <c r="E449" s="7" t="s">
        <v>25</v>
      </c>
      <c r="F449" s="7" t="s">
        <v>40</v>
      </c>
      <c r="G449" s="9">
        <v>45.74</v>
      </c>
      <c r="H449" s="13">
        <v>3</v>
      </c>
      <c r="I449" s="17">
        <v>6.8609999999999998</v>
      </c>
      <c r="J449" s="9">
        <v>144.08099999999999</v>
      </c>
      <c r="K449" s="21">
        <v>43534</v>
      </c>
      <c r="L449" s="3">
        <v>0.73472222222222228</v>
      </c>
      <c r="M449" s="7" t="s">
        <v>27</v>
      </c>
      <c r="N449" s="19">
        <v>137.22</v>
      </c>
      <c r="O449" s="15">
        <v>4.7619047620000003</v>
      </c>
      <c r="P449" s="9">
        <v>6.8609999999999998</v>
      </c>
      <c r="Q449" s="11">
        <v>6.5</v>
      </c>
    </row>
    <row r="450" spans="1:17" x14ac:dyDescent="0.25">
      <c r="A450" s="5" t="s">
        <v>478</v>
      </c>
      <c r="B450" s="7" t="s">
        <v>36</v>
      </c>
      <c r="C450" s="7" t="s">
        <v>37</v>
      </c>
      <c r="D450" s="7" t="s">
        <v>15</v>
      </c>
      <c r="E450" s="7" t="s">
        <v>16</v>
      </c>
      <c r="F450" s="7" t="s">
        <v>17</v>
      </c>
      <c r="G450" s="9">
        <v>27.07</v>
      </c>
      <c r="H450" s="13">
        <v>1</v>
      </c>
      <c r="I450" s="17">
        <v>1.3534999999999999</v>
      </c>
      <c r="J450" s="9">
        <v>28.423500000000001</v>
      </c>
      <c r="K450" s="21">
        <v>43477</v>
      </c>
      <c r="L450" s="3">
        <v>0.83819444444444446</v>
      </c>
      <c r="M450" s="7" t="s">
        <v>27</v>
      </c>
      <c r="N450" s="19">
        <v>27.07</v>
      </c>
      <c r="O450" s="15">
        <v>4.7619047620000003</v>
      </c>
      <c r="P450" s="9">
        <v>1.3534999999999999</v>
      </c>
      <c r="Q450" s="11">
        <v>5.3</v>
      </c>
    </row>
    <row r="451" spans="1:17" x14ac:dyDescent="0.25">
      <c r="A451" s="5" t="s">
        <v>479</v>
      </c>
      <c r="B451" s="7" t="s">
        <v>36</v>
      </c>
      <c r="C451" s="7" t="s">
        <v>37</v>
      </c>
      <c r="D451" s="7" t="s">
        <v>15</v>
      </c>
      <c r="E451" s="7" t="s">
        <v>16</v>
      </c>
      <c r="F451" s="7" t="s">
        <v>30</v>
      </c>
      <c r="G451" s="9">
        <v>39.119999999999997</v>
      </c>
      <c r="H451" s="13">
        <v>1</v>
      </c>
      <c r="I451" s="17">
        <v>1.956</v>
      </c>
      <c r="J451" s="9">
        <v>41.076000000000001</v>
      </c>
      <c r="K451" s="21">
        <v>43550</v>
      </c>
      <c r="L451" s="3">
        <v>0.4597222222222222</v>
      </c>
      <c r="M451" s="7" t="s">
        <v>27</v>
      </c>
      <c r="N451" s="19">
        <v>39.119999999999997</v>
      </c>
      <c r="O451" s="15">
        <v>4.7619047620000003</v>
      </c>
      <c r="P451" s="9">
        <v>1.956</v>
      </c>
      <c r="Q451" s="11">
        <v>9.6</v>
      </c>
    </row>
    <row r="452" spans="1:17" x14ac:dyDescent="0.25">
      <c r="A452" s="5" t="s">
        <v>480</v>
      </c>
      <c r="B452" s="7" t="s">
        <v>36</v>
      </c>
      <c r="C452" s="7" t="s">
        <v>37</v>
      </c>
      <c r="D452" s="7" t="s">
        <v>21</v>
      </c>
      <c r="E452" s="7" t="s">
        <v>16</v>
      </c>
      <c r="F452" s="7" t="s">
        <v>22</v>
      </c>
      <c r="G452" s="9">
        <v>74.709999999999994</v>
      </c>
      <c r="H452" s="13">
        <v>6</v>
      </c>
      <c r="I452" s="17">
        <v>22.413</v>
      </c>
      <c r="J452" s="9">
        <v>470.673</v>
      </c>
      <c r="K452" s="21">
        <v>43466</v>
      </c>
      <c r="L452" s="3">
        <v>0.79652777777777772</v>
      </c>
      <c r="M452" s="7" t="s">
        <v>23</v>
      </c>
      <c r="N452" s="19">
        <v>448.26</v>
      </c>
      <c r="O452" s="15">
        <v>4.7619047620000003</v>
      </c>
      <c r="P452" s="9">
        <v>22.413</v>
      </c>
      <c r="Q452" s="11">
        <v>6.7</v>
      </c>
    </row>
    <row r="453" spans="1:17" x14ac:dyDescent="0.25">
      <c r="A453" s="5" t="s">
        <v>481</v>
      </c>
      <c r="B453" s="7" t="s">
        <v>36</v>
      </c>
      <c r="C453" s="7" t="s">
        <v>37</v>
      </c>
      <c r="D453" s="7" t="s">
        <v>21</v>
      </c>
      <c r="E453" s="7" t="s">
        <v>25</v>
      </c>
      <c r="F453" s="7" t="s">
        <v>22</v>
      </c>
      <c r="G453" s="9">
        <v>22.01</v>
      </c>
      <c r="H453" s="13">
        <v>6</v>
      </c>
      <c r="I453" s="17">
        <v>6.6029999999999998</v>
      </c>
      <c r="J453" s="9">
        <v>138.66300000000001</v>
      </c>
      <c r="K453" s="21">
        <v>43467</v>
      </c>
      <c r="L453" s="3">
        <v>0.78472222222222221</v>
      </c>
      <c r="M453" s="7" t="s">
        <v>23</v>
      </c>
      <c r="N453" s="19">
        <v>132.06</v>
      </c>
      <c r="O453" s="15">
        <v>4.7619047620000003</v>
      </c>
      <c r="P453" s="9">
        <v>6.6029999999999998</v>
      </c>
      <c r="Q453" s="11">
        <v>7.6</v>
      </c>
    </row>
    <row r="454" spans="1:17" x14ac:dyDescent="0.25">
      <c r="A454" s="5" t="s">
        <v>482</v>
      </c>
      <c r="B454" s="7" t="s">
        <v>13</v>
      </c>
      <c r="C454" s="7" t="s">
        <v>14</v>
      </c>
      <c r="D454" s="7" t="s">
        <v>21</v>
      </c>
      <c r="E454" s="7" t="s">
        <v>16</v>
      </c>
      <c r="F454" s="7" t="s">
        <v>38</v>
      </c>
      <c r="G454" s="9">
        <v>63.61</v>
      </c>
      <c r="H454" s="13">
        <v>5</v>
      </c>
      <c r="I454" s="17">
        <v>15.9025</v>
      </c>
      <c r="J454" s="9">
        <v>333.95249999999999</v>
      </c>
      <c r="K454" s="21">
        <v>43540</v>
      </c>
      <c r="L454" s="3">
        <v>0.52986111111111112</v>
      </c>
      <c r="M454" s="7" t="s">
        <v>18</v>
      </c>
      <c r="N454" s="19">
        <v>318.05</v>
      </c>
      <c r="O454" s="15">
        <v>4.7619047620000003</v>
      </c>
      <c r="P454" s="9">
        <v>15.9025</v>
      </c>
      <c r="Q454" s="11">
        <v>4.8</v>
      </c>
    </row>
    <row r="455" spans="1:17" x14ac:dyDescent="0.25">
      <c r="A455" s="5" t="s">
        <v>483</v>
      </c>
      <c r="B455" s="7" t="s">
        <v>13</v>
      </c>
      <c r="C455" s="7" t="s">
        <v>14</v>
      </c>
      <c r="D455" s="7" t="s">
        <v>21</v>
      </c>
      <c r="E455" s="7" t="s">
        <v>25</v>
      </c>
      <c r="F455" s="7" t="s">
        <v>17</v>
      </c>
      <c r="G455" s="9">
        <v>25</v>
      </c>
      <c r="H455" s="13">
        <v>1</v>
      </c>
      <c r="I455" s="17">
        <v>1.25</v>
      </c>
      <c r="J455" s="9">
        <v>26.25</v>
      </c>
      <c r="K455" s="21">
        <v>43527</v>
      </c>
      <c r="L455" s="3">
        <v>0.63124999999999998</v>
      </c>
      <c r="M455" s="7" t="s">
        <v>18</v>
      </c>
      <c r="N455" s="19">
        <v>25</v>
      </c>
      <c r="O455" s="15">
        <v>4.7619047620000003</v>
      </c>
      <c r="P455" s="9">
        <v>1.25</v>
      </c>
      <c r="Q455" s="11">
        <v>5.5</v>
      </c>
    </row>
    <row r="456" spans="1:17" x14ac:dyDescent="0.25">
      <c r="A456" s="5" t="s">
        <v>484</v>
      </c>
      <c r="B456" s="7" t="s">
        <v>13</v>
      </c>
      <c r="C456" s="7" t="s">
        <v>14</v>
      </c>
      <c r="D456" s="7" t="s">
        <v>15</v>
      </c>
      <c r="E456" s="7" t="s">
        <v>25</v>
      </c>
      <c r="F456" s="7" t="s">
        <v>22</v>
      </c>
      <c r="G456" s="9">
        <v>20.77</v>
      </c>
      <c r="H456" s="13">
        <v>4</v>
      </c>
      <c r="I456" s="17">
        <v>4.1539999999999999</v>
      </c>
      <c r="J456" s="9">
        <v>87.233999999999995</v>
      </c>
      <c r="K456" s="21">
        <v>43496</v>
      </c>
      <c r="L456" s="3">
        <v>0.57430555555555551</v>
      </c>
      <c r="M456" s="7" t="s">
        <v>23</v>
      </c>
      <c r="N456" s="19">
        <v>83.08</v>
      </c>
      <c r="O456" s="15">
        <v>4.7619047620000003</v>
      </c>
      <c r="P456" s="9">
        <v>4.1539999999999999</v>
      </c>
      <c r="Q456" s="11">
        <v>4.7</v>
      </c>
    </row>
    <row r="457" spans="1:17" x14ac:dyDescent="0.25">
      <c r="A457" s="5" t="s">
        <v>485</v>
      </c>
      <c r="B457" s="7" t="s">
        <v>36</v>
      </c>
      <c r="C457" s="7" t="s">
        <v>37</v>
      </c>
      <c r="D457" s="7" t="s">
        <v>15</v>
      </c>
      <c r="E457" s="7" t="s">
        <v>16</v>
      </c>
      <c r="F457" s="7" t="s">
        <v>40</v>
      </c>
      <c r="G457" s="9">
        <v>29.56</v>
      </c>
      <c r="H457" s="13">
        <v>5</v>
      </c>
      <c r="I457" s="17">
        <v>7.39</v>
      </c>
      <c r="J457" s="9">
        <v>155.19</v>
      </c>
      <c r="K457" s="21">
        <v>43509</v>
      </c>
      <c r="L457" s="3">
        <v>0.70763888888888893</v>
      </c>
      <c r="M457" s="7" t="s">
        <v>23</v>
      </c>
      <c r="N457" s="19">
        <v>147.80000000000001</v>
      </c>
      <c r="O457" s="15">
        <v>4.7619047620000003</v>
      </c>
      <c r="P457" s="9">
        <v>7.39</v>
      </c>
      <c r="Q457" s="11">
        <v>6.9</v>
      </c>
    </row>
    <row r="458" spans="1:17" x14ac:dyDescent="0.25">
      <c r="A458" s="5" t="s">
        <v>486</v>
      </c>
      <c r="B458" s="7" t="s">
        <v>36</v>
      </c>
      <c r="C458" s="7" t="s">
        <v>37</v>
      </c>
      <c r="D458" s="7" t="s">
        <v>15</v>
      </c>
      <c r="E458" s="7" t="s">
        <v>16</v>
      </c>
      <c r="F458" s="7" t="s">
        <v>38</v>
      </c>
      <c r="G458" s="9">
        <v>77.400000000000006</v>
      </c>
      <c r="H458" s="13">
        <v>9</v>
      </c>
      <c r="I458" s="17">
        <v>34.83</v>
      </c>
      <c r="J458" s="9">
        <v>731.43</v>
      </c>
      <c r="K458" s="21">
        <v>43511</v>
      </c>
      <c r="L458" s="3">
        <v>0.59375</v>
      </c>
      <c r="M458" s="7" t="s">
        <v>27</v>
      </c>
      <c r="N458" s="19">
        <v>696.6</v>
      </c>
      <c r="O458" s="15">
        <v>4.7619047620000003</v>
      </c>
      <c r="P458" s="9">
        <v>34.83</v>
      </c>
      <c r="Q458" s="11">
        <v>4.5</v>
      </c>
    </row>
    <row r="459" spans="1:17" x14ac:dyDescent="0.25">
      <c r="A459" s="5" t="s">
        <v>487</v>
      </c>
      <c r="B459" s="7" t="s">
        <v>36</v>
      </c>
      <c r="C459" s="7" t="s">
        <v>37</v>
      </c>
      <c r="D459" s="7" t="s">
        <v>21</v>
      </c>
      <c r="E459" s="7" t="s">
        <v>25</v>
      </c>
      <c r="F459" s="7" t="s">
        <v>22</v>
      </c>
      <c r="G459" s="9">
        <v>79.39</v>
      </c>
      <c r="H459" s="13">
        <v>10</v>
      </c>
      <c r="I459" s="17">
        <v>39.695</v>
      </c>
      <c r="J459" s="9">
        <v>833.59500000000003</v>
      </c>
      <c r="K459" s="21">
        <v>43503</v>
      </c>
      <c r="L459" s="3">
        <v>0.85</v>
      </c>
      <c r="M459" s="7" t="s">
        <v>23</v>
      </c>
      <c r="N459" s="19">
        <v>793.9</v>
      </c>
      <c r="O459" s="15">
        <v>4.7619047620000003</v>
      </c>
      <c r="P459" s="9">
        <v>39.695</v>
      </c>
      <c r="Q459" s="11">
        <v>6.2</v>
      </c>
    </row>
    <row r="460" spans="1:17" x14ac:dyDescent="0.25">
      <c r="A460" s="5" t="s">
        <v>488</v>
      </c>
      <c r="B460" s="7" t="s">
        <v>20</v>
      </c>
      <c r="C460" s="7" t="s">
        <v>1034</v>
      </c>
      <c r="D460" s="7" t="s">
        <v>15</v>
      </c>
      <c r="E460" s="7" t="s">
        <v>16</v>
      </c>
      <c r="F460" s="7" t="s">
        <v>22</v>
      </c>
      <c r="G460" s="9">
        <v>46.57</v>
      </c>
      <c r="H460" s="13">
        <v>10</v>
      </c>
      <c r="I460" s="17">
        <v>23.285</v>
      </c>
      <c r="J460" s="9">
        <v>488.98500000000001</v>
      </c>
      <c r="K460" s="21">
        <v>43492</v>
      </c>
      <c r="L460" s="3">
        <v>0.58194444444444449</v>
      </c>
      <c r="M460" s="7" t="s">
        <v>23</v>
      </c>
      <c r="N460" s="19">
        <v>465.7</v>
      </c>
      <c r="O460" s="15">
        <v>4.7619047620000003</v>
      </c>
      <c r="P460" s="9">
        <v>23.285</v>
      </c>
      <c r="Q460" s="11">
        <v>7.6</v>
      </c>
    </row>
    <row r="461" spans="1:17" x14ac:dyDescent="0.25">
      <c r="A461" s="5" t="s">
        <v>489</v>
      </c>
      <c r="B461" s="7" t="s">
        <v>20</v>
      </c>
      <c r="C461" s="7" t="s">
        <v>1034</v>
      </c>
      <c r="D461" s="7" t="s">
        <v>21</v>
      </c>
      <c r="E461" s="7" t="s">
        <v>25</v>
      </c>
      <c r="F461" s="7" t="s">
        <v>38</v>
      </c>
      <c r="G461" s="9">
        <v>35.89</v>
      </c>
      <c r="H461" s="13">
        <v>1</v>
      </c>
      <c r="I461" s="17">
        <v>1.7945</v>
      </c>
      <c r="J461" s="9">
        <v>37.6845</v>
      </c>
      <c r="K461" s="21">
        <v>43519</v>
      </c>
      <c r="L461" s="3">
        <v>0.70277777777777772</v>
      </c>
      <c r="M461" s="7" t="s">
        <v>27</v>
      </c>
      <c r="N461" s="19">
        <v>35.89</v>
      </c>
      <c r="O461" s="15">
        <v>4.7619047620000003</v>
      </c>
      <c r="P461" s="9">
        <v>1.7945</v>
      </c>
      <c r="Q461" s="11">
        <v>7.9</v>
      </c>
    </row>
    <row r="462" spans="1:17" x14ac:dyDescent="0.25">
      <c r="A462" s="5" t="s">
        <v>490</v>
      </c>
      <c r="B462" s="7" t="s">
        <v>20</v>
      </c>
      <c r="C462" s="7" t="s">
        <v>1034</v>
      </c>
      <c r="D462" s="7" t="s">
        <v>21</v>
      </c>
      <c r="E462" s="7" t="s">
        <v>25</v>
      </c>
      <c r="F462" s="7" t="s">
        <v>38</v>
      </c>
      <c r="G462" s="9">
        <v>40.520000000000003</v>
      </c>
      <c r="H462" s="13">
        <v>5</v>
      </c>
      <c r="I462" s="17">
        <v>10.130000000000001</v>
      </c>
      <c r="J462" s="9">
        <v>212.73</v>
      </c>
      <c r="K462" s="21">
        <v>43499</v>
      </c>
      <c r="L462" s="3">
        <v>0.6381944444444444</v>
      </c>
      <c r="M462" s="7" t="s">
        <v>23</v>
      </c>
      <c r="N462" s="19">
        <v>202.6</v>
      </c>
      <c r="O462" s="15">
        <v>4.7619047620000003</v>
      </c>
      <c r="P462" s="9">
        <v>10.130000000000001</v>
      </c>
      <c r="Q462" s="11">
        <v>4.5</v>
      </c>
    </row>
    <row r="463" spans="1:17" x14ac:dyDescent="0.25">
      <c r="A463" s="5" t="s">
        <v>491</v>
      </c>
      <c r="B463" s="7" t="s">
        <v>36</v>
      </c>
      <c r="C463" s="7" t="s">
        <v>37</v>
      </c>
      <c r="D463" s="7" t="s">
        <v>15</v>
      </c>
      <c r="E463" s="7" t="s">
        <v>16</v>
      </c>
      <c r="F463" s="7" t="s">
        <v>38</v>
      </c>
      <c r="G463" s="9">
        <v>73.05</v>
      </c>
      <c r="H463" s="13">
        <v>10</v>
      </c>
      <c r="I463" s="17">
        <v>36.524999999999999</v>
      </c>
      <c r="J463" s="9">
        <v>767.02499999999998</v>
      </c>
      <c r="K463" s="21">
        <v>43527</v>
      </c>
      <c r="L463" s="3">
        <v>0.51736111111111116</v>
      </c>
      <c r="M463" s="7" t="s">
        <v>27</v>
      </c>
      <c r="N463" s="19">
        <v>730.5</v>
      </c>
      <c r="O463" s="15">
        <v>4.7619047620000003</v>
      </c>
      <c r="P463" s="9">
        <v>36.524999999999999</v>
      </c>
      <c r="Q463" s="11">
        <v>8.6999999999999993</v>
      </c>
    </row>
    <row r="464" spans="1:17" x14ac:dyDescent="0.25">
      <c r="A464" s="5" t="s">
        <v>492</v>
      </c>
      <c r="B464" s="7" t="s">
        <v>20</v>
      </c>
      <c r="C464" s="7" t="s">
        <v>1034</v>
      </c>
      <c r="D464" s="7" t="s">
        <v>21</v>
      </c>
      <c r="E464" s="7" t="s">
        <v>16</v>
      </c>
      <c r="F464" s="7" t="s">
        <v>30</v>
      </c>
      <c r="G464" s="9">
        <v>73.95</v>
      </c>
      <c r="H464" s="13">
        <v>4</v>
      </c>
      <c r="I464" s="17">
        <v>14.79</v>
      </c>
      <c r="J464" s="9">
        <v>310.58999999999997</v>
      </c>
      <c r="K464" s="21">
        <v>43499</v>
      </c>
      <c r="L464" s="3">
        <v>0.41805555555555557</v>
      </c>
      <c r="M464" s="7" t="s">
        <v>23</v>
      </c>
      <c r="N464" s="19">
        <v>295.8</v>
      </c>
      <c r="O464" s="15">
        <v>4.7619047620000003</v>
      </c>
      <c r="P464" s="9">
        <v>14.79</v>
      </c>
      <c r="Q464" s="11">
        <v>6.1</v>
      </c>
    </row>
    <row r="465" spans="1:17" x14ac:dyDescent="0.25">
      <c r="A465" s="5" t="s">
        <v>493</v>
      </c>
      <c r="B465" s="7" t="s">
        <v>20</v>
      </c>
      <c r="C465" s="7" t="s">
        <v>1034</v>
      </c>
      <c r="D465" s="7" t="s">
        <v>15</v>
      </c>
      <c r="E465" s="7" t="s">
        <v>16</v>
      </c>
      <c r="F465" s="7" t="s">
        <v>38</v>
      </c>
      <c r="G465" s="9">
        <v>22.62</v>
      </c>
      <c r="H465" s="13">
        <v>1</v>
      </c>
      <c r="I465" s="17">
        <v>1.131</v>
      </c>
      <c r="J465" s="9">
        <v>23.751000000000001</v>
      </c>
      <c r="K465" s="21">
        <v>43541</v>
      </c>
      <c r="L465" s="3">
        <v>0.79027777777777775</v>
      </c>
      <c r="M465" s="7" t="s">
        <v>23</v>
      </c>
      <c r="N465" s="19">
        <v>22.62</v>
      </c>
      <c r="O465" s="15">
        <v>4.7619047620000003</v>
      </c>
      <c r="P465" s="9">
        <v>1.131</v>
      </c>
      <c r="Q465" s="11">
        <v>6.4</v>
      </c>
    </row>
    <row r="466" spans="1:17" x14ac:dyDescent="0.25">
      <c r="A466" s="5" t="s">
        <v>494</v>
      </c>
      <c r="B466" s="7" t="s">
        <v>13</v>
      </c>
      <c r="C466" s="7" t="s">
        <v>14</v>
      </c>
      <c r="D466" s="7" t="s">
        <v>15</v>
      </c>
      <c r="E466" s="7" t="s">
        <v>25</v>
      </c>
      <c r="F466" s="7" t="s">
        <v>38</v>
      </c>
      <c r="G466" s="9">
        <v>51.34</v>
      </c>
      <c r="H466" s="13">
        <v>5</v>
      </c>
      <c r="I466" s="17">
        <v>12.835000000000001</v>
      </c>
      <c r="J466" s="9">
        <v>269.53500000000003</v>
      </c>
      <c r="K466" s="21">
        <v>43552</v>
      </c>
      <c r="L466" s="3">
        <v>0.64652777777777781</v>
      </c>
      <c r="M466" s="7" t="s">
        <v>27</v>
      </c>
      <c r="N466" s="19">
        <v>256.7</v>
      </c>
      <c r="O466" s="15">
        <v>4.7619047620000003</v>
      </c>
      <c r="P466" s="9">
        <v>12.835000000000001</v>
      </c>
      <c r="Q466" s="11">
        <v>9.1</v>
      </c>
    </row>
    <row r="467" spans="1:17" x14ac:dyDescent="0.25">
      <c r="A467" s="5" t="s">
        <v>495</v>
      </c>
      <c r="B467" s="7" t="s">
        <v>20</v>
      </c>
      <c r="C467" s="7" t="s">
        <v>1034</v>
      </c>
      <c r="D467" s="7" t="s">
        <v>15</v>
      </c>
      <c r="E467" s="7" t="s">
        <v>16</v>
      </c>
      <c r="F467" s="7" t="s">
        <v>30</v>
      </c>
      <c r="G467" s="9">
        <v>54.55</v>
      </c>
      <c r="H467" s="13">
        <v>10</v>
      </c>
      <c r="I467" s="17">
        <v>27.274999999999999</v>
      </c>
      <c r="J467" s="9">
        <v>572.77499999999998</v>
      </c>
      <c r="K467" s="21">
        <v>43526</v>
      </c>
      <c r="L467" s="3">
        <v>0.47361111111111109</v>
      </c>
      <c r="M467" s="7" t="s">
        <v>27</v>
      </c>
      <c r="N467" s="19">
        <v>545.5</v>
      </c>
      <c r="O467" s="15">
        <v>4.7619047620000003</v>
      </c>
      <c r="P467" s="9">
        <v>27.274999999999999</v>
      </c>
      <c r="Q467" s="11">
        <v>7.1</v>
      </c>
    </row>
    <row r="468" spans="1:17" x14ac:dyDescent="0.25">
      <c r="A468" s="5" t="s">
        <v>496</v>
      </c>
      <c r="B468" s="7" t="s">
        <v>20</v>
      </c>
      <c r="C468" s="7" t="s">
        <v>1034</v>
      </c>
      <c r="D468" s="7" t="s">
        <v>15</v>
      </c>
      <c r="E468" s="7" t="s">
        <v>16</v>
      </c>
      <c r="F468" s="7" t="s">
        <v>17</v>
      </c>
      <c r="G468" s="9">
        <v>37.15</v>
      </c>
      <c r="H468" s="13">
        <v>7</v>
      </c>
      <c r="I468" s="17">
        <v>13.0025</v>
      </c>
      <c r="J468" s="9">
        <v>273.05250000000001</v>
      </c>
      <c r="K468" s="21">
        <v>43504</v>
      </c>
      <c r="L468" s="3">
        <v>0.55000000000000004</v>
      </c>
      <c r="M468" s="7" t="s">
        <v>27</v>
      </c>
      <c r="N468" s="19">
        <v>260.05</v>
      </c>
      <c r="O468" s="15">
        <v>4.7619047620000003</v>
      </c>
      <c r="P468" s="9">
        <v>13.0025</v>
      </c>
      <c r="Q468" s="11">
        <v>7.7</v>
      </c>
    </row>
    <row r="469" spans="1:17" x14ac:dyDescent="0.25">
      <c r="A469" s="5" t="s">
        <v>497</v>
      </c>
      <c r="B469" s="7" t="s">
        <v>36</v>
      </c>
      <c r="C469" s="7" t="s">
        <v>37</v>
      </c>
      <c r="D469" s="7" t="s">
        <v>21</v>
      </c>
      <c r="E469" s="7" t="s">
        <v>25</v>
      </c>
      <c r="F469" s="7" t="s">
        <v>30</v>
      </c>
      <c r="G469" s="9">
        <v>37.020000000000003</v>
      </c>
      <c r="H469" s="13">
        <v>6</v>
      </c>
      <c r="I469" s="17">
        <v>11.106</v>
      </c>
      <c r="J469" s="9">
        <v>233.226</v>
      </c>
      <c r="K469" s="21">
        <v>43546</v>
      </c>
      <c r="L469" s="3">
        <v>0.7729166666666667</v>
      </c>
      <c r="M469" s="7" t="s">
        <v>23</v>
      </c>
      <c r="N469" s="19">
        <v>222.12</v>
      </c>
      <c r="O469" s="15">
        <v>4.7619047620000003</v>
      </c>
      <c r="P469" s="9">
        <v>11.106</v>
      </c>
      <c r="Q469" s="11">
        <v>4.5</v>
      </c>
    </row>
    <row r="470" spans="1:17" x14ac:dyDescent="0.25">
      <c r="A470" s="5" t="s">
        <v>498</v>
      </c>
      <c r="B470" s="7" t="s">
        <v>20</v>
      </c>
      <c r="C470" s="7" t="s">
        <v>1034</v>
      </c>
      <c r="D470" s="7" t="s">
        <v>21</v>
      </c>
      <c r="E470" s="7" t="s">
        <v>25</v>
      </c>
      <c r="F470" s="7" t="s">
        <v>38</v>
      </c>
      <c r="G470" s="9">
        <v>21.58</v>
      </c>
      <c r="H470" s="13">
        <v>1</v>
      </c>
      <c r="I470" s="17">
        <v>1.079</v>
      </c>
      <c r="J470" s="9">
        <v>22.658999999999999</v>
      </c>
      <c r="K470" s="21">
        <v>43505</v>
      </c>
      <c r="L470" s="3">
        <v>0.41805555555555557</v>
      </c>
      <c r="M470" s="7" t="s">
        <v>18</v>
      </c>
      <c r="N470" s="19">
        <v>21.58</v>
      </c>
      <c r="O470" s="15">
        <v>4.7619047620000003</v>
      </c>
      <c r="P470" s="9">
        <v>1.079</v>
      </c>
      <c r="Q470" s="11">
        <v>7.2</v>
      </c>
    </row>
    <row r="471" spans="1:17" x14ac:dyDescent="0.25">
      <c r="A471" s="5" t="s">
        <v>499</v>
      </c>
      <c r="B471" s="7" t="s">
        <v>20</v>
      </c>
      <c r="C471" s="7" t="s">
        <v>1034</v>
      </c>
      <c r="D471" s="7" t="s">
        <v>15</v>
      </c>
      <c r="E471" s="7" t="s">
        <v>16</v>
      </c>
      <c r="F471" s="7" t="s">
        <v>22</v>
      </c>
      <c r="G471" s="9">
        <v>98.84</v>
      </c>
      <c r="H471" s="13">
        <v>1</v>
      </c>
      <c r="I471" s="17">
        <v>4.9420000000000002</v>
      </c>
      <c r="J471" s="9">
        <v>103.782</v>
      </c>
      <c r="K471" s="21">
        <v>43511</v>
      </c>
      <c r="L471" s="3">
        <v>0.47291666666666665</v>
      </c>
      <c r="M471" s="7" t="s">
        <v>23</v>
      </c>
      <c r="N471" s="19">
        <v>98.84</v>
      </c>
      <c r="O471" s="15">
        <v>4.7619047620000003</v>
      </c>
      <c r="P471" s="9">
        <v>4.9420000000000002</v>
      </c>
      <c r="Q471" s="11">
        <v>8.4</v>
      </c>
    </row>
    <row r="472" spans="1:17" x14ac:dyDescent="0.25">
      <c r="A472" s="5" t="s">
        <v>500</v>
      </c>
      <c r="B472" s="7" t="s">
        <v>20</v>
      </c>
      <c r="C472" s="7" t="s">
        <v>1034</v>
      </c>
      <c r="D472" s="7" t="s">
        <v>15</v>
      </c>
      <c r="E472" s="7" t="s">
        <v>16</v>
      </c>
      <c r="F472" s="7" t="s">
        <v>26</v>
      </c>
      <c r="G472" s="9">
        <v>83.77</v>
      </c>
      <c r="H472" s="13">
        <v>6</v>
      </c>
      <c r="I472" s="17">
        <v>25.131</v>
      </c>
      <c r="J472" s="9">
        <v>527.75099999999998</v>
      </c>
      <c r="K472" s="21">
        <v>43488</v>
      </c>
      <c r="L472" s="3">
        <v>0.50694444444444442</v>
      </c>
      <c r="M472" s="7" t="s">
        <v>18</v>
      </c>
      <c r="N472" s="19">
        <v>502.62</v>
      </c>
      <c r="O472" s="15">
        <v>4.7619047620000003</v>
      </c>
      <c r="P472" s="9">
        <v>25.131</v>
      </c>
      <c r="Q472" s="11">
        <v>5.4</v>
      </c>
    </row>
    <row r="473" spans="1:17" x14ac:dyDescent="0.25">
      <c r="A473" s="5" t="s">
        <v>501</v>
      </c>
      <c r="B473" s="7" t="s">
        <v>13</v>
      </c>
      <c r="C473" s="7" t="s">
        <v>14</v>
      </c>
      <c r="D473" s="7" t="s">
        <v>15</v>
      </c>
      <c r="E473" s="7" t="s">
        <v>16</v>
      </c>
      <c r="F473" s="7" t="s">
        <v>30</v>
      </c>
      <c r="G473" s="9">
        <v>40.049999999999997</v>
      </c>
      <c r="H473" s="13">
        <v>4</v>
      </c>
      <c r="I473" s="17">
        <v>8.01</v>
      </c>
      <c r="J473" s="9">
        <v>168.21</v>
      </c>
      <c r="K473" s="21">
        <v>43490</v>
      </c>
      <c r="L473" s="3">
        <v>0.4861111111111111</v>
      </c>
      <c r="M473" s="7" t="s">
        <v>23</v>
      </c>
      <c r="N473" s="19">
        <v>160.19999999999999</v>
      </c>
      <c r="O473" s="15">
        <v>4.7619047620000003</v>
      </c>
      <c r="P473" s="9">
        <v>8.01</v>
      </c>
      <c r="Q473" s="11">
        <v>9.6999999999999993</v>
      </c>
    </row>
    <row r="474" spans="1:17" x14ac:dyDescent="0.25">
      <c r="A474" s="5" t="s">
        <v>502</v>
      </c>
      <c r="B474" s="7" t="s">
        <v>13</v>
      </c>
      <c r="C474" s="7" t="s">
        <v>14</v>
      </c>
      <c r="D474" s="7" t="s">
        <v>15</v>
      </c>
      <c r="E474" s="7" t="s">
        <v>25</v>
      </c>
      <c r="F474" s="7" t="s">
        <v>40</v>
      </c>
      <c r="G474" s="9">
        <v>43.13</v>
      </c>
      <c r="H474" s="13">
        <v>10</v>
      </c>
      <c r="I474" s="17">
        <v>21.565000000000001</v>
      </c>
      <c r="J474" s="9">
        <v>452.86500000000001</v>
      </c>
      <c r="K474" s="21">
        <v>43498</v>
      </c>
      <c r="L474" s="3">
        <v>0.77152777777777781</v>
      </c>
      <c r="M474" s="7" t="s">
        <v>27</v>
      </c>
      <c r="N474" s="19">
        <v>431.3</v>
      </c>
      <c r="O474" s="15">
        <v>4.7619047620000003</v>
      </c>
      <c r="P474" s="9">
        <v>21.565000000000001</v>
      </c>
      <c r="Q474" s="11">
        <v>5.5</v>
      </c>
    </row>
    <row r="475" spans="1:17" x14ac:dyDescent="0.25">
      <c r="A475" s="5" t="s">
        <v>503</v>
      </c>
      <c r="B475" s="7" t="s">
        <v>36</v>
      </c>
      <c r="C475" s="7" t="s">
        <v>37</v>
      </c>
      <c r="D475" s="7" t="s">
        <v>15</v>
      </c>
      <c r="E475" s="7" t="s">
        <v>25</v>
      </c>
      <c r="F475" s="7" t="s">
        <v>17</v>
      </c>
      <c r="G475" s="9">
        <v>72.569999999999993</v>
      </c>
      <c r="H475" s="13">
        <v>8</v>
      </c>
      <c r="I475" s="17">
        <v>29.027999999999999</v>
      </c>
      <c r="J475" s="9">
        <v>609.58799999999997</v>
      </c>
      <c r="K475" s="21">
        <v>43554</v>
      </c>
      <c r="L475" s="3">
        <v>0.74861111111111112</v>
      </c>
      <c r="M475" s="7" t="s">
        <v>23</v>
      </c>
      <c r="N475" s="19">
        <v>580.55999999999995</v>
      </c>
      <c r="O475" s="15">
        <v>4.7619047620000003</v>
      </c>
      <c r="P475" s="9">
        <v>29.027999999999999</v>
      </c>
      <c r="Q475" s="11">
        <v>4.5999999999999996</v>
      </c>
    </row>
    <row r="476" spans="1:17" x14ac:dyDescent="0.25">
      <c r="A476" s="5" t="s">
        <v>504</v>
      </c>
      <c r="B476" s="7" t="s">
        <v>13</v>
      </c>
      <c r="C476" s="7" t="s">
        <v>14</v>
      </c>
      <c r="D476" s="7" t="s">
        <v>15</v>
      </c>
      <c r="E476" s="7" t="s">
        <v>16</v>
      </c>
      <c r="F476" s="7" t="s">
        <v>22</v>
      </c>
      <c r="G476" s="9">
        <v>64.44</v>
      </c>
      <c r="H476" s="13">
        <v>5</v>
      </c>
      <c r="I476" s="17">
        <v>16.11</v>
      </c>
      <c r="J476" s="9">
        <v>338.31</v>
      </c>
      <c r="K476" s="21">
        <v>43554</v>
      </c>
      <c r="L476" s="3">
        <v>0.71111111111111114</v>
      </c>
      <c r="M476" s="7" t="s">
        <v>23</v>
      </c>
      <c r="N476" s="19">
        <v>322.2</v>
      </c>
      <c r="O476" s="15">
        <v>4.7619047620000003</v>
      </c>
      <c r="P476" s="9">
        <v>16.11</v>
      </c>
      <c r="Q476" s="11">
        <v>6.6</v>
      </c>
    </row>
    <row r="477" spans="1:17" x14ac:dyDescent="0.25">
      <c r="A477" s="5" t="s">
        <v>505</v>
      </c>
      <c r="B477" s="7" t="s">
        <v>13</v>
      </c>
      <c r="C477" s="7" t="s">
        <v>14</v>
      </c>
      <c r="D477" s="7" t="s">
        <v>21</v>
      </c>
      <c r="E477" s="7" t="s">
        <v>25</v>
      </c>
      <c r="F477" s="7" t="s">
        <v>17</v>
      </c>
      <c r="G477" s="9">
        <v>65.180000000000007</v>
      </c>
      <c r="H477" s="13">
        <v>3</v>
      </c>
      <c r="I477" s="17">
        <v>9.7769999999999992</v>
      </c>
      <c r="J477" s="9">
        <v>205.31700000000001</v>
      </c>
      <c r="K477" s="21">
        <v>43521</v>
      </c>
      <c r="L477" s="3">
        <v>0.85763888888888884</v>
      </c>
      <c r="M477" s="7" t="s">
        <v>27</v>
      </c>
      <c r="N477" s="19">
        <v>195.54</v>
      </c>
      <c r="O477" s="15">
        <v>4.7619047620000003</v>
      </c>
      <c r="P477" s="9">
        <v>9.7769999999999992</v>
      </c>
      <c r="Q477" s="11">
        <v>6.3</v>
      </c>
    </row>
    <row r="478" spans="1:17" x14ac:dyDescent="0.25">
      <c r="A478" s="5" t="s">
        <v>506</v>
      </c>
      <c r="B478" s="7" t="s">
        <v>13</v>
      </c>
      <c r="C478" s="7" t="s">
        <v>14</v>
      </c>
      <c r="D478" s="7" t="s">
        <v>21</v>
      </c>
      <c r="E478" s="7" t="s">
        <v>16</v>
      </c>
      <c r="F478" s="7" t="s">
        <v>30</v>
      </c>
      <c r="G478" s="9">
        <v>33.26</v>
      </c>
      <c r="H478" s="13">
        <v>5</v>
      </c>
      <c r="I478" s="17">
        <v>8.3149999999999995</v>
      </c>
      <c r="J478" s="9">
        <v>174.61500000000001</v>
      </c>
      <c r="K478" s="21">
        <v>43542</v>
      </c>
      <c r="L478" s="3">
        <v>0.67361111111111116</v>
      </c>
      <c r="M478" s="7" t="s">
        <v>27</v>
      </c>
      <c r="N478" s="19">
        <v>166.3</v>
      </c>
      <c r="O478" s="15">
        <v>4.7619047620000003</v>
      </c>
      <c r="P478" s="9">
        <v>8.3149999999999995</v>
      </c>
      <c r="Q478" s="11">
        <v>4.2</v>
      </c>
    </row>
    <row r="479" spans="1:17" x14ac:dyDescent="0.25">
      <c r="A479" s="5" t="s">
        <v>507</v>
      </c>
      <c r="B479" s="7" t="s">
        <v>20</v>
      </c>
      <c r="C479" s="7" t="s">
        <v>1034</v>
      </c>
      <c r="D479" s="7" t="s">
        <v>21</v>
      </c>
      <c r="E479" s="7" t="s">
        <v>25</v>
      </c>
      <c r="F479" s="7" t="s">
        <v>22</v>
      </c>
      <c r="G479" s="9">
        <v>84.07</v>
      </c>
      <c r="H479" s="13">
        <v>4</v>
      </c>
      <c r="I479" s="17">
        <v>16.814</v>
      </c>
      <c r="J479" s="9">
        <v>353.09399999999999</v>
      </c>
      <c r="K479" s="21">
        <v>43531</v>
      </c>
      <c r="L479" s="3">
        <v>0.70416666666666672</v>
      </c>
      <c r="M479" s="7" t="s">
        <v>18</v>
      </c>
      <c r="N479" s="19">
        <v>336.28</v>
      </c>
      <c r="O479" s="15">
        <v>4.7619047620000003</v>
      </c>
      <c r="P479" s="9">
        <v>16.814</v>
      </c>
      <c r="Q479" s="11">
        <v>4.4000000000000004</v>
      </c>
    </row>
    <row r="480" spans="1:17" x14ac:dyDescent="0.25">
      <c r="A480" s="5" t="s">
        <v>508</v>
      </c>
      <c r="B480" s="7" t="s">
        <v>36</v>
      </c>
      <c r="C480" s="7" t="s">
        <v>37</v>
      </c>
      <c r="D480" s="7" t="s">
        <v>21</v>
      </c>
      <c r="E480" s="7" t="s">
        <v>25</v>
      </c>
      <c r="F480" s="7" t="s">
        <v>30</v>
      </c>
      <c r="G480" s="9">
        <v>34.369999999999997</v>
      </c>
      <c r="H480" s="13">
        <v>10</v>
      </c>
      <c r="I480" s="17">
        <v>17.184999999999999</v>
      </c>
      <c r="J480" s="9">
        <v>360.88499999999999</v>
      </c>
      <c r="K480" s="21">
        <v>43540</v>
      </c>
      <c r="L480" s="3">
        <v>0.42430555555555555</v>
      </c>
      <c r="M480" s="7" t="s">
        <v>18</v>
      </c>
      <c r="N480" s="19">
        <v>343.7</v>
      </c>
      <c r="O480" s="15">
        <v>4.7619047620000003</v>
      </c>
      <c r="P480" s="9">
        <v>17.184999999999999</v>
      </c>
      <c r="Q480" s="11">
        <v>6.7</v>
      </c>
    </row>
    <row r="481" spans="1:17" x14ac:dyDescent="0.25">
      <c r="A481" s="5" t="s">
        <v>509</v>
      </c>
      <c r="B481" s="7" t="s">
        <v>13</v>
      </c>
      <c r="C481" s="7" t="s">
        <v>14</v>
      </c>
      <c r="D481" s="7" t="s">
        <v>21</v>
      </c>
      <c r="E481" s="7" t="s">
        <v>25</v>
      </c>
      <c r="F481" s="7" t="s">
        <v>22</v>
      </c>
      <c r="G481" s="9">
        <v>38.6</v>
      </c>
      <c r="H481" s="13">
        <v>1</v>
      </c>
      <c r="I481" s="17">
        <v>1.93</v>
      </c>
      <c r="J481" s="9">
        <v>40.53</v>
      </c>
      <c r="K481" s="21">
        <v>43494</v>
      </c>
      <c r="L481" s="3">
        <v>0.47638888888888886</v>
      </c>
      <c r="M481" s="7" t="s">
        <v>18</v>
      </c>
      <c r="N481" s="19">
        <v>38.6</v>
      </c>
      <c r="O481" s="15">
        <v>4.7619047620000003</v>
      </c>
      <c r="P481" s="9">
        <v>1.93</v>
      </c>
      <c r="Q481" s="11">
        <v>6.7</v>
      </c>
    </row>
    <row r="482" spans="1:17" x14ac:dyDescent="0.25">
      <c r="A482" s="5" t="s">
        <v>510</v>
      </c>
      <c r="B482" s="7" t="s">
        <v>20</v>
      </c>
      <c r="C482" s="7" t="s">
        <v>1034</v>
      </c>
      <c r="D482" s="7" t="s">
        <v>21</v>
      </c>
      <c r="E482" s="7" t="s">
        <v>25</v>
      </c>
      <c r="F482" s="7" t="s">
        <v>38</v>
      </c>
      <c r="G482" s="9">
        <v>65.97</v>
      </c>
      <c r="H482" s="13">
        <v>8</v>
      </c>
      <c r="I482" s="17">
        <v>26.388000000000002</v>
      </c>
      <c r="J482" s="9">
        <v>554.14800000000002</v>
      </c>
      <c r="K482" s="21">
        <v>43498</v>
      </c>
      <c r="L482" s="3">
        <v>0.85347222222222219</v>
      </c>
      <c r="M482" s="7" t="s">
        <v>23</v>
      </c>
      <c r="N482" s="19">
        <v>527.76</v>
      </c>
      <c r="O482" s="15">
        <v>4.7619047620000003</v>
      </c>
      <c r="P482" s="9">
        <v>26.388000000000002</v>
      </c>
      <c r="Q482" s="11">
        <v>8.4</v>
      </c>
    </row>
    <row r="483" spans="1:17" x14ac:dyDescent="0.25">
      <c r="A483" s="5" t="s">
        <v>511</v>
      </c>
      <c r="B483" s="7" t="s">
        <v>20</v>
      </c>
      <c r="C483" s="7" t="s">
        <v>1034</v>
      </c>
      <c r="D483" s="7" t="s">
        <v>21</v>
      </c>
      <c r="E483" s="7" t="s">
        <v>16</v>
      </c>
      <c r="F483" s="7" t="s">
        <v>22</v>
      </c>
      <c r="G483" s="9">
        <v>32.799999999999997</v>
      </c>
      <c r="H483" s="13">
        <v>10</v>
      </c>
      <c r="I483" s="17">
        <v>16.399999999999999</v>
      </c>
      <c r="J483" s="9">
        <v>344.4</v>
      </c>
      <c r="K483" s="21">
        <v>43511</v>
      </c>
      <c r="L483" s="3">
        <v>0.5083333333333333</v>
      </c>
      <c r="M483" s="7" t="s">
        <v>23</v>
      </c>
      <c r="N483" s="19">
        <v>328</v>
      </c>
      <c r="O483" s="15">
        <v>4.7619047620000003</v>
      </c>
      <c r="P483" s="9">
        <v>16.399999999999999</v>
      </c>
      <c r="Q483" s="11">
        <v>6.2</v>
      </c>
    </row>
    <row r="484" spans="1:17" x14ac:dyDescent="0.25">
      <c r="A484" s="5" t="s">
        <v>512</v>
      </c>
      <c r="B484" s="7" t="s">
        <v>13</v>
      </c>
      <c r="C484" s="7" t="s">
        <v>14</v>
      </c>
      <c r="D484" s="7" t="s">
        <v>21</v>
      </c>
      <c r="E484" s="7" t="s">
        <v>25</v>
      </c>
      <c r="F484" s="7" t="s">
        <v>30</v>
      </c>
      <c r="G484" s="9">
        <v>37.14</v>
      </c>
      <c r="H484" s="13">
        <v>5</v>
      </c>
      <c r="I484" s="17">
        <v>9.2850000000000001</v>
      </c>
      <c r="J484" s="9">
        <v>194.98500000000001</v>
      </c>
      <c r="K484" s="21">
        <v>43473</v>
      </c>
      <c r="L484" s="3">
        <v>0.54513888888888884</v>
      </c>
      <c r="M484" s="7" t="s">
        <v>18</v>
      </c>
      <c r="N484" s="19">
        <v>185.7</v>
      </c>
      <c r="O484" s="15">
        <v>4.7619047620000003</v>
      </c>
      <c r="P484" s="9">
        <v>9.2850000000000001</v>
      </c>
      <c r="Q484" s="11">
        <v>5</v>
      </c>
    </row>
    <row r="485" spans="1:17" x14ac:dyDescent="0.25">
      <c r="A485" s="5" t="s">
        <v>513</v>
      </c>
      <c r="B485" s="7" t="s">
        <v>36</v>
      </c>
      <c r="C485" s="7" t="s">
        <v>37</v>
      </c>
      <c r="D485" s="7" t="s">
        <v>15</v>
      </c>
      <c r="E485" s="7" t="s">
        <v>25</v>
      </c>
      <c r="F485" s="7" t="s">
        <v>26</v>
      </c>
      <c r="G485" s="9">
        <v>60.38</v>
      </c>
      <c r="H485" s="13">
        <v>10</v>
      </c>
      <c r="I485" s="17">
        <v>30.19</v>
      </c>
      <c r="J485" s="9">
        <v>633.99</v>
      </c>
      <c r="K485" s="21">
        <v>43508</v>
      </c>
      <c r="L485" s="3">
        <v>0.67986111111111114</v>
      </c>
      <c r="M485" s="7" t="s">
        <v>23</v>
      </c>
      <c r="N485" s="19">
        <v>603.79999999999995</v>
      </c>
      <c r="O485" s="15">
        <v>4.7619047620000003</v>
      </c>
      <c r="P485" s="9">
        <v>30.19</v>
      </c>
      <c r="Q485" s="11">
        <v>6</v>
      </c>
    </row>
    <row r="486" spans="1:17" x14ac:dyDescent="0.25">
      <c r="A486" s="5" t="s">
        <v>514</v>
      </c>
      <c r="B486" s="7" t="s">
        <v>20</v>
      </c>
      <c r="C486" s="7" t="s">
        <v>1034</v>
      </c>
      <c r="D486" s="7" t="s">
        <v>15</v>
      </c>
      <c r="E486" s="7" t="s">
        <v>16</v>
      </c>
      <c r="F486" s="7" t="s">
        <v>30</v>
      </c>
      <c r="G486" s="9">
        <v>36.979999999999997</v>
      </c>
      <c r="H486" s="13">
        <v>10</v>
      </c>
      <c r="I486" s="17">
        <v>18.489999999999998</v>
      </c>
      <c r="J486" s="9">
        <v>388.29</v>
      </c>
      <c r="K486" s="21">
        <v>43466</v>
      </c>
      <c r="L486" s="3">
        <v>0.82499999999999996</v>
      </c>
      <c r="M486" s="7" t="s">
        <v>27</v>
      </c>
      <c r="N486" s="19">
        <v>369.8</v>
      </c>
      <c r="O486" s="15">
        <v>4.7619047620000003</v>
      </c>
      <c r="P486" s="9">
        <v>18.489999999999998</v>
      </c>
      <c r="Q486" s="11">
        <v>7</v>
      </c>
    </row>
    <row r="487" spans="1:17" x14ac:dyDescent="0.25">
      <c r="A487" s="5" t="s">
        <v>515</v>
      </c>
      <c r="B487" s="7" t="s">
        <v>36</v>
      </c>
      <c r="C487" s="7" t="s">
        <v>37</v>
      </c>
      <c r="D487" s="7" t="s">
        <v>15</v>
      </c>
      <c r="E487" s="7" t="s">
        <v>16</v>
      </c>
      <c r="F487" s="7" t="s">
        <v>30</v>
      </c>
      <c r="G487" s="9">
        <v>49.49</v>
      </c>
      <c r="H487" s="13">
        <v>4</v>
      </c>
      <c r="I487" s="17">
        <v>9.8979999999999997</v>
      </c>
      <c r="J487" s="9">
        <v>207.858</v>
      </c>
      <c r="K487" s="21">
        <v>43545</v>
      </c>
      <c r="L487" s="3">
        <v>0.64236111111111116</v>
      </c>
      <c r="M487" s="7" t="s">
        <v>18</v>
      </c>
      <c r="N487" s="19">
        <v>197.96</v>
      </c>
      <c r="O487" s="15">
        <v>4.7619047620000003</v>
      </c>
      <c r="P487" s="9">
        <v>9.8979999999999997</v>
      </c>
      <c r="Q487" s="11">
        <v>6.6</v>
      </c>
    </row>
    <row r="488" spans="1:17" x14ac:dyDescent="0.25">
      <c r="A488" s="5" t="s">
        <v>516</v>
      </c>
      <c r="B488" s="7" t="s">
        <v>36</v>
      </c>
      <c r="C488" s="7" t="s">
        <v>37</v>
      </c>
      <c r="D488" s="7" t="s">
        <v>21</v>
      </c>
      <c r="E488" s="7" t="s">
        <v>16</v>
      </c>
      <c r="F488" s="7" t="s">
        <v>40</v>
      </c>
      <c r="G488" s="9">
        <v>41.09</v>
      </c>
      <c r="H488" s="13">
        <v>10</v>
      </c>
      <c r="I488" s="17">
        <v>20.545000000000002</v>
      </c>
      <c r="J488" s="9">
        <v>431.44499999999999</v>
      </c>
      <c r="K488" s="21">
        <v>43524</v>
      </c>
      <c r="L488" s="3">
        <v>0.61250000000000004</v>
      </c>
      <c r="M488" s="7" t="s">
        <v>23</v>
      </c>
      <c r="N488" s="19">
        <v>410.9</v>
      </c>
      <c r="O488" s="15">
        <v>4.7619047620000003</v>
      </c>
      <c r="P488" s="9">
        <v>20.545000000000002</v>
      </c>
      <c r="Q488" s="11">
        <v>7.3</v>
      </c>
    </row>
    <row r="489" spans="1:17" x14ac:dyDescent="0.25">
      <c r="A489" s="5" t="s">
        <v>517</v>
      </c>
      <c r="B489" s="7" t="s">
        <v>13</v>
      </c>
      <c r="C489" s="7" t="s">
        <v>14</v>
      </c>
      <c r="D489" s="7" t="s">
        <v>21</v>
      </c>
      <c r="E489" s="7" t="s">
        <v>25</v>
      </c>
      <c r="F489" s="7" t="s">
        <v>40</v>
      </c>
      <c r="G489" s="9">
        <v>37.15</v>
      </c>
      <c r="H489" s="13">
        <v>4</v>
      </c>
      <c r="I489" s="17">
        <v>7.43</v>
      </c>
      <c r="J489" s="9">
        <v>156.03</v>
      </c>
      <c r="K489" s="21">
        <v>43547</v>
      </c>
      <c r="L489" s="3">
        <v>0.79097222222222219</v>
      </c>
      <c r="M489" s="7" t="s">
        <v>18</v>
      </c>
      <c r="N489" s="19">
        <v>148.6</v>
      </c>
      <c r="O489" s="15">
        <v>4.7619047620000003</v>
      </c>
      <c r="P489" s="9">
        <v>7.43</v>
      </c>
      <c r="Q489" s="11">
        <v>8.3000000000000007</v>
      </c>
    </row>
    <row r="490" spans="1:17" x14ac:dyDescent="0.25">
      <c r="A490" s="5" t="s">
        <v>518</v>
      </c>
      <c r="B490" s="7" t="s">
        <v>20</v>
      </c>
      <c r="C490" s="7" t="s">
        <v>1034</v>
      </c>
      <c r="D490" s="7" t="s">
        <v>21</v>
      </c>
      <c r="E490" s="7" t="s">
        <v>25</v>
      </c>
      <c r="F490" s="7" t="s">
        <v>26</v>
      </c>
      <c r="G490" s="9">
        <v>22.96</v>
      </c>
      <c r="H490" s="13">
        <v>1</v>
      </c>
      <c r="I490" s="17">
        <v>1.1479999999999999</v>
      </c>
      <c r="J490" s="9">
        <v>24.108000000000001</v>
      </c>
      <c r="K490" s="21">
        <v>43495</v>
      </c>
      <c r="L490" s="3">
        <v>0.86597222222222225</v>
      </c>
      <c r="M490" s="7" t="s">
        <v>23</v>
      </c>
      <c r="N490" s="19">
        <v>22.96</v>
      </c>
      <c r="O490" s="15">
        <v>4.7619047620000003</v>
      </c>
      <c r="P490" s="9">
        <v>1.1479999999999999</v>
      </c>
      <c r="Q490" s="11">
        <v>4.3</v>
      </c>
    </row>
    <row r="491" spans="1:17" x14ac:dyDescent="0.25">
      <c r="A491" s="5" t="s">
        <v>519</v>
      </c>
      <c r="B491" s="7" t="s">
        <v>36</v>
      </c>
      <c r="C491" s="7" t="s">
        <v>37</v>
      </c>
      <c r="D491" s="7" t="s">
        <v>15</v>
      </c>
      <c r="E491" s="7" t="s">
        <v>16</v>
      </c>
      <c r="F491" s="7" t="s">
        <v>26</v>
      </c>
      <c r="G491" s="9">
        <v>77.680000000000007</v>
      </c>
      <c r="H491" s="13">
        <v>9</v>
      </c>
      <c r="I491" s="17">
        <v>34.956000000000003</v>
      </c>
      <c r="J491" s="9">
        <v>734.07600000000002</v>
      </c>
      <c r="K491" s="21">
        <v>43500</v>
      </c>
      <c r="L491" s="3">
        <v>0.55625000000000002</v>
      </c>
      <c r="M491" s="7" t="s">
        <v>18</v>
      </c>
      <c r="N491" s="19">
        <v>699.12</v>
      </c>
      <c r="O491" s="15">
        <v>4.7619047620000003</v>
      </c>
      <c r="P491" s="9">
        <v>34.956000000000003</v>
      </c>
      <c r="Q491" s="11">
        <v>9.8000000000000007</v>
      </c>
    </row>
    <row r="492" spans="1:17" x14ac:dyDescent="0.25">
      <c r="A492" s="5" t="s">
        <v>520</v>
      </c>
      <c r="B492" s="7" t="s">
        <v>36</v>
      </c>
      <c r="C492" s="7" t="s">
        <v>37</v>
      </c>
      <c r="D492" s="7" t="s">
        <v>21</v>
      </c>
      <c r="E492" s="7" t="s">
        <v>16</v>
      </c>
      <c r="F492" s="7" t="s">
        <v>40</v>
      </c>
      <c r="G492" s="9">
        <v>34.700000000000003</v>
      </c>
      <c r="H492" s="13">
        <v>2</v>
      </c>
      <c r="I492" s="17">
        <v>3.47</v>
      </c>
      <c r="J492" s="9">
        <v>72.87</v>
      </c>
      <c r="K492" s="21">
        <v>43537</v>
      </c>
      <c r="L492" s="3">
        <v>0.82499999999999996</v>
      </c>
      <c r="M492" s="7" t="s">
        <v>18</v>
      </c>
      <c r="N492" s="19">
        <v>69.400000000000006</v>
      </c>
      <c r="O492" s="15">
        <v>4.7619047620000003</v>
      </c>
      <c r="P492" s="9">
        <v>3.47</v>
      </c>
      <c r="Q492" s="11">
        <v>8.1999999999999993</v>
      </c>
    </row>
    <row r="493" spans="1:17" x14ac:dyDescent="0.25">
      <c r="A493" s="5" t="s">
        <v>521</v>
      </c>
      <c r="B493" s="7" t="s">
        <v>13</v>
      </c>
      <c r="C493" s="7" t="s">
        <v>14</v>
      </c>
      <c r="D493" s="7" t="s">
        <v>15</v>
      </c>
      <c r="E493" s="7" t="s">
        <v>16</v>
      </c>
      <c r="F493" s="7" t="s">
        <v>40</v>
      </c>
      <c r="G493" s="9">
        <v>19.66</v>
      </c>
      <c r="H493" s="13">
        <v>10</v>
      </c>
      <c r="I493" s="17">
        <v>9.83</v>
      </c>
      <c r="J493" s="9">
        <v>206.43</v>
      </c>
      <c r="K493" s="21">
        <v>43539</v>
      </c>
      <c r="L493" s="3">
        <v>0.76388888888888884</v>
      </c>
      <c r="M493" s="7" t="s">
        <v>27</v>
      </c>
      <c r="N493" s="19">
        <v>196.6</v>
      </c>
      <c r="O493" s="15">
        <v>4.7619047620000003</v>
      </c>
      <c r="P493" s="9">
        <v>9.83</v>
      </c>
      <c r="Q493" s="11">
        <v>7.2</v>
      </c>
    </row>
    <row r="494" spans="1:17" x14ac:dyDescent="0.25">
      <c r="A494" s="5" t="s">
        <v>522</v>
      </c>
      <c r="B494" s="7" t="s">
        <v>36</v>
      </c>
      <c r="C494" s="7" t="s">
        <v>37</v>
      </c>
      <c r="D494" s="7" t="s">
        <v>15</v>
      </c>
      <c r="E494" s="7" t="s">
        <v>16</v>
      </c>
      <c r="F494" s="7" t="s">
        <v>17</v>
      </c>
      <c r="G494" s="9">
        <v>25.32</v>
      </c>
      <c r="H494" s="13">
        <v>8</v>
      </c>
      <c r="I494" s="17">
        <v>10.128</v>
      </c>
      <c r="J494" s="9">
        <v>212.68799999999999</v>
      </c>
      <c r="K494" s="21">
        <v>43529</v>
      </c>
      <c r="L494" s="3">
        <v>0.85</v>
      </c>
      <c r="M494" s="7" t="s">
        <v>18</v>
      </c>
      <c r="N494" s="19">
        <v>202.56</v>
      </c>
      <c r="O494" s="15">
        <v>4.7619047620000003</v>
      </c>
      <c r="P494" s="9">
        <v>10.128</v>
      </c>
      <c r="Q494" s="11">
        <v>8.6999999999999993</v>
      </c>
    </row>
    <row r="495" spans="1:17" x14ac:dyDescent="0.25">
      <c r="A495" s="5" t="s">
        <v>523</v>
      </c>
      <c r="B495" s="7" t="s">
        <v>20</v>
      </c>
      <c r="C495" s="7" t="s">
        <v>1034</v>
      </c>
      <c r="D495" s="7" t="s">
        <v>15</v>
      </c>
      <c r="E495" s="7" t="s">
        <v>16</v>
      </c>
      <c r="F495" s="7" t="s">
        <v>26</v>
      </c>
      <c r="G495" s="9">
        <v>12.12</v>
      </c>
      <c r="H495" s="13">
        <v>10</v>
      </c>
      <c r="I495" s="17">
        <v>6.06</v>
      </c>
      <c r="J495" s="9">
        <v>127.26</v>
      </c>
      <c r="K495" s="21">
        <v>43529</v>
      </c>
      <c r="L495" s="3">
        <v>0.57222222222222219</v>
      </c>
      <c r="M495" s="7" t="s">
        <v>27</v>
      </c>
      <c r="N495" s="19">
        <v>121.2</v>
      </c>
      <c r="O495" s="15">
        <v>4.7619047620000003</v>
      </c>
      <c r="P495" s="9">
        <v>6.06</v>
      </c>
      <c r="Q495" s="11">
        <v>8.4</v>
      </c>
    </row>
    <row r="496" spans="1:17" x14ac:dyDescent="0.25">
      <c r="A496" s="5" t="s">
        <v>524</v>
      </c>
      <c r="B496" s="7" t="s">
        <v>36</v>
      </c>
      <c r="C496" s="7" t="s">
        <v>37</v>
      </c>
      <c r="D496" s="7" t="s">
        <v>21</v>
      </c>
      <c r="E496" s="7" t="s">
        <v>25</v>
      </c>
      <c r="F496" s="7" t="s">
        <v>40</v>
      </c>
      <c r="G496" s="9">
        <v>99.89</v>
      </c>
      <c r="H496" s="13">
        <v>2</v>
      </c>
      <c r="I496" s="17">
        <v>9.9890000000000008</v>
      </c>
      <c r="J496" s="9">
        <v>209.76900000000001</v>
      </c>
      <c r="K496" s="21">
        <v>43522</v>
      </c>
      <c r="L496" s="3">
        <v>0.49166666666666664</v>
      </c>
      <c r="M496" s="7" t="s">
        <v>18</v>
      </c>
      <c r="N496" s="19">
        <v>199.78</v>
      </c>
      <c r="O496" s="15">
        <v>4.7619047620000003</v>
      </c>
      <c r="P496" s="9">
        <v>9.9890000000000008</v>
      </c>
      <c r="Q496" s="11">
        <v>7.1</v>
      </c>
    </row>
    <row r="497" spans="1:17" x14ac:dyDescent="0.25">
      <c r="A497" s="5" t="s">
        <v>525</v>
      </c>
      <c r="B497" s="7" t="s">
        <v>36</v>
      </c>
      <c r="C497" s="7" t="s">
        <v>37</v>
      </c>
      <c r="D497" s="7" t="s">
        <v>21</v>
      </c>
      <c r="E497" s="7" t="s">
        <v>25</v>
      </c>
      <c r="F497" s="7" t="s">
        <v>30</v>
      </c>
      <c r="G497" s="9">
        <v>75.92</v>
      </c>
      <c r="H497" s="13">
        <v>8</v>
      </c>
      <c r="I497" s="17">
        <v>30.367999999999999</v>
      </c>
      <c r="J497" s="9">
        <v>637.72799999999995</v>
      </c>
      <c r="K497" s="21">
        <v>43544</v>
      </c>
      <c r="L497" s="3">
        <v>0.59305555555555556</v>
      </c>
      <c r="M497" s="7" t="s">
        <v>23</v>
      </c>
      <c r="N497" s="19">
        <v>607.36</v>
      </c>
      <c r="O497" s="15">
        <v>4.7619047620000003</v>
      </c>
      <c r="P497" s="9">
        <v>30.367999999999999</v>
      </c>
      <c r="Q497" s="11">
        <v>5.5</v>
      </c>
    </row>
    <row r="498" spans="1:17" x14ac:dyDescent="0.25">
      <c r="A498" s="5" t="s">
        <v>526</v>
      </c>
      <c r="B498" s="7" t="s">
        <v>20</v>
      </c>
      <c r="C498" s="7" t="s">
        <v>1034</v>
      </c>
      <c r="D498" s="7" t="s">
        <v>21</v>
      </c>
      <c r="E498" s="7" t="s">
        <v>16</v>
      </c>
      <c r="F498" s="7" t="s">
        <v>22</v>
      </c>
      <c r="G498" s="9">
        <v>63.22</v>
      </c>
      <c r="H498" s="13">
        <v>2</v>
      </c>
      <c r="I498" s="17">
        <v>6.3220000000000001</v>
      </c>
      <c r="J498" s="9">
        <v>132.762</v>
      </c>
      <c r="K498" s="21">
        <v>43466</v>
      </c>
      <c r="L498" s="3">
        <v>0.66041666666666665</v>
      </c>
      <c r="M498" s="7" t="s">
        <v>23</v>
      </c>
      <c r="N498" s="19">
        <v>126.44</v>
      </c>
      <c r="O498" s="15">
        <v>4.7619047620000003</v>
      </c>
      <c r="P498" s="9">
        <v>6.3220000000000001</v>
      </c>
      <c r="Q498" s="11">
        <v>8.5</v>
      </c>
    </row>
    <row r="499" spans="1:17" x14ac:dyDescent="0.25">
      <c r="A499" s="5" t="s">
        <v>527</v>
      </c>
      <c r="B499" s="7" t="s">
        <v>20</v>
      </c>
      <c r="C499" s="7" t="s">
        <v>1034</v>
      </c>
      <c r="D499" s="7" t="s">
        <v>21</v>
      </c>
      <c r="E499" s="7" t="s">
        <v>16</v>
      </c>
      <c r="F499" s="7" t="s">
        <v>38</v>
      </c>
      <c r="G499" s="9">
        <v>90.24</v>
      </c>
      <c r="H499" s="13">
        <v>6</v>
      </c>
      <c r="I499" s="17">
        <v>27.071999999999999</v>
      </c>
      <c r="J499" s="9">
        <v>568.51199999999994</v>
      </c>
      <c r="K499" s="21">
        <v>43492</v>
      </c>
      <c r="L499" s="3">
        <v>0.47013888888888888</v>
      </c>
      <c r="M499" s="7" t="s">
        <v>23</v>
      </c>
      <c r="N499" s="19">
        <v>541.44000000000005</v>
      </c>
      <c r="O499" s="15">
        <v>4.7619047620000003</v>
      </c>
      <c r="P499" s="9">
        <v>27.071999999999999</v>
      </c>
      <c r="Q499" s="11">
        <v>6.2</v>
      </c>
    </row>
    <row r="500" spans="1:17" x14ac:dyDescent="0.25">
      <c r="A500" s="5" t="s">
        <v>528</v>
      </c>
      <c r="B500" s="7" t="s">
        <v>36</v>
      </c>
      <c r="C500" s="7" t="s">
        <v>37</v>
      </c>
      <c r="D500" s="7" t="s">
        <v>15</v>
      </c>
      <c r="E500" s="7" t="s">
        <v>16</v>
      </c>
      <c r="F500" s="7" t="s">
        <v>30</v>
      </c>
      <c r="G500" s="9">
        <v>98.13</v>
      </c>
      <c r="H500" s="13">
        <v>1</v>
      </c>
      <c r="I500" s="17">
        <v>4.9065000000000003</v>
      </c>
      <c r="J500" s="9">
        <v>103.0365</v>
      </c>
      <c r="K500" s="21">
        <v>43486</v>
      </c>
      <c r="L500" s="3">
        <v>0.73333333333333328</v>
      </c>
      <c r="M500" s="7" t="s">
        <v>23</v>
      </c>
      <c r="N500" s="19">
        <v>98.13</v>
      </c>
      <c r="O500" s="15">
        <v>4.7619047620000003</v>
      </c>
      <c r="P500" s="9">
        <v>4.9065000000000003</v>
      </c>
      <c r="Q500" s="11">
        <v>8.9</v>
      </c>
    </row>
    <row r="501" spans="1:17" x14ac:dyDescent="0.25">
      <c r="A501" s="5" t="s">
        <v>529</v>
      </c>
      <c r="B501" s="7" t="s">
        <v>13</v>
      </c>
      <c r="C501" s="7" t="s">
        <v>14</v>
      </c>
      <c r="D501" s="7" t="s">
        <v>15</v>
      </c>
      <c r="E501" s="7" t="s">
        <v>16</v>
      </c>
      <c r="F501" s="7" t="s">
        <v>30</v>
      </c>
      <c r="G501" s="9">
        <v>51.52</v>
      </c>
      <c r="H501" s="13">
        <v>8</v>
      </c>
      <c r="I501" s="17">
        <v>20.608000000000001</v>
      </c>
      <c r="J501" s="9">
        <v>432.76799999999997</v>
      </c>
      <c r="K501" s="21">
        <v>43498</v>
      </c>
      <c r="L501" s="3">
        <v>0.65763888888888888</v>
      </c>
      <c r="M501" s="7" t="s">
        <v>23</v>
      </c>
      <c r="N501" s="19">
        <v>412.16</v>
      </c>
      <c r="O501" s="15">
        <v>4.7619047620000003</v>
      </c>
      <c r="P501" s="9">
        <v>20.608000000000001</v>
      </c>
      <c r="Q501" s="11">
        <v>9.6</v>
      </c>
    </row>
    <row r="502" spans="1:17" x14ac:dyDescent="0.25">
      <c r="A502" s="5" t="s">
        <v>530</v>
      </c>
      <c r="B502" s="7" t="s">
        <v>36</v>
      </c>
      <c r="C502" s="7" t="s">
        <v>37</v>
      </c>
      <c r="D502" s="7" t="s">
        <v>15</v>
      </c>
      <c r="E502" s="7" t="s">
        <v>25</v>
      </c>
      <c r="F502" s="7" t="s">
        <v>30</v>
      </c>
      <c r="G502" s="9">
        <v>73.97</v>
      </c>
      <c r="H502" s="13">
        <v>1</v>
      </c>
      <c r="I502" s="17">
        <v>3.6985000000000001</v>
      </c>
      <c r="J502" s="9">
        <v>77.668499999999995</v>
      </c>
      <c r="K502" s="21">
        <v>43499</v>
      </c>
      <c r="L502" s="3">
        <v>0.66180555555555554</v>
      </c>
      <c r="M502" s="7" t="s">
        <v>27</v>
      </c>
      <c r="N502" s="19">
        <v>73.97</v>
      </c>
      <c r="O502" s="15">
        <v>4.7619047620000003</v>
      </c>
      <c r="P502" s="9">
        <v>3.6985000000000001</v>
      </c>
      <c r="Q502" s="11">
        <v>5.4</v>
      </c>
    </row>
    <row r="503" spans="1:17" x14ac:dyDescent="0.25">
      <c r="A503" s="5" t="s">
        <v>531</v>
      </c>
      <c r="B503" s="7" t="s">
        <v>20</v>
      </c>
      <c r="C503" s="7" t="s">
        <v>1034</v>
      </c>
      <c r="D503" s="7" t="s">
        <v>15</v>
      </c>
      <c r="E503" s="7" t="s">
        <v>16</v>
      </c>
      <c r="F503" s="7" t="s">
        <v>40</v>
      </c>
      <c r="G503" s="9">
        <v>31.9</v>
      </c>
      <c r="H503" s="13">
        <v>1</v>
      </c>
      <c r="I503" s="17">
        <v>1.595</v>
      </c>
      <c r="J503" s="9">
        <v>33.494999999999997</v>
      </c>
      <c r="K503" s="21">
        <v>43470</v>
      </c>
      <c r="L503" s="3">
        <v>0.52777777777777779</v>
      </c>
      <c r="M503" s="7" t="s">
        <v>18</v>
      </c>
      <c r="N503" s="19">
        <v>31.9</v>
      </c>
      <c r="O503" s="15">
        <v>4.7619047620000003</v>
      </c>
      <c r="P503" s="9">
        <v>1.595</v>
      </c>
      <c r="Q503" s="11">
        <v>9.1</v>
      </c>
    </row>
    <row r="504" spans="1:17" x14ac:dyDescent="0.25">
      <c r="A504" s="5" t="s">
        <v>532</v>
      </c>
      <c r="B504" s="7" t="s">
        <v>20</v>
      </c>
      <c r="C504" s="7" t="s">
        <v>1034</v>
      </c>
      <c r="D504" s="7" t="s">
        <v>21</v>
      </c>
      <c r="E504" s="7" t="s">
        <v>25</v>
      </c>
      <c r="F504" s="7" t="s">
        <v>26</v>
      </c>
      <c r="G504" s="9">
        <v>69.400000000000006</v>
      </c>
      <c r="H504" s="13">
        <v>2</v>
      </c>
      <c r="I504" s="17">
        <v>6.94</v>
      </c>
      <c r="J504" s="9">
        <v>145.74</v>
      </c>
      <c r="K504" s="21">
        <v>43492</v>
      </c>
      <c r="L504" s="3">
        <v>0.82499999999999996</v>
      </c>
      <c r="M504" s="7" t="s">
        <v>18</v>
      </c>
      <c r="N504" s="19">
        <v>138.80000000000001</v>
      </c>
      <c r="O504" s="15">
        <v>4.7619047620000003</v>
      </c>
      <c r="P504" s="9">
        <v>6.94</v>
      </c>
      <c r="Q504" s="11">
        <v>9</v>
      </c>
    </row>
    <row r="505" spans="1:17" x14ac:dyDescent="0.25">
      <c r="A505" s="5" t="s">
        <v>533</v>
      </c>
      <c r="B505" s="7" t="s">
        <v>36</v>
      </c>
      <c r="C505" s="7" t="s">
        <v>37</v>
      </c>
      <c r="D505" s="7" t="s">
        <v>21</v>
      </c>
      <c r="E505" s="7" t="s">
        <v>16</v>
      </c>
      <c r="F505" s="7" t="s">
        <v>30</v>
      </c>
      <c r="G505" s="9">
        <v>93.31</v>
      </c>
      <c r="H505" s="13">
        <v>2</v>
      </c>
      <c r="I505" s="17">
        <v>9.3309999999999995</v>
      </c>
      <c r="J505" s="9">
        <v>195.95099999999999</v>
      </c>
      <c r="K505" s="21">
        <v>43549</v>
      </c>
      <c r="L505" s="3">
        <v>0.74513888888888891</v>
      </c>
      <c r="M505" s="7" t="s">
        <v>23</v>
      </c>
      <c r="N505" s="19">
        <v>186.62</v>
      </c>
      <c r="O505" s="15">
        <v>4.7619047620000003</v>
      </c>
      <c r="P505" s="9">
        <v>9.3309999999999995</v>
      </c>
      <c r="Q505" s="11">
        <v>6.3</v>
      </c>
    </row>
    <row r="506" spans="1:17" x14ac:dyDescent="0.25">
      <c r="A506" s="5" t="s">
        <v>534</v>
      </c>
      <c r="B506" s="7" t="s">
        <v>36</v>
      </c>
      <c r="C506" s="7" t="s">
        <v>37</v>
      </c>
      <c r="D506" s="7" t="s">
        <v>21</v>
      </c>
      <c r="E506" s="7" t="s">
        <v>25</v>
      </c>
      <c r="F506" s="7" t="s">
        <v>30</v>
      </c>
      <c r="G506" s="9">
        <v>88.45</v>
      </c>
      <c r="H506" s="13">
        <v>1</v>
      </c>
      <c r="I506" s="17">
        <v>4.4225000000000003</v>
      </c>
      <c r="J506" s="9">
        <v>92.872500000000002</v>
      </c>
      <c r="K506" s="21">
        <v>43521</v>
      </c>
      <c r="L506" s="3">
        <v>0.69166666666666665</v>
      </c>
      <c r="M506" s="7" t="s">
        <v>27</v>
      </c>
      <c r="N506" s="19">
        <v>88.45</v>
      </c>
      <c r="O506" s="15">
        <v>4.7619047620000003</v>
      </c>
      <c r="P506" s="9">
        <v>4.4225000000000003</v>
      </c>
      <c r="Q506" s="11">
        <v>9.5</v>
      </c>
    </row>
    <row r="507" spans="1:17" x14ac:dyDescent="0.25">
      <c r="A507" s="5" t="s">
        <v>535</v>
      </c>
      <c r="B507" s="7" t="s">
        <v>13</v>
      </c>
      <c r="C507" s="7" t="s">
        <v>14</v>
      </c>
      <c r="D507" s="7" t="s">
        <v>15</v>
      </c>
      <c r="E507" s="7" t="s">
        <v>25</v>
      </c>
      <c r="F507" s="7" t="s">
        <v>22</v>
      </c>
      <c r="G507" s="9">
        <v>24.18</v>
      </c>
      <c r="H507" s="13">
        <v>8</v>
      </c>
      <c r="I507" s="17">
        <v>9.6720000000000006</v>
      </c>
      <c r="J507" s="9">
        <v>203.11199999999999</v>
      </c>
      <c r="K507" s="21">
        <v>43493</v>
      </c>
      <c r="L507" s="3">
        <v>0.87083333333333335</v>
      </c>
      <c r="M507" s="7" t="s">
        <v>18</v>
      </c>
      <c r="N507" s="19">
        <v>193.44</v>
      </c>
      <c r="O507" s="15">
        <v>4.7619047620000003</v>
      </c>
      <c r="P507" s="9">
        <v>9.6720000000000006</v>
      </c>
      <c r="Q507" s="11">
        <v>9.8000000000000007</v>
      </c>
    </row>
    <row r="508" spans="1:17" x14ac:dyDescent="0.25">
      <c r="A508" s="5" t="s">
        <v>536</v>
      </c>
      <c r="B508" s="7" t="s">
        <v>36</v>
      </c>
      <c r="C508" s="7" t="s">
        <v>37</v>
      </c>
      <c r="D508" s="7" t="s">
        <v>15</v>
      </c>
      <c r="E508" s="7" t="s">
        <v>16</v>
      </c>
      <c r="F508" s="7" t="s">
        <v>30</v>
      </c>
      <c r="G508" s="9">
        <v>48.5</v>
      </c>
      <c r="H508" s="13">
        <v>3</v>
      </c>
      <c r="I508" s="17">
        <v>7.2750000000000004</v>
      </c>
      <c r="J508" s="9">
        <v>152.77500000000001</v>
      </c>
      <c r="K508" s="21">
        <v>43473</v>
      </c>
      <c r="L508" s="3">
        <v>0.53472222222222221</v>
      </c>
      <c r="M508" s="7" t="s">
        <v>23</v>
      </c>
      <c r="N508" s="19">
        <v>145.5</v>
      </c>
      <c r="O508" s="15">
        <v>4.7619047620000003</v>
      </c>
      <c r="P508" s="9">
        <v>7.2750000000000004</v>
      </c>
      <c r="Q508" s="11">
        <v>6.7</v>
      </c>
    </row>
    <row r="509" spans="1:17" x14ac:dyDescent="0.25">
      <c r="A509" s="5" t="s">
        <v>537</v>
      </c>
      <c r="B509" s="7" t="s">
        <v>36</v>
      </c>
      <c r="C509" s="7" t="s">
        <v>37</v>
      </c>
      <c r="D509" s="7" t="s">
        <v>21</v>
      </c>
      <c r="E509" s="7" t="s">
        <v>16</v>
      </c>
      <c r="F509" s="7" t="s">
        <v>38</v>
      </c>
      <c r="G509" s="9">
        <v>84.05</v>
      </c>
      <c r="H509" s="13">
        <v>6</v>
      </c>
      <c r="I509" s="17">
        <v>25.215</v>
      </c>
      <c r="J509" s="9">
        <v>529.51499999999999</v>
      </c>
      <c r="K509" s="21">
        <v>43494</v>
      </c>
      <c r="L509" s="3">
        <v>0.45</v>
      </c>
      <c r="M509" s="7" t="s">
        <v>27</v>
      </c>
      <c r="N509" s="19">
        <v>504.3</v>
      </c>
      <c r="O509" s="15">
        <v>4.7619047620000003</v>
      </c>
      <c r="P509" s="9">
        <v>25.215</v>
      </c>
      <c r="Q509" s="11">
        <v>7.7</v>
      </c>
    </row>
    <row r="510" spans="1:17" x14ac:dyDescent="0.25">
      <c r="A510" s="5" t="s">
        <v>538</v>
      </c>
      <c r="B510" s="7" t="s">
        <v>36</v>
      </c>
      <c r="C510" s="7" t="s">
        <v>37</v>
      </c>
      <c r="D510" s="7" t="s">
        <v>15</v>
      </c>
      <c r="E510" s="7" t="s">
        <v>25</v>
      </c>
      <c r="F510" s="7" t="s">
        <v>17</v>
      </c>
      <c r="G510" s="9">
        <v>61.29</v>
      </c>
      <c r="H510" s="13">
        <v>5</v>
      </c>
      <c r="I510" s="17">
        <v>15.3225</v>
      </c>
      <c r="J510" s="9">
        <v>321.77249999999998</v>
      </c>
      <c r="K510" s="21">
        <v>43553</v>
      </c>
      <c r="L510" s="3">
        <v>0.60277777777777775</v>
      </c>
      <c r="M510" s="7" t="s">
        <v>23</v>
      </c>
      <c r="N510" s="19">
        <v>306.45</v>
      </c>
      <c r="O510" s="15">
        <v>4.7619047620000003</v>
      </c>
      <c r="P510" s="9">
        <v>15.3225</v>
      </c>
      <c r="Q510" s="11">
        <v>7</v>
      </c>
    </row>
    <row r="511" spans="1:17" x14ac:dyDescent="0.25">
      <c r="A511" s="5" t="s">
        <v>539</v>
      </c>
      <c r="B511" s="7" t="s">
        <v>20</v>
      </c>
      <c r="C511" s="7" t="s">
        <v>1034</v>
      </c>
      <c r="D511" s="7" t="s">
        <v>15</v>
      </c>
      <c r="E511" s="7" t="s">
        <v>16</v>
      </c>
      <c r="F511" s="7" t="s">
        <v>26</v>
      </c>
      <c r="G511" s="9">
        <v>15.95</v>
      </c>
      <c r="H511" s="13">
        <v>6</v>
      </c>
      <c r="I511" s="17">
        <v>4.7850000000000001</v>
      </c>
      <c r="J511" s="9">
        <v>100.485</v>
      </c>
      <c r="K511" s="21">
        <v>43505</v>
      </c>
      <c r="L511" s="3">
        <v>0.71875</v>
      </c>
      <c r="M511" s="7" t="s">
        <v>27</v>
      </c>
      <c r="N511" s="19">
        <v>95.7</v>
      </c>
      <c r="O511" s="15">
        <v>4.7619047620000003</v>
      </c>
      <c r="P511" s="9">
        <v>4.7850000000000001</v>
      </c>
      <c r="Q511" s="11">
        <v>5.0999999999999996</v>
      </c>
    </row>
    <row r="512" spans="1:17" x14ac:dyDescent="0.25">
      <c r="A512" s="5" t="s">
        <v>540</v>
      </c>
      <c r="B512" s="7" t="s">
        <v>36</v>
      </c>
      <c r="C512" s="7" t="s">
        <v>37</v>
      </c>
      <c r="D512" s="7" t="s">
        <v>15</v>
      </c>
      <c r="E512" s="7" t="s">
        <v>16</v>
      </c>
      <c r="F512" s="7" t="s">
        <v>30</v>
      </c>
      <c r="G512" s="9">
        <v>90.74</v>
      </c>
      <c r="H512" s="13">
        <v>7</v>
      </c>
      <c r="I512" s="17">
        <v>31.759</v>
      </c>
      <c r="J512" s="9">
        <v>666.93899999999996</v>
      </c>
      <c r="K512" s="21">
        <v>43481</v>
      </c>
      <c r="L512" s="3">
        <v>0.75208333333333333</v>
      </c>
      <c r="M512" s="7" t="s">
        <v>27</v>
      </c>
      <c r="N512" s="19">
        <v>635.17999999999995</v>
      </c>
      <c r="O512" s="15">
        <v>4.7619047620000003</v>
      </c>
      <c r="P512" s="9">
        <v>31.759</v>
      </c>
      <c r="Q512" s="11">
        <v>6.2</v>
      </c>
    </row>
    <row r="513" spans="1:17" x14ac:dyDescent="0.25">
      <c r="A513" s="5" t="s">
        <v>541</v>
      </c>
      <c r="B513" s="7" t="s">
        <v>13</v>
      </c>
      <c r="C513" s="7" t="s">
        <v>14</v>
      </c>
      <c r="D513" s="7" t="s">
        <v>21</v>
      </c>
      <c r="E513" s="7" t="s">
        <v>16</v>
      </c>
      <c r="F513" s="7" t="s">
        <v>26</v>
      </c>
      <c r="G513" s="9">
        <v>42.91</v>
      </c>
      <c r="H513" s="13">
        <v>5</v>
      </c>
      <c r="I513" s="17">
        <v>10.727499999999999</v>
      </c>
      <c r="J513" s="9">
        <v>225.2775</v>
      </c>
      <c r="K513" s="21">
        <v>43470</v>
      </c>
      <c r="L513" s="3">
        <v>0.72847222222222219</v>
      </c>
      <c r="M513" s="7" t="s">
        <v>18</v>
      </c>
      <c r="N513" s="19">
        <v>214.55</v>
      </c>
      <c r="O513" s="15">
        <v>4.7619047620000003</v>
      </c>
      <c r="P513" s="9">
        <v>10.727499999999999</v>
      </c>
      <c r="Q513" s="11">
        <v>6.1</v>
      </c>
    </row>
    <row r="514" spans="1:17" x14ac:dyDescent="0.25">
      <c r="A514" s="5" t="s">
        <v>542</v>
      </c>
      <c r="B514" s="7" t="s">
        <v>13</v>
      </c>
      <c r="C514" s="7" t="s">
        <v>14</v>
      </c>
      <c r="D514" s="7" t="s">
        <v>21</v>
      </c>
      <c r="E514" s="7" t="s">
        <v>16</v>
      </c>
      <c r="F514" s="7" t="s">
        <v>40</v>
      </c>
      <c r="G514" s="9">
        <v>54.28</v>
      </c>
      <c r="H514" s="13">
        <v>7</v>
      </c>
      <c r="I514" s="17">
        <v>18.998000000000001</v>
      </c>
      <c r="J514" s="9">
        <v>398.95800000000003</v>
      </c>
      <c r="K514" s="21">
        <v>43492</v>
      </c>
      <c r="L514" s="3">
        <v>0.75347222222222221</v>
      </c>
      <c r="M514" s="7" t="s">
        <v>18</v>
      </c>
      <c r="N514" s="19">
        <v>379.96</v>
      </c>
      <c r="O514" s="15">
        <v>4.7619047620000003</v>
      </c>
      <c r="P514" s="9">
        <v>18.998000000000001</v>
      </c>
      <c r="Q514" s="11">
        <v>9.3000000000000007</v>
      </c>
    </row>
    <row r="515" spans="1:17" x14ac:dyDescent="0.25">
      <c r="A515" s="5" t="s">
        <v>543</v>
      </c>
      <c r="B515" s="7" t="s">
        <v>13</v>
      </c>
      <c r="C515" s="7" t="s">
        <v>14</v>
      </c>
      <c r="D515" s="7" t="s">
        <v>21</v>
      </c>
      <c r="E515" s="7" t="s">
        <v>25</v>
      </c>
      <c r="F515" s="7" t="s">
        <v>22</v>
      </c>
      <c r="G515" s="9">
        <v>99.55</v>
      </c>
      <c r="H515" s="13">
        <v>7</v>
      </c>
      <c r="I515" s="17">
        <v>34.842500000000001</v>
      </c>
      <c r="J515" s="9">
        <v>731.6925</v>
      </c>
      <c r="K515" s="21">
        <v>43538</v>
      </c>
      <c r="L515" s="3">
        <v>0.50486111111111109</v>
      </c>
      <c r="M515" s="7" t="s">
        <v>23</v>
      </c>
      <c r="N515" s="19">
        <v>696.85</v>
      </c>
      <c r="O515" s="15">
        <v>4.7619047620000003</v>
      </c>
      <c r="P515" s="9">
        <v>34.842500000000001</v>
      </c>
      <c r="Q515" s="11">
        <v>7.6</v>
      </c>
    </row>
    <row r="516" spans="1:17" x14ac:dyDescent="0.25">
      <c r="A516" s="5" t="s">
        <v>544</v>
      </c>
      <c r="B516" s="7" t="s">
        <v>20</v>
      </c>
      <c r="C516" s="7" t="s">
        <v>1034</v>
      </c>
      <c r="D516" s="7" t="s">
        <v>15</v>
      </c>
      <c r="E516" s="7" t="s">
        <v>25</v>
      </c>
      <c r="F516" s="7" t="s">
        <v>30</v>
      </c>
      <c r="G516" s="9">
        <v>58.39</v>
      </c>
      <c r="H516" s="13">
        <v>7</v>
      </c>
      <c r="I516" s="17">
        <v>20.436499999999999</v>
      </c>
      <c r="J516" s="9">
        <v>429.16649999999998</v>
      </c>
      <c r="K516" s="21">
        <v>43519</v>
      </c>
      <c r="L516" s="3">
        <v>0.8256944444444444</v>
      </c>
      <c r="M516" s="7" t="s">
        <v>27</v>
      </c>
      <c r="N516" s="19">
        <v>408.73</v>
      </c>
      <c r="O516" s="15">
        <v>4.7619047620000003</v>
      </c>
      <c r="P516" s="9">
        <v>20.436499999999999</v>
      </c>
      <c r="Q516" s="11">
        <v>8.1999999999999993</v>
      </c>
    </row>
    <row r="517" spans="1:17" x14ac:dyDescent="0.25">
      <c r="A517" s="5" t="s">
        <v>545</v>
      </c>
      <c r="B517" s="7" t="s">
        <v>20</v>
      </c>
      <c r="C517" s="7" t="s">
        <v>1034</v>
      </c>
      <c r="D517" s="7" t="s">
        <v>15</v>
      </c>
      <c r="E517" s="7" t="s">
        <v>16</v>
      </c>
      <c r="F517" s="7" t="s">
        <v>40</v>
      </c>
      <c r="G517" s="9">
        <v>51.47</v>
      </c>
      <c r="H517" s="13">
        <v>1</v>
      </c>
      <c r="I517" s="17">
        <v>2.5735000000000001</v>
      </c>
      <c r="J517" s="9">
        <v>54.043500000000002</v>
      </c>
      <c r="K517" s="21">
        <v>43542</v>
      </c>
      <c r="L517" s="3">
        <v>0.66111111111111109</v>
      </c>
      <c r="M517" s="7" t="s">
        <v>18</v>
      </c>
      <c r="N517" s="19">
        <v>51.47</v>
      </c>
      <c r="O517" s="15">
        <v>4.7619047620000003</v>
      </c>
      <c r="P517" s="9">
        <v>2.5735000000000001</v>
      </c>
      <c r="Q517" s="11">
        <v>8.5</v>
      </c>
    </row>
    <row r="518" spans="1:17" x14ac:dyDescent="0.25">
      <c r="A518" s="5" t="s">
        <v>546</v>
      </c>
      <c r="B518" s="7" t="s">
        <v>36</v>
      </c>
      <c r="C518" s="7" t="s">
        <v>37</v>
      </c>
      <c r="D518" s="7" t="s">
        <v>15</v>
      </c>
      <c r="E518" s="7" t="s">
        <v>25</v>
      </c>
      <c r="F518" s="7" t="s">
        <v>17</v>
      </c>
      <c r="G518" s="9">
        <v>54.86</v>
      </c>
      <c r="H518" s="13">
        <v>5</v>
      </c>
      <c r="I518" s="17">
        <v>13.715</v>
      </c>
      <c r="J518" s="9">
        <v>288.01499999999999</v>
      </c>
      <c r="K518" s="21">
        <v>43553</v>
      </c>
      <c r="L518" s="3">
        <v>0.7</v>
      </c>
      <c r="M518" s="7" t="s">
        <v>18</v>
      </c>
      <c r="N518" s="19">
        <v>274.3</v>
      </c>
      <c r="O518" s="15">
        <v>4.7619047620000003</v>
      </c>
      <c r="P518" s="9">
        <v>13.715</v>
      </c>
      <c r="Q518" s="11">
        <v>9.8000000000000007</v>
      </c>
    </row>
    <row r="519" spans="1:17" x14ac:dyDescent="0.25">
      <c r="A519" s="5" t="s">
        <v>547</v>
      </c>
      <c r="B519" s="7" t="s">
        <v>20</v>
      </c>
      <c r="C519" s="7" t="s">
        <v>1034</v>
      </c>
      <c r="D519" s="7" t="s">
        <v>15</v>
      </c>
      <c r="E519" s="7" t="s">
        <v>25</v>
      </c>
      <c r="F519" s="7" t="s">
        <v>26</v>
      </c>
      <c r="G519" s="9">
        <v>39.39</v>
      </c>
      <c r="H519" s="13">
        <v>5</v>
      </c>
      <c r="I519" s="17">
        <v>9.8475000000000001</v>
      </c>
      <c r="J519" s="9">
        <v>206.79750000000001</v>
      </c>
      <c r="K519" s="21">
        <v>43487</v>
      </c>
      <c r="L519" s="3">
        <v>0.86527777777777781</v>
      </c>
      <c r="M519" s="7" t="s">
        <v>27</v>
      </c>
      <c r="N519" s="19">
        <v>196.95</v>
      </c>
      <c r="O519" s="15">
        <v>4.7619047620000003</v>
      </c>
      <c r="P519" s="9">
        <v>9.8475000000000001</v>
      </c>
      <c r="Q519" s="11">
        <v>8.6999999999999993</v>
      </c>
    </row>
    <row r="520" spans="1:17" x14ac:dyDescent="0.25">
      <c r="A520" s="5" t="s">
        <v>548</v>
      </c>
      <c r="B520" s="7" t="s">
        <v>13</v>
      </c>
      <c r="C520" s="7" t="s">
        <v>14</v>
      </c>
      <c r="D520" s="7" t="s">
        <v>21</v>
      </c>
      <c r="E520" s="7" t="s">
        <v>25</v>
      </c>
      <c r="F520" s="7" t="s">
        <v>26</v>
      </c>
      <c r="G520" s="9">
        <v>34.729999999999997</v>
      </c>
      <c r="H520" s="13">
        <v>2</v>
      </c>
      <c r="I520" s="17">
        <v>3.4729999999999999</v>
      </c>
      <c r="J520" s="9">
        <v>72.933000000000007</v>
      </c>
      <c r="K520" s="21">
        <v>43525</v>
      </c>
      <c r="L520" s="3">
        <v>0.75972222222222219</v>
      </c>
      <c r="M520" s="7" t="s">
        <v>18</v>
      </c>
      <c r="N520" s="19">
        <v>69.459999999999994</v>
      </c>
      <c r="O520" s="15">
        <v>4.7619047620000003</v>
      </c>
      <c r="P520" s="9">
        <v>3.4729999999999999</v>
      </c>
      <c r="Q520" s="11">
        <v>9.6999999999999993</v>
      </c>
    </row>
    <row r="521" spans="1:17" x14ac:dyDescent="0.25">
      <c r="A521" s="5" t="s">
        <v>549</v>
      </c>
      <c r="B521" s="7" t="s">
        <v>20</v>
      </c>
      <c r="C521" s="7" t="s">
        <v>1034</v>
      </c>
      <c r="D521" s="7" t="s">
        <v>15</v>
      </c>
      <c r="E521" s="7" t="s">
        <v>25</v>
      </c>
      <c r="F521" s="7" t="s">
        <v>30</v>
      </c>
      <c r="G521" s="9">
        <v>71.92</v>
      </c>
      <c r="H521" s="13">
        <v>5</v>
      </c>
      <c r="I521" s="17">
        <v>17.98</v>
      </c>
      <c r="J521" s="9">
        <v>377.58</v>
      </c>
      <c r="K521" s="21">
        <v>43482</v>
      </c>
      <c r="L521" s="3">
        <v>0.62847222222222221</v>
      </c>
      <c r="M521" s="7" t="s">
        <v>27</v>
      </c>
      <c r="N521" s="19">
        <v>359.6</v>
      </c>
      <c r="O521" s="15">
        <v>4.7619047620000003</v>
      </c>
      <c r="P521" s="9">
        <v>17.98</v>
      </c>
      <c r="Q521" s="11">
        <v>4.3</v>
      </c>
    </row>
    <row r="522" spans="1:17" x14ac:dyDescent="0.25">
      <c r="A522" s="5" t="s">
        <v>550</v>
      </c>
      <c r="B522" s="7" t="s">
        <v>36</v>
      </c>
      <c r="C522" s="7" t="s">
        <v>37</v>
      </c>
      <c r="D522" s="7" t="s">
        <v>21</v>
      </c>
      <c r="E522" s="7" t="s">
        <v>16</v>
      </c>
      <c r="F522" s="7" t="s">
        <v>22</v>
      </c>
      <c r="G522" s="9">
        <v>45.71</v>
      </c>
      <c r="H522" s="13">
        <v>3</v>
      </c>
      <c r="I522" s="17">
        <v>6.8564999999999996</v>
      </c>
      <c r="J522" s="9">
        <v>143.98650000000001</v>
      </c>
      <c r="K522" s="21">
        <v>43550</v>
      </c>
      <c r="L522" s="3">
        <v>0.44027777777777777</v>
      </c>
      <c r="M522" s="7" t="s">
        <v>27</v>
      </c>
      <c r="N522" s="19">
        <v>137.13</v>
      </c>
      <c r="O522" s="15">
        <v>4.7619047620000003</v>
      </c>
      <c r="P522" s="9">
        <v>6.8564999999999996</v>
      </c>
      <c r="Q522" s="11">
        <v>7.7</v>
      </c>
    </row>
    <row r="523" spans="1:17" x14ac:dyDescent="0.25">
      <c r="A523" s="5" t="s">
        <v>551</v>
      </c>
      <c r="B523" s="7" t="s">
        <v>20</v>
      </c>
      <c r="C523" s="7" t="s">
        <v>1034</v>
      </c>
      <c r="D523" s="7" t="s">
        <v>15</v>
      </c>
      <c r="E523" s="7" t="s">
        <v>16</v>
      </c>
      <c r="F523" s="7" t="s">
        <v>26</v>
      </c>
      <c r="G523" s="9">
        <v>83.17</v>
      </c>
      <c r="H523" s="13">
        <v>6</v>
      </c>
      <c r="I523" s="17">
        <v>24.951000000000001</v>
      </c>
      <c r="J523" s="9">
        <v>523.971</v>
      </c>
      <c r="K523" s="21">
        <v>43544</v>
      </c>
      <c r="L523" s="3">
        <v>0.47430555555555554</v>
      </c>
      <c r="M523" s="7" t="s">
        <v>23</v>
      </c>
      <c r="N523" s="19">
        <v>499.02</v>
      </c>
      <c r="O523" s="15">
        <v>4.7619047620000003</v>
      </c>
      <c r="P523" s="9">
        <v>24.951000000000001</v>
      </c>
      <c r="Q523" s="11">
        <v>7.3</v>
      </c>
    </row>
    <row r="524" spans="1:17" x14ac:dyDescent="0.25">
      <c r="A524" s="5" t="s">
        <v>552</v>
      </c>
      <c r="B524" s="7" t="s">
        <v>13</v>
      </c>
      <c r="C524" s="7" t="s">
        <v>14</v>
      </c>
      <c r="D524" s="7" t="s">
        <v>15</v>
      </c>
      <c r="E524" s="7" t="s">
        <v>16</v>
      </c>
      <c r="F524" s="7" t="s">
        <v>26</v>
      </c>
      <c r="G524" s="9">
        <v>37.44</v>
      </c>
      <c r="H524" s="13">
        <v>6</v>
      </c>
      <c r="I524" s="17">
        <v>11.231999999999999</v>
      </c>
      <c r="J524" s="9">
        <v>235.87200000000001</v>
      </c>
      <c r="K524" s="21">
        <v>43502</v>
      </c>
      <c r="L524" s="3">
        <v>0.57986111111111116</v>
      </c>
      <c r="M524" s="7" t="s">
        <v>27</v>
      </c>
      <c r="N524" s="19">
        <v>224.64</v>
      </c>
      <c r="O524" s="15">
        <v>4.7619047620000003</v>
      </c>
      <c r="P524" s="9">
        <v>11.231999999999999</v>
      </c>
      <c r="Q524" s="11">
        <v>5.9</v>
      </c>
    </row>
    <row r="525" spans="1:17" x14ac:dyDescent="0.25">
      <c r="A525" s="5" t="s">
        <v>553</v>
      </c>
      <c r="B525" s="7" t="s">
        <v>20</v>
      </c>
      <c r="C525" s="7" t="s">
        <v>1034</v>
      </c>
      <c r="D525" s="7" t="s">
        <v>21</v>
      </c>
      <c r="E525" s="7" t="s">
        <v>25</v>
      </c>
      <c r="F525" s="7" t="s">
        <v>17</v>
      </c>
      <c r="G525" s="9">
        <v>62.87</v>
      </c>
      <c r="H525" s="13">
        <v>2</v>
      </c>
      <c r="I525" s="17">
        <v>6.2869999999999999</v>
      </c>
      <c r="J525" s="9">
        <v>132.02699999999999</v>
      </c>
      <c r="K525" s="21">
        <v>43466</v>
      </c>
      <c r="L525" s="3">
        <v>0.48819444444444443</v>
      </c>
      <c r="M525" s="7" t="s">
        <v>23</v>
      </c>
      <c r="N525" s="19">
        <v>125.74</v>
      </c>
      <c r="O525" s="15">
        <v>4.7619047620000003</v>
      </c>
      <c r="P525" s="9">
        <v>6.2869999999999999</v>
      </c>
      <c r="Q525" s="11">
        <v>5</v>
      </c>
    </row>
    <row r="526" spans="1:17" x14ac:dyDescent="0.25">
      <c r="A526" s="5" t="s">
        <v>554</v>
      </c>
      <c r="B526" s="7" t="s">
        <v>13</v>
      </c>
      <c r="C526" s="7" t="s">
        <v>14</v>
      </c>
      <c r="D526" s="7" t="s">
        <v>21</v>
      </c>
      <c r="E526" s="7" t="s">
        <v>25</v>
      </c>
      <c r="F526" s="7" t="s">
        <v>38</v>
      </c>
      <c r="G526" s="9">
        <v>81.709999999999994</v>
      </c>
      <c r="H526" s="13">
        <v>6</v>
      </c>
      <c r="I526" s="17">
        <v>24.513000000000002</v>
      </c>
      <c r="J526" s="9">
        <v>514.77300000000002</v>
      </c>
      <c r="K526" s="21">
        <v>43492</v>
      </c>
      <c r="L526" s="3">
        <v>0.60833333333333328</v>
      </c>
      <c r="M526" s="7" t="s">
        <v>27</v>
      </c>
      <c r="N526" s="19">
        <v>490.26</v>
      </c>
      <c r="O526" s="15">
        <v>4.7619047620000003</v>
      </c>
      <c r="P526" s="9">
        <v>24.513000000000002</v>
      </c>
      <c r="Q526" s="11">
        <v>8</v>
      </c>
    </row>
    <row r="527" spans="1:17" x14ac:dyDescent="0.25">
      <c r="A527" s="5" t="s">
        <v>555</v>
      </c>
      <c r="B527" s="7" t="s">
        <v>13</v>
      </c>
      <c r="C527" s="7" t="s">
        <v>14</v>
      </c>
      <c r="D527" s="7" t="s">
        <v>15</v>
      </c>
      <c r="E527" s="7" t="s">
        <v>16</v>
      </c>
      <c r="F527" s="7" t="s">
        <v>30</v>
      </c>
      <c r="G527" s="9">
        <v>91.41</v>
      </c>
      <c r="H527" s="13">
        <v>5</v>
      </c>
      <c r="I527" s="17">
        <v>22.852499999999999</v>
      </c>
      <c r="J527" s="9">
        <v>479.90249999999997</v>
      </c>
      <c r="K527" s="21">
        <v>43521</v>
      </c>
      <c r="L527" s="3">
        <v>0.66874999999999996</v>
      </c>
      <c r="M527" s="7" t="s">
        <v>18</v>
      </c>
      <c r="N527" s="19">
        <v>457.05</v>
      </c>
      <c r="O527" s="15">
        <v>4.7619047620000003</v>
      </c>
      <c r="P527" s="9">
        <v>22.852499999999999</v>
      </c>
      <c r="Q527" s="11">
        <v>7.1</v>
      </c>
    </row>
    <row r="528" spans="1:17" x14ac:dyDescent="0.25">
      <c r="A528" s="5" t="s">
        <v>556</v>
      </c>
      <c r="B528" s="7" t="s">
        <v>36</v>
      </c>
      <c r="C528" s="7" t="s">
        <v>37</v>
      </c>
      <c r="D528" s="7" t="s">
        <v>21</v>
      </c>
      <c r="E528" s="7" t="s">
        <v>25</v>
      </c>
      <c r="F528" s="7" t="s">
        <v>40</v>
      </c>
      <c r="G528" s="9">
        <v>39.21</v>
      </c>
      <c r="H528" s="13">
        <v>4</v>
      </c>
      <c r="I528" s="17">
        <v>7.8419999999999996</v>
      </c>
      <c r="J528" s="9">
        <v>164.68199999999999</v>
      </c>
      <c r="K528" s="21">
        <v>43481</v>
      </c>
      <c r="L528" s="3">
        <v>0.8354166666666667</v>
      </c>
      <c r="M528" s="7" t="s">
        <v>27</v>
      </c>
      <c r="N528" s="19">
        <v>156.84</v>
      </c>
      <c r="O528" s="15">
        <v>4.7619047620000003</v>
      </c>
      <c r="P528" s="9">
        <v>7.8419999999999996</v>
      </c>
      <c r="Q528" s="11">
        <v>9</v>
      </c>
    </row>
    <row r="529" spans="1:17" x14ac:dyDescent="0.25">
      <c r="A529" s="5" t="s">
        <v>557</v>
      </c>
      <c r="B529" s="7" t="s">
        <v>36</v>
      </c>
      <c r="C529" s="7" t="s">
        <v>37</v>
      </c>
      <c r="D529" s="7" t="s">
        <v>15</v>
      </c>
      <c r="E529" s="7" t="s">
        <v>25</v>
      </c>
      <c r="F529" s="7" t="s">
        <v>40</v>
      </c>
      <c r="G529" s="9">
        <v>59.86</v>
      </c>
      <c r="H529" s="13">
        <v>2</v>
      </c>
      <c r="I529" s="17">
        <v>5.9859999999999998</v>
      </c>
      <c r="J529" s="9">
        <v>125.706</v>
      </c>
      <c r="K529" s="21">
        <v>43478</v>
      </c>
      <c r="L529" s="3">
        <v>0.62152777777777779</v>
      </c>
      <c r="M529" s="7" t="s">
        <v>18</v>
      </c>
      <c r="N529" s="19">
        <v>119.72</v>
      </c>
      <c r="O529" s="15">
        <v>4.7619047620000003</v>
      </c>
      <c r="P529" s="9">
        <v>5.9859999999999998</v>
      </c>
      <c r="Q529" s="11">
        <v>6.7</v>
      </c>
    </row>
    <row r="530" spans="1:17" x14ac:dyDescent="0.25">
      <c r="A530" s="5" t="s">
        <v>558</v>
      </c>
      <c r="B530" s="7" t="s">
        <v>36</v>
      </c>
      <c r="C530" s="7" t="s">
        <v>37</v>
      </c>
      <c r="D530" s="7" t="s">
        <v>15</v>
      </c>
      <c r="E530" s="7" t="s">
        <v>16</v>
      </c>
      <c r="F530" s="7" t="s">
        <v>38</v>
      </c>
      <c r="G530" s="9">
        <v>54.36</v>
      </c>
      <c r="H530" s="13">
        <v>10</v>
      </c>
      <c r="I530" s="17">
        <v>27.18</v>
      </c>
      <c r="J530" s="9">
        <v>570.78</v>
      </c>
      <c r="K530" s="21">
        <v>43503</v>
      </c>
      <c r="L530" s="3">
        <v>0.4777777777777778</v>
      </c>
      <c r="M530" s="7" t="s">
        <v>27</v>
      </c>
      <c r="N530" s="19">
        <v>543.6</v>
      </c>
      <c r="O530" s="15">
        <v>4.7619047620000003</v>
      </c>
      <c r="P530" s="9">
        <v>27.18</v>
      </c>
      <c r="Q530" s="11">
        <v>6.1</v>
      </c>
    </row>
    <row r="531" spans="1:17" x14ac:dyDescent="0.25">
      <c r="A531" s="5" t="s">
        <v>559</v>
      </c>
      <c r="B531" s="7" t="s">
        <v>13</v>
      </c>
      <c r="C531" s="7" t="s">
        <v>14</v>
      </c>
      <c r="D531" s="7" t="s">
        <v>21</v>
      </c>
      <c r="E531" s="7" t="s">
        <v>25</v>
      </c>
      <c r="F531" s="7" t="s">
        <v>30</v>
      </c>
      <c r="G531" s="9">
        <v>98.09</v>
      </c>
      <c r="H531" s="13">
        <v>9</v>
      </c>
      <c r="I531" s="17">
        <v>44.140500000000003</v>
      </c>
      <c r="J531" s="9">
        <v>926.95050000000003</v>
      </c>
      <c r="K531" s="21">
        <v>43513</v>
      </c>
      <c r="L531" s="3">
        <v>0.82013888888888886</v>
      </c>
      <c r="M531" s="7" t="s">
        <v>23</v>
      </c>
      <c r="N531" s="19">
        <v>882.81</v>
      </c>
      <c r="O531" s="15">
        <v>4.7619047620000003</v>
      </c>
      <c r="P531" s="9">
        <v>44.140500000000003</v>
      </c>
      <c r="Q531" s="11">
        <v>9.3000000000000007</v>
      </c>
    </row>
    <row r="532" spans="1:17" x14ac:dyDescent="0.25">
      <c r="A532" s="5" t="s">
        <v>560</v>
      </c>
      <c r="B532" s="7" t="s">
        <v>13</v>
      </c>
      <c r="C532" s="7" t="s">
        <v>14</v>
      </c>
      <c r="D532" s="7" t="s">
        <v>21</v>
      </c>
      <c r="E532" s="7" t="s">
        <v>25</v>
      </c>
      <c r="F532" s="7" t="s">
        <v>17</v>
      </c>
      <c r="G532" s="9">
        <v>25.43</v>
      </c>
      <c r="H532" s="13">
        <v>6</v>
      </c>
      <c r="I532" s="17">
        <v>7.6289999999999996</v>
      </c>
      <c r="J532" s="9">
        <v>160.209</v>
      </c>
      <c r="K532" s="21">
        <v>43508</v>
      </c>
      <c r="L532" s="3">
        <v>0.79236111111111107</v>
      </c>
      <c r="M532" s="7" t="s">
        <v>18</v>
      </c>
      <c r="N532" s="19">
        <v>152.58000000000001</v>
      </c>
      <c r="O532" s="15">
        <v>4.7619047620000003</v>
      </c>
      <c r="P532" s="9">
        <v>7.6289999999999996</v>
      </c>
      <c r="Q532" s="11">
        <v>7</v>
      </c>
    </row>
    <row r="533" spans="1:17" x14ac:dyDescent="0.25">
      <c r="A533" s="5" t="s">
        <v>561</v>
      </c>
      <c r="B533" s="7" t="s">
        <v>13</v>
      </c>
      <c r="C533" s="7" t="s">
        <v>14</v>
      </c>
      <c r="D533" s="7" t="s">
        <v>15</v>
      </c>
      <c r="E533" s="7" t="s">
        <v>25</v>
      </c>
      <c r="F533" s="7" t="s">
        <v>40</v>
      </c>
      <c r="G533" s="9">
        <v>86.68</v>
      </c>
      <c r="H533" s="13">
        <v>8</v>
      </c>
      <c r="I533" s="17">
        <v>34.671999999999997</v>
      </c>
      <c r="J533" s="9">
        <v>728.11199999999997</v>
      </c>
      <c r="K533" s="21">
        <v>43489</v>
      </c>
      <c r="L533" s="3">
        <v>0.75277777777777777</v>
      </c>
      <c r="M533" s="7" t="s">
        <v>27</v>
      </c>
      <c r="N533" s="19">
        <v>693.44</v>
      </c>
      <c r="O533" s="15">
        <v>4.7619047620000003</v>
      </c>
      <c r="P533" s="9">
        <v>34.671999999999997</v>
      </c>
      <c r="Q533" s="11">
        <v>7.2</v>
      </c>
    </row>
    <row r="534" spans="1:17" x14ac:dyDescent="0.25">
      <c r="A534" s="5" t="s">
        <v>562</v>
      </c>
      <c r="B534" s="7" t="s">
        <v>36</v>
      </c>
      <c r="C534" s="7" t="s">
        <v>37</v>
      </c>
      <c r="D534" s="7" t="s">
        <v>21</v>
      </c>
      <c r="E534" s="7" t="s">
        <v>25</v>
      </c>
      <c r="F534" s="7" t="s">
        <v>22</v>
      </c>
      <c r="G534" s="9">
        <v>22.95</v>
      </c>
      <c r="H534" s="13">
        <v>10</v>
      </c>
      <c r="I534" s="17">
        <v>11.475</v>
      </c>
      <c r="J534" s="9">
        <v>240.97499999999999</v>
      </c>
      <c r="K534" s="21">
        <v>43502</v>
      </c>
      <c r="L534" s="3">
        <v>0.80555555555555558</v>
      </c>
      <c r="M534" s="7" t="s">
        <v>18</v>
      </c>
      <c r="N534" s="19">
        <v>229.5</v>
      </c>
      <c r="O534" s="15">
        <v>4.7619047620000003</v>
      </c>
      <c r="P534" s="9">
        <v>11.475</v>
      </c>
      <c r="Q534" s="11">
        <v>8.1999999999999993</v>
      </c>
    </row>
    <row r="535" spans="1:17" x14ac:dyDescent="0.25">
      <c r="A535" s="5" t="s">
        <v>563</v>
      </c>
      <c r="B535" s="7" t="s">
        <v>20</v>
      </c>
      <c r="C535" s="7" t="s">
        <v>1034</v>
      </c>
      <c r="D535" s="7" t="s">
        <v>21</v>
      </c>
      <c r="E535" s="7" t="s">
        <v>16</v>
      </c>
      <c r="F535" s="7" t="s">
        <v>38</v>
      </c>
      <c r="G535" s="9">
        <v>16.309999999999999</v>
      </c>
      <c r="H535" s="13">
        <v>9</v>
      </c>
      <c r="I535" s="17">
        <v>7.3395000000000001</v>
      </c>
      <c r="J535" s="9">
        <v>154.12950000000001</v>
      </c>
      <c r="K535" s="21">
        <v>43550</v>
      </c>
      <c r="L535" s="3">
        <v>0.43819444444444444</v>
      </c>
      <c r="M535" s="7" t="s">
        <v>18</v>
      </c>
      <c r="N535" s="19">
        <v>146.79</v>
      </c>
      <c r="O535" s="15">
        <v>4.7619047620000003</v>
      </c>
      <c r="P535" s="9">
        <v>7.3395000000000001</v>
      </c>
      <c r="Q535" s="11">
        <v>8.4</v>
      </c>
    </row>
    <row r="536" spans="1:17" x14ac:dyDescent="0.25">
      <c r="A536" s="5" t="s">
        <v>564</v>
      </c>
      <c r="B536" s="7" t="s">
        <v>13</v>
      </c>
      <c r="C536" s="7" t="s">
        <v>14</v>
      </c>
      <c r="D536" s="7" t="s">
        <v>21</v>
      </c>
      <c r="E536" s="7" t="s">
        <v>16</v>
      </c>
      <c r="F536" s="7" t="s">
        <v>26</v>
      </c>
      <c r="G536" s="9">
        <v>28.32</v>
      </c>
      <c r="H536" s="13">
        <v>5</v>
      </c>
      <c r="I536" s="17">
        <v>7.08</v>
      </c>
      <c r="J536" s="9">
        <v>148.68</v>
      </c>
      <c r="K536" s="21">
        <v>43535</v>
      </c>
      <c r="L536" s="3">
        <v>0.56111111111111112</v>
      </c>
      <c r="M536" s="7" t="s">
        <v>18</v>
      </c>
      <c r="N536" s="19">
        <v>141.6</v>
      </c>
      <c r="O536" s="15">
        <v>4.7619047620000003</v>
      </c>
      <c r="P536" s="9">
        <v>7.08</v>
      </c>
      <c r="Q536" s="11">
        <v>6.2</v>
      </c>
    </row>
    <row r="537" spans="1:17" x14ac:dyDescent="0.25">
      <c r="A537" s="5" t="s">
        <v>565</v>
      </c>
      <c r="B537" s="7" t="s">
        <v>20</v>
      </c>
      <c r="C537" s="7" t="s">
        <v>1034</v>
      </c>
      <c r="D537" s="7" t="s">
        <v>21</v>
      </c>
      <c r="E537" s="7" t="s">
        <v>25</v>
      </c>
      <c r="F537" s="7" t="s">
        <v>26</v>
      </c>
      <c r="G537" s="9">
        <v>16.670000000000002</v>
      </c>
      <c r="H537" s="13">
        <v>7</v>
      </c>
      <c r="I537" s="17">
        <v>5.8345000000000002</v>
      </c>
      <c r="J537" s="9">
        <v>122.5245</v>
      </c>
      <c r="K537" s="21">
        <v>43503</v>
      </c>
      <c r="L537" s="3">
        <v>0.48333333333333334</v>
      </c>
      <c r="M537" s="7" t="s">
        <v>18</v>
      </c>
      <c r="N537" s="19">
        <v>116.69</v>
      </c>
      <c r="O537" s="15">
        <v>4.7619047620000003</v>
      </c>
      <c r="P537" s="9">
        <v>5.8345000000000002</v>
      </c>
      <c r="Q537" s="11">
        <v>7.4</v>
      </c>
    </row>
    <row r="538" spans="1:17" x14ac:dyDescent="0.25">
      <c r="A538" s="5" t="s">
        <v>566</v>
      </c>
      <c r="B538" s="7" t="s">
        <v>36</v>
      </c>
      <c r="C538" s="7" t="s">
        <v>37</v>
      </c>
      <c r="D538" s="7" t="s">
        <v>15</v>
      </c>
      <c r="E538" s="7" t="s">
        <v>16</v>
      </c>
      <c r="F538" s="7" t="s">
        <v>40</v>
      </c>
      <c r="G538" s="9">
        <v>73.959999999999994</v>
      </c>
      <c r="H538" s="13">
        <v>1</v>
      </c>
      <c r="I538" s="17">
        <v>3.698</v>
      </c>
      <c r="J538" s="9">
        <v>77.658000000000001</v>
      </c>
      <c r="K538" s="21">
        <v>43470</v>
      </c>
      <c r="L538" s="3">
        <v>0.48055555555555557</v>
      </c>
      <c r="M538" s="7" t="s">
        <v>27</v>
      </c>
      <c r="N538" s="19">
        <v>73.959999999999994</v>
      </c>
      <c r="O538" s="15">
        <v>4.7619047620000003</v>
      </c>
      <c r="P538" s="9">
        <v>3.698</v>
      </c>
      <c r="Q538" s="11">
        <v>5</v>
      </c>
    </row>
    <row r="539" spans="1:17" x14ac:dyDescent="0.25">
      <c r="A539" s="5" t="s">
        <v>567</v>
      </c>
      <c r="B539" s="7" t="s">
        <v>13</v>
      </c>
      <c r="C539" s="7" t="s">
        <v>14</v>
      </c>
      <c r="D539" s="7" t="s">
        <v>21</v>
      </c>
      <c r="E539" s="7" t="s">
        <v>25</v>
      </c>
      <c r="F539" s="7" t="s">
        <v>26</v>
      </c>
      <c r="G539" s="9">
        <v>97.94</v>
      </c>
      <c r="H539" s="13">
        <v>1</v>
      </c>
      <c r="I539" s="17">
        <v>4.8970000000000002</v>
      </c>
      <c r="J539" s="9">
        <v>102.837</v>
      </c>
      <c r="K539" s="21">
        <v>43531</v>
      </c>
      <c r="L539" s="3">
        <v>0.48888888888888887</v>
      </c>
      <c r="M539" s="7" t="s">
        <v>18</v>
      </c>
      <c r="N539" s="19">
        <v>97.94</v>
      </c>
      <c r="O539" s="15">
        <v>4.7619047620000003</v>
      </c>
      <c r="P539" s="9">
        <v>4.8970000000000002</v>
      </c>
      <c r="Q539" s="11">
        <v>6.9</v>
      </c>
    </row>
    <row r="540" spans="1:17" x14ac:dyDescent="0.25">
      <c r="A540" s="5" t="s">
        <v>568</v>
      </c>
      <c r="B540" s="7" t="s">
        <v>13</v>
      </c>
      <c r="C540" s="7" t="s">
        <v>14</v>
      </c>
      <c r="D540" s="7" t="s">
        <v>21</v>
      </c>
      <c r="E540" s="7" t="s">
        <v>16</v>
      </c>
      <c r="F540" s="7" t="s">
        <v>40</v>
      </c>
      <c r="G540" s="9">
        <v>73.05</v>
      </c>
      <c r="H540" s="13">
        <v>4</v>
      </c>
      <c r="I540" s="17">
        <v>14.61</v>
      </c>
      <c r="J540" s="9">
        <v>306.81</v>
      </c>
      <c r="K540" s="21">
        <v>43521</v>
      </c>
      <c r="L540" s="3">
        <v>0.71944444444444444</v>
      </c>
      <c r="M540" s="7" t="s">
        <v>27</v>
      </c>
      <c r="N540" s="19">
        <v>292.2</v>
      </c>
      <c r="O540" s="15">
        <v>4.7619047620000003</v>
      </c>
      <c r="P540" s="9">
        <v>14.61</v>
      </c>
      <c r="Q540" s="11">
        <v>4.9000000000000004</v>
      </c>
    </row>
    <row r="541" spans="1:17" x14ac:dyDescent="0.25">
      <c r="A541" s="5" t="s">
        <v>569</v>
      </c>
      <c r="B541" s="7" t="s">
        <v>20</v>
      </c>
      <c r="C541" s="7" t="s">
        <v>1034</v>
      </c>
      <c r="D541" s="7" t="s">
        <v>15</v>
      </c>
      <c r="E541" s="7" t="s">
        <v>16</v>
      </c>
      <c r="F541" s="7" t="s">
        <v>38</v>
      </c>
      <c r="G541" s="9">
        <v>87.48</v>
      </c>
      <c r="H541" s="13">
        <v>6</v>
      </c>
      <c r="I541" s="17">
        <v>26.244</v>
      </c>
      <c r="J541" s="9">
        <v>551.12400000000002</v>
      </c>
      <c r="K541" s="21">
        <v>43497</v>
      </c>
      <c r="L541" s="3">
        <v>0.77986111111111112</v>
      </c>
      <c r="M541" s="7" t="s">
        <v>18</v>
      </c>
      <c r="N541" s="19">
        <v>524.88</v>
      </c>
      <c r="O541" s="15">
        <v>4.7619047620000003</v>
      </c>
      <c r="P541" s="9">
        <v>26.244</v>
      </c>
      <c r="Q541" s="11">
        <v>5.0999999999999996</v>
      </c>
    </row>
    <row r="542" spans="1:17" x14ac:dyDescent="0.25">
      <c r="A542" s="5" t="s">
        <v>570</v>
      </c>
      <c r="B542" s="7" t="s">
        <v>13</v>
      </c>
      <c r="C542" s="7" t="s">
        <v>14</v>
      </c>
      <c r="D542" s="7" t="s">
        <v>21</v>
      </c>
      <c r="E542" s="7" t="s">
        <v>25</v>
      </c>
      <c r="F542" s="7" t="s">
        <v>26</v>
      </c>
      <c r="G542" s="9">
        <v>30.68</v>
      </c>
      <c r="H542" s="13">
        <v>3</v>
      </c>
      <c r="I542" s="17">
        <v>4.6020000000000003</v>
      </c>
      <c r="J542" s="9">
        <v>96.641999999999996</v>
      </c>
      <c r="K542" s="21">
        <v>43487</v>
      </c>
      <c r="L542" s="3">
        <v>0.45833333333333331</v>
      </c>
      <c r="M542" s="7" t="s">
        <v>18</v>
      </c>
      <c r="N542" s="19">
        <v>92.04</v>
      </c>
      <c r="O542" s="15">
        <v>4.7619047620000003</v>
      </c>
      <c r="P542" s="9">
        <v>4.6020000000000003</v>
      </c>
      <c r="Q542" s="11">
        <v>9.1</v>
      </c>
    </row>
    <row r="543" spans="1:17" x14ac:dyDescent="0.25">
      <c r="A543" s="5" t="s">
        <v>571</v>
      </c>
      <c r="B543" s="7" t="s">
        <v>20</v>
      </c>
      <c r="C543" s="7" t="s">
        <v>1034</v>
      </c>
      <c r="D543" s="7" t="s">
        <v>15</v>
      </c>
      <c r="E543" s="7" t="s">
        <v>25</v>
      </c>
      <c r="F543" s="7" t="s">
        <v>17</v>
      </c>
      <c r="G543" s="9">
        <v>75.88</v>
      </c>
      <c r="H543" s="13">
        <v>1</v>
      </c>
      <c r="I543" s="17">
        <v>3.794</v>
      </c>
      <c r="J543" s="9">
        <v>79.674000000000007</v>
      </c>
      <c r="K543" s="21">
        <v>43468</v>
      </c>
      <c r="L543" s="3">
        <v>0.4375</v>
      </c>
      <c r="M543" s="7" t="s">
        <v>27</v>
      </c>
      <c r="N543" s="19">
        <v>75.88</v>
      </c>
      <c r="O543" s="15">
        <v>4.7619047620000003</v>
      </c>
      <c r="P543" s="9">
        <v>3.794</v>
      </c>
      <c r="Q543" s="11">
        <v>7.1</v>
      </c>
    </row>
    <row r="544" spans="1:17" x14ac:dyDescent="0.25">
      <c r="A544" s="5" t="s">
        <v>572</v>
      </c>
      <c r="B544" s="7" t="s">
        <v>36</v>
      </c>
      <c r="C544" s="7" t="s">
        <v>37</v>
      </c>
      <c r="D544" s="7" t="s">
        <v>15</v>
      </c>
      <c r="E544" s="7" t="s">
        <v>16</v>
      </c>
      <c r="F544" s="7" t="s">
        <v>30</v>
      </c>
      <c r="G544" s="9">
        <v>20.18</v>
      </c>
      <c r="H544" s="13">
        <v>4</v>
      </c>
      <c r="I544" s="17">
        <v>4.0359999999999996</v>
      </c>
      <c r="J544" s="9">
        <v>84.756</v>
      </c>
      <c r="K544" s="21">
        <v>43509</v>
      </c>
      <c r="L544" s="3">
        <v>0.50972222222222219</v>
      </c>
      <c r="M544" s="7" t="s">
        <v>27</v>
      </c>
      <c r="N544" s="19">
        <v>80.72</v>
      </c>
      <c r="O544" s="15">
        <v>4.7619047620000003</v>
      </c>
      <c r="P544" s="9">
        <v>4.0359999999999996</v>
      </c>
      <c r="Q544" s="11">
        <v>5</v>
      </c>
    </row>
    <row r="545" spans="1:17" x14ac:dyDescent="0.25">
      <c r="A545" s="5" t="s">
        <v>573</v>
      </c>
      <c r="B545" s="7" t="s">
        <v>20</v>
      </c>
      <c r="C545" s="7" t="s">
        <v>1034</v>
      </c>
      <c r="D545" s="7" t="s">
        <v>15</v>
      </c>
      <c r="E545" s="7" t="s">
        <v>25</v>
      </c>
      <c r="F545" s="7" t="s">
        <v>22</v>
      </c>
      <c r="G545" s="9">
        <v>18.77</v>
      </c>
      <c r="H545" s="13">
        <v>6</v>
      </c>
      <c r="I545" s="17">
        <v>5.6310000000000002</v>
      </c>
      <c r="J545" s="9">
        <v>118.251</v>
      </c>
      <c r="K545" s="21">
        <v>43493</v>
      </c>
      <c r="L545" s="3">
        <v>0.69652777777777775</v>
      </c>
      <c r="M545" s="7" t="s">
        <v>27</v>
      </c>
      <c r="N545" s="19">
        <v>112.62</v>
      </c>
      <c r="O545" s="15">
        <v>4.7619047620000003</v>
      </c>
      <c r="P545" s="9">
        <v>5.6310000000000002</v>
      </c>
      <c r="Q545" s="11">
        <v>5.5</v>
      </c>
    </row>
    <row r="546" spans="1:17" x14ac:dyDescent="0.25">
      <c r="A546" s="5" t="s">
        <v>574</v>
      </c>
      <c r="B546" s="7" t="s">
        <v>36</v>
      </c>
      <c r="C546" s="7" t="s">
        <v>37</v>
      </c>
      <c r="D546" s="7" t="s">
        <v>21</v>
      </c>
      <c r="E546" s="7" t="s">
        <v>16</v>
      </c>
      <c r="F546" s="7" t="s">
        <v>38</v>
      </c>
      <c r="G546" s="9">
        <v>71.2</v>
      </c>
      <c r="H546" s="13">
        <v>1</v>
      </c>
      <c r="I546" s="17">
        <v>3.56</v>
      </c>
      <c r="J546" s="9">
        <v>74.760000000000005</v>
      </c>
      <c r="K546" s="21">
        <v>43470</v>
      </c>
      <c r="L546" s="3">
        <v>0.86111111111111116</v>
      </c>
      <c r="M546" s="7" t="s">
        <v>27</v>
      </c>
      <c r="N546" s="19">
        <v>71.2</v>
      </c>
      <c r="O546" s="15">
        <v>4.7619047620000003</v>
      </c>
      <c r="P546" s="9">
        <v>3.56</v>
      </c>
      <c r="Q546" s="11">
        <v>9.1999999999999993</v>
      </c>
    </row>
    <row r="547" spans="1:17" x14ac:dyDescent="0.25">
      <c r="A547" s="5" t="s">
        <v>575</v>
      </c>
      <c r="B547" s="7" t="s">
        <v>36</v>
      </c>
      <c r="C547" s="7" t="s">
        <v>37</v>
      </c>
      <c r="D547" s="7" t="s">
        <v>15</v>
      </c>
      <c r="E547" s="7" t="s">
        <v>25</v>
      </c>
      <c r="F547" s="7" t="s">
        <v>26</v>
      </c>
      <c r="G547" s="9">
        <v>38.81</v>
      </c>
      <c r="H547" s="13">
        <v>4</v>
      </c>
      <c r="I547" s="17">
        <v>7.7619999999999996</v>
      </c>
      <c r="J547" s="9">
        <v>163.00200000000001</v>
      </c>
      <c r="K547" s="21">
        <v>43543</v>
      </c>
      <c r="L547" s="3">
        <v>0.56944444444444442</v>
      </c>
      <c r="M547" s="7" t="s">
        <v>18</v>
      </c>
      <c r="N547" s="19">
        <v>155.24</v>
      </c>
      <c r="O547" s="15">
        <v>4.7619047620000003</v>
      </c>
      <c r="P547" s="9">
        <v>7.7619999999999996</v>
      </c>
      <c r="Q547" s="11">
        <v>4.9000000000000004</v>
      </c>
    </row>
    <row r="548" spans="1:17" x14ac:dyDescent="0.25">
      <c r="A548" s="5" t="s">
        <v>576</v>
      </c>
      <c r="B548" s="7" t="s">
        <v>13</v>
      </c>
      <c r="C548" s="7" t="s">
        <v>14</v>
      </c>
      <c r="D548" s="7" t="s">
        <v>21</v>
      </c>
      <c r="E548" s="7" t="s">
        <v>16</v>
      </c>
      <c r="F548" s="7" t="s">
        <v>40</v>
      </c>
      <c r="G548" s="9">
        <v>29.42</v>
      </c>
      <c r="H548" s="13">
        <v>10</v>
      </c>
      <c r="I548" s="17">
        <v>14.71</v>
      </c>
      <c r="J548" s="9">
        <v>308.91000000000003</v>
      </c>
      <c r="K548" s="21">
        <v>43477</v>
      </c>
      <c r="L548" s="3">
        <v>0.68263888888888891</v>
      </c>
      <c r="M548" s="7" t="s">
        <v>18</v>
      </c>
      <c r="N548" s="19">
        <v>294.2</v>
      </c>
      <c r="O548" s="15">
        <v>4.7619047620000003</v>
      </c>
      <c r="P548" s="9">
        <v>14.71</v>
      </c>
      <c r="Q548" s="11">
        <v>8.9</v>
      </c>
    </row>
    <row r="549" spans="1:17" x14ac:dyDescent="0.25">
      <c r="A549" s="5" t="s">
        <v>577</v>
      </c>
      <c r="B549" s="7" t="s">
        <v>13</v>
      </c>
      <c r="C549" s="7" t="s">
        <v>14</v>
      </c>
      <c r="D549" s="7" t="s">
        <v>21</v>
      </c>
      <c r="E549" s="7" t="s">
        <v>25</v>
      </c>
      <c r="F549" s="7" t="s">
        <v>30</v>
      </c>
      <c r="G549" s="9">
        <v>60.95</v>
      </c>
      <c r="H549" s="13">
        <v>9</v>
      </c>
      <c r="I549" s="17">
        <v>27.427499999999998</v>
      </c>
      <c r="J549" s="9">
        <v>575.97749999999996</v>
      </c>
      <c r="K549" s="21">
        <v>43472</v>
      </c>
      <c r="L549" s="3">
        <v>0.50555555555555554</v>
      </c>
      <c r="M549" s="7" t="s">
        <v>27</v>
      </c>
      <c r="N549" s="19">
        <v>548.54999999999995</v>
      </c>
      <c r="O549" s="15">
        <v>4.7619047620000003</v>
      </c>
      <c r="P549" s="9">
        <v>27.427499999999998</v>
      </c>
      <c r="Q549" s="11">
        <v>6</v>
      </c>
    </row>
    <row r="550" spans="1:17" x14ac:dyDescent="0.25">
      <c r="A550" s="5" t="s">
        <v>578</v>
      </c>
      <c r="B550" s="7" t="s">
        <v>36</v>
      </c>
      <c r="C550" s="7" t="s">
        <v>37</v>
      </c>
      <c r="D550" s="7" t="s">
        <v>21</v>
      </c>
      <c r="E550" s="7" t="s">
        <v>16</v>
      </c>
      <c r="F550" s="7" t="s">
        <v>30</v>
      </c>
      <c r="G550" s="9">
        <v>51.54</v>
      </c>
      <c r="H550" s="13">
        <v>5</v>
      </c>
      <c r="I550" s="17">
        <v>12.885</v>
      </c>
      <c r="J550" s="9">
        <v>270.58499999999998</v>
      </c>
      <c r="K550" s="21">
        <v>43491</v>
      </c>
      <c r="L550" s="3">
        <v>0.73958333333333337</v>
      </c>
      <c r="M550" s="7" t="s">
        <v>23</v>
      </c>
      <c r="N550" s="19">
        <v>257.7</v>
      </c>
      <c r="O550" s="15">
        <v>4.7619047620000003</v>
      </c>
      <c r="P550" s="9">
        <v>12.885</v>
      </c>
      <c r="Q550" s="11">
        <v>4.2</v>
      </c>
    </row>
    <row r="551" spans="1:17" x14ac:dyDescent="0.25">
      <c r="A551" s="5" t="s">
        <v>579</v>
      </c>
      <c r="B551" s="7" t="s">
        <v>13</v>
      </c>
      <c r="C551" s="7" t="s">
        <v>14</v>
      </c>
      <c r="D551" s="7" t="s">
        <v>21</v>
      </c>
      <c r="E551" s="7" t="s">
        <v>16</v>
      </c>
      <c r="F551" s="7" t="s">
        <v>22</v>
      </c>
      <c r="G551" s="9">
        <v>66.06</v>
      </c>
      <c r="H551" s="13">
        <v>6</v>
      </c>
      <c r="I551" s="17">
        <v>19.818000000000001</v>
      </c>
      <c r="J551" s="9">
        <v>416.178</v>
      </c>
      <c r="K551" s="21">
        <v>43488</v>
      </c>
      <c r="L551" s="3">
        <v>0.43611111111111112</v>
      </c>
      <c r="M551" s="7" t="s">
        <v>23</v>
      </c>
      <c r="N551" s="19">
        <v>396.36</v>
      </c>
      <c r="O551" s="15">
        <v>4.7619047620000003</v>
      </c>
      <c r="P551" s="9">
        <v>19.818000000000001</v>
      </c>
      <c r="Q551" s="11">
        <v>7.3</v>
      </c>
    </row>
    <row r="552" spans="1:17" x14ac:dyDescent="0.25">
      <c r="A552" s="5" t="s">
        <v>580</v>
      </c>
      <c r="B552" s="7" t="s">
        <v>36</v>
      </c>
      <c r="C552" s="7" t="s">
        <v>37</v>
      </c>
      <c r="D552" s="7" t="s">
        <v>21</v>
      </c>
      <c r="E552" s="7" t="s">
        <v>25</v>
      </c>
      <c r="F552" s="7" t="s">
        <v>40</v>
      </c>
      <c r="G552" s="9">
        <v>57.27</v>
      </c>
      <c r="H552" s="13">
        <v>3</v>
      </c>
      <c r="I552" s="17">
        <v>8.5905000000000005</v>
      </c>
      <c r="J552" s="9">
        <v>180.40049999999999</v>
      </c>
      <c r="K552" s="21">
        <v>43505</v>
      </c>
      <c r="L552" s="3">
        <v>0.85486111111111107</v>
      </c>
      <c r="M552" s="7" t="s">
        <v>18</v>
      </c>
      <c r="N552" s="19">
        <v>171.81</v>
      </c>
      <c r="O552" s="15">
        <v>4.7619047620000003</v>
      </c>
      <c r="P552" s="9">
        <v>8.5905000000000005</v>
      </c>
      <c r="Q552" s="11">
        <v>6.5</v>
      </c>
    </row>
    <row r="553" spans="1:17" x14ac:dyDescent="0.25">
      <c r="A553" s="5" t="s">
        <v>581</v>
      </c>
      <c r="B553" s="7" t="s">
        <v>36</v>
      </c>
      <c r="C553" s="7" t="s">
        <v>37</v>
      </c>
      <c r="D553" s="7" t="s">
        <v>21</v>
      </c>
      <c r="E553" s="7" t="s">
        <v>16</v>
      </c>
      <c r="F553" s="7" t="s">
        <v>40</v>
      </c>
      <c r="G553" s="9">
        <v>54.31</v>
      </c>
      <c r="H553" s="13">
        <v>9</v>
      </c>
      <c r="I553" s="17">
        <v>24.439499999999999</v>
      </c>
      <c r="J553" s="9">
        <v>513.22950000000003</v>
      </c>
      <c r="K553" s="21">
        <v>43518</v>
      </c>
      <c r="L553" s="3">
        <v>0.45069444444444445</v>
      </c>
      <c r="M553" s="7" t="s">
        <v>23</v>
      </c>
      <c r="N553" s="19">
        <v>488.79</v>
      </c>
      <c r="O553" s="15">
        <v>4.7619047620000003</v>
      </c>
      <c r="P553" s="9">
        <v>24.439499999999999</v>
      </c>
      <c r="Q553" s="11">
        <v>8.9</v>
      </c>
    </row>
    <row r="554" spans="1:17" x14ac:dyDescent="0.25">
      <c r="A554" s="5" t="s">
        <v>582</v>
      </c>
      <c r="B554" s="7" t="s">
        <v>36</v>
      </c>
      <c r="C554" s="7" t="s">
        <v>37</v>
      </c>
      <c r="D554" s="7" t="s">
        <v>21</v>
      </c>
      <c r="E554" s="7" t="s">
        <v>16</v>
      </c>
      <c r="F554" s="7" t="s">
        <v>17</v>
      </c>
      <c r="G554" s="9">
        <v>58.24</v>
      </c>
      <c r="H554" s="13">
        <v>9</v>
      </c>
      <c r="I554" s="17">
        <v>26.207999999999998</v>
      </c>
      <c r="J554" s="9">
        <v>550.36800000000005</v>
      </c>
      <c r="K554" s="21">
        <v>43501</v>
      </c>
      <c r="L554" s="3">
        <v>0.52361111111111114</v>
      </c>
      <c r="M554" s="7" t="s">
        <v>23</v>
      </c>
      <c r="N554" s="19">
        <v>524.16</v>
      </c>
      <c r="O554" s="15">
        <v>4.7619047620000003</v>
      </c>
      <c r="P554" s="9">
        <v>26.207999999999998</v>
      </c>
      <c r="Q554" s="11">
        <v>9.6999999999999993</v>
      </c>
    </row>
    <row r="555" spans="1:17" x14ac:dyDescent="0.25">
      <c r="A555" s="5" t="s">
        <v>583</v>
      </c>
      <c r="B555" s="7" t="s">
        <v>20</v>
      </c>
      <c r="C555" s="7" t="s">
        <v>1034</v>
      </c>
      <c r="D555" s="7" t="s">
        <v>21</v>
      </c>
      <c r="E555" s="7" t="s">
        <v>25</v>
      </c>
      <c r="F555" s="7" t="s">
        <v>22</v>
      </c>
      <c r="G555" s="9">
        <v>22.21</v>
      </c>
      <c r="H555" s="13">
        <v>6</v>
      </c>
      <c r="I555" s="17">
        <v>6.6630000000000003</v>
      </c>
      <c r="J555" s="9">
        <v>139.923</v>
      </c>
      <c r="K555" s="21">
        <v>43531</v>
      </c>
      <c r="L555" s="3">
        <v>0.43263888888888891</v>
      </c>
      <c r="M555" s="7" t="s">
        <v>27</v>
      </c>
      <c r="N555" s="19">
        <v>133.26</v>
      </c>
      <c r="O555" s="15">
        <v>4.7619047620000003</v>
      </c>
      <c r="P555" s="9">
        <v>6.6630000000000003</v>
      </c>
      <c r="Q555" s="11">
        <v>8.6</v>
      </c>
    </row>
    <row r="556" spans="1:17" x14ac:dyDescent="0.25">
      <c r="A556" s="5" t="s">
        <v>584</v>
      </c>
      <c r="B556" s="7" t="s">
        <v>13</v>
      </c>
      <c r="C556" s="7" t="s">
        <v>14</v>
      </c>
      <c r="D556" s="7" t="s">
        <v>15</v>
      </c>
      <c r="E556" s="7" t="s">
        <v>25</v>
      </c>
      <c r="F556" s="7" t="s">
        <v>22</v>
      </c>
      <c r="G556" s="9">
        <v>19.32</v>
      </c>
      <c r="H556" s="13">
        <v>7</v>
      </c>
      <c r="I556" s="17">
        <v>6.7619999999999996</v>
      </c>
      <c r="J556" s="9">
        <v>142.00200000000001</v>
      </c>
      <c r="K556" s="21">
        <v>43549</v>
      </c>
      <c r="L556" s="3">
        <v>0.78541666666666665</v>
      </c>
      <c r="M556" s="7" t="s">
        <v>23</v>
      </c>
      <c r="N556" s="19">
        <v>135.24</v>
      </c>
      <c r="O556" s="15">
        <v>4.7619047620000003</v>
      </c>
      <c r="P556" s="9">
        <v>6.7619999999999996</v>
      </c>
      <c r="Q556" s="11">
        <v>6.9</v>
      </c>
    </row>
    <row r="557" spans="1:17" x14ac:dyDescent="0.25">
      <c r="A557" s="5" t="s">
        <v>585</v>
      </c>
      <c r="B557" s="7" t="s">
        <v>36</v>
      </c>
      <c r="C557" s="7" t="s">
        <v>37</v>
      </c>
      <c r="D557" s="7" t="s">
        <v>21</v>
      </c>
      <c r="E557" s="7" t="s">
        <v>25</v>
      </c>
      <c r="F557" s="7" t="s">
        <v>26</v>
      </c>
      <c r="G557" s="9">
        <v>37.479999999999997</v>
      </c>
      <c r="H557" s="13">
        <v>3</v>
      </c>
      <c r="I557" s="17">
        <v>5.6219999999999999</v>
      </c>
      <c r="J557" s="9">
        <v>118.062</v>
      </c>
      <c r="K557" s="21">
        <v>43485</v>
      </c>
      <c r="L557" s="3">
        <v>0.57291666666666663</v>
      </c>
      <c r="M557" s="7" t="s">
        <v>27</v>
      </c>
      <c r="N557" s="19">
        <v>112.44</v>
      </c>
      <c r="O557" s="15">
        <v>4.7619047620000003</v>
      </c>
      <c r="P557" s="9">
        <v>5.6219999999999999</v>
      </c>
      <c r="Q557" s="11">
        <v>7.7</v>
      </c>
    </row>
    <row r="558" spans="1:17" x14ac:dyDescent="0.25">
      <c r="A558" s="5" t="s">
        <v>586</v>
      </c>
      <c r="B558" s="7" t="s">
        <v>36</v>
      </c>
      <c r="C558" s="7" t="s">
        <v>37</v>
      </c>
      <c r="D558" s="7" t="s">
        <v>15</v>
      </c>
      <c r="E558" s="7" t="s">
        <v>16</v>
      </c>
      <c r="F558" s="7" t="s">
        <v>40</v>
      </c>
      <c r="G558" s="9">
        <v>72.040000000000006</v>
      </c>
      <c r="H558" s="13">
        <v>2</v>
      </c>
      <c r="I558" s="17">
        <v>7.2039999999999997</v>
      </c>
      <c r="J558" s="9">
        <v>151.28399999999999</v>
      </c>
      <c r="K558" s="21">
        <v>43500</v>
      </c>
      <c r="L558" s="3">
        <v>0.81805555555555554</v>
      </c>
      <c r="M558" s="7" t="s">
        <v>23</v>
      </c>
      <c r="N558" s="19">
        <v>144.08000000000001</v>
      </c>
      <c r="O558" s="15">
        <v>4.7619047620000003</v>
      </c>
      <c r="P558" s="9">
        <v>7.2039999999999997</v>
      </c>
      <c r="Q558" s="11">
        <v>9.5</v>
      </c>
    </row>
    <row r="559" spans="1:17" x14ac:dyDescent="0.25">
      <c r="A559" s="5" t="s">
        <v>587</v>
      </c>
      <c r="B559" s="7" t="s">
        <v>20</v>
      </c>
      <c r="C559" s="7" t="s">
        <v>1034</v>
      </c>
      <c r="D559" s="7" t="s">
        <v>15</v>
      </c>
      <c r="E559" s="7" t="s">
        <v>16</v>
      </c>
      <c r="F559" s="7" t="s">
        <v>38</v>
      </c>
      <c r="G559" s="9">
        <v>98.52</v>
      </c>
      <c r="H559" s="13">
        <v>10</v>
      </c>
      <c r="I559" s="17">
        <v>49.26</v>
      </c>
      <c r="J559" s="9">
        <v>1034.46</v>
      </c>
      <c r="K559" s="21">
        <v>43495</v>
      </c>
      <c r="L559" s="3">
        <v>0.84930555555555554</v>
      </c>
      <c r="M559" s="7" t="s">
        <v>18</v>
      </c>
      <c r="N559" s="19">
        <v>985.2</v>
      </c>
      <c r="O559" s="15">
        <v>4.7619047620000003</v>
      </c>
      <c r="P559" s="9">
        <v>49.26</v>
      </c>
      <c r="Q559" s="11">
        <v>4.5</v>
      </c>
    </row>
    <row r="560" spans="1:17" x14ac:dyDescent="0.25">
      <c r="A560" s="5" t="s">
        <v>588</v>
      </c>
      <c r="B560" s="7" t="s">
        <v>13</v>
      </c>
      <c r="C560" s="7" t="s">
        <v>14</v>
      </c>
      <c r="D560" s="7" t="s">
        <v>15</v>
      </c>
      <c r="E560" s="7" t="s">
        <v>25</v>
      </c>
      <c r="F560" s="7" t="s">
        <v>38</v>
      </c>
      <c r="G560" s="9">
        <v>41.66</v>
      </c>
      <c r="H560" s="13">
        <v>6</v>
      </c>
      <c r="I560" s="17">
        <v>12.497999999999999</v>
      </c>
      <c r="J560" s="9">
        <v>262.45800000000003</v>
      </c>
      <c r="K560" s="21">
        <v>43467</v>
      </c>
      <c r="L560" s="3">
        <v>0.64166666666666672</v>
      </c>
      <c r="M560" s="7" t="s">
        <v>18</v>
      </c>
      <c r="N560" s="19">
        <v>249.96</v>
      </c>
      <c r="O560" s="15">
        <v>4.7619047620000003</v>
      </c>
      <c r="P560" s="9">
        <v>12.497999999999999</v>
      </c>
      <c r="Q560" s="11">
        <v>5.6</v>
      </c>
    </row>
    <row r="561" spans="1:17" x14ac:dyDescent="0.25">
      <c r="A561" s="5" t="s">
        <v>589</v>
      </c>
      <c r="B561" s="7" t="s">
        <v>13</v>
      </c>
      <c r="C561" s="7" t="s">
        <v>14</v>
      </c>
      <c r="D561" s="7" t="s">
        <v>15</v>
      </c>
      <c r="E561" s="7" t="s">
        <v>16</v>
      </c>
      <c r="F561" s="7" t="s">
        <v>26</v>
      </c>
      <c r="G561" s="9">
        <v>72.42</v>
      </c>
      <c r="H561" s="13">
        <v>3</v>
      </c>
      <c r="I561" s="17">
        <v>10.863</v>
      </c>
      <c r="J561" s="9">
        <v>228.12299999999999</v>
      </c>
      <c r="K561" s="21">
        <v>43553</v>
      </c>
      <c r="L561" s="3">
        <v>0.70416666666666672</v>
      </c>
      <c r="M561" s="7" t="s">
        <v>18</v>
      </c>
      <c r="N561" s="19">
        <v>217.26</v>
      </c>
      <c r="O561" s="15">
        <v>4.7619047620000003</v>
      </c>
      <c r="P561" s="9">
        <v>10.863</v>
      </c>
      <c r="Q561" s="11">
        <v>8.1999999999999993</v>
      </c>
    </row>
    <row r="562" spans="1:17" x14ac:dyDescent="0.25">
      <c r="A562" s="5" t="s">
        <v>590</v>
      </c>
      <c r="B562" s="7" t="s">
        <v>36</v>
      </c>
      <c r="C562" s="7" t="s">
        <v>37</v>
      </c>
      <c r="D562" s="7" t="s">
        <v>21</v>
      </c>
      <c r="E562" s="7" t="s">
        <v>25</v>
      </c>
      <c r="F562" s="7" t="s">
        <v>22</v>
      </c>
      <c r="G562" s="9">
        <v>21.58</v>
      </c>
      <c r="H562" s="13">
        <v>9</v>
      </c>
      <c r="I562" s="17">
        <v>9.7110000000000003</v>
      </c>
      <c r="J562" s="9">
        <v>203.93100000000001</v>
      </c>
      <c r="K562" s="21">
        <v>43538</v>
      </c>
      <c r="L562" s="3">
        <v>0.52222222222222225</v>
      </c>
      <c r="M562" s="7" t="s">
        <v>23</v>
      </c>
      <c r="N562" s="19">
        <v>194.22</v>
      </c>
      <c r="O562" s="15">
        <v>4.7619047620000003</v>
      </c>
      <c r="P562" s="9">
        <v>9.7110000000000003</v>
      </c>
      <c r="Q562" s="11">
        <v>7.3</v>
      </c>
    </row>
    <row r="563" spans="1:17" x14ac:dyDescent="0.25">
      <c r="A563" s="5" t="s">
        <v>591</v>
      </c>
      <c r="B563" s="7" t="s">
        <v>20</v>
      </c>
      <c r="C563" s="7" t="s">
        <v>1034</v>
      </c>
      <c r="D563" s="7" t="s">
        <v>21</v>
      </c>
      <c r="E563" s="7" t="s">
        <v>25</v>
      </c>
      <c r="F563" s="7" t="s">
        <v>38</v>
      </c>
      <c r="G563" s="9">
        <v>89.2</v>
      </c>
      <c r="H563" s="13">
        <v>10</v>
      </c>
      <c r="I563" s="17">
        <v>44.6</v>
      </c>
      <c r="J563" s="9">
        <v>936.6</v>
      </c>
      <c r="K563" s="21">
        <v>43507</v>
      </c>
      <c r="L563" s="3">
        <v>0.65416666666666667</v>
      </c>
      <c r="M563" s="7" t="s">
        <v>27</v>
      </c>
      <c r="N563" s="19">
        <v>892</v>
      </c>
      <c r="O563" s="15">
        <v>4.7619047620000003</v>
      </c>
      <c r="P563" s="9">
        <v>44.6</v>
      </c>
      <c r="Q563" s="11">
        <v>4.4000000000000004</v>
      </c>
    </row>
    <row r="564" spans="1:17" x14ac:dyDescent="0.25">
      <c r="A564" s="5" t="s">
        <v>592</v>
      </c>
      <c r="B564" s="7" t="s">
        <v>36</v>
      </c>
      <c r="C564" s="7" t="s">
        <v>37</v>
      </c>
      <c r="D564" s="7" t="s">
        <v>21</v>
      </c>
      <c r="E564" s="7" t="s">
        <v>16</v>
      </c>
      <c r="F564" s="7" t="s">
        <v>22</v>
      </c>
      <c r="G564" s="9">
        <v>42.42</v>
      </c>
      <c r="H564" s="13">
        <v>8</v>
      </c>
      <c r="I564" s="17">
        <v>16.968</v>
      </c>
      <c r="J564" s="9">
        <v>356.32799999999997</v>
      </c>
      <c r="K564" s="21">
        <v>43495</v>
      </c>
      <c r="L564" s="3">
        <v>0.58194444444444449</v>
      </c>
      <c r="M564" s="7" t="s">
        <v>18</v>
      </c>
      <c r="N564" s="19">
        <v>339.36</v>
      </c>
      <c r="O564" s="15">
        <v>4.7619047620000003</v>
      </c>
      <c r="P564" s="9">
        <v>16.968</v>
      </c>
      <c r="Q564" s="11">
        <v>5.7</v>
      </c>
    </row>
    <row r="565" spans="1:17" x14ac:dyDescent="0.25">
      <c r="A565" s="5" t="s">
        <v>593</v>
      </c>
      <c r="B565" s="7" t="s">
        <v>13</v>
      </c>
      <c r="C565" s="7" t="s">
        <v>14</v>
      </c>
      <c r="D565" s="7" t="s">
        <v>15</v>
      </c>
      <c r="E565" s="7" t="s">
        <v>25</v>
      </c>
      <c r="F565" s="7" t="s">
        <v>22</v>
      </c>
      <c r="G565" s="9">
        <v>74.510000000000005</v>
      </c>
      <c r="H565" s="13">
        <v>6</v>
      </c>
      <c r="I565" s="17">
        <v>22.353000000000002</v>
      </c>
      <c r="J565" s="9">
        <v>469.41300000000001</v>
      </c>
      <c r="K565" s="21">
        <v>43544</v>
      </c>
      <c r="L565" s="3">
        <v>0.63055555555555554</v>
      </c>
      <c r="M565" s="7" t="s">
        <v>18</v>
      </c>
      <c r="N565" s="19">
        <v>447.06</v>
      </c>
      <c r="O565" s="15">
        <v>4.7619047620000003</v>
      </c>
      <c r="P565" s="9">
        <v>22.353000000000002</v>
      </c>
      <c r="Q565" s="11">
        <v>5</v>
      </c>
    </row>
    <row r="566" spans="1:17" x14ac:dyDescent="0.25">
      <c r="A566" s="5" t="s">
        <v>594</v>
      </c>
      <c r="B566" s="7" t="s">
        <v>36</v>
      </c>
      <c r="C566" s="7" t="s">
        <v>37</v>
      </c>
      <c r="D566" s="7" t="s">
        <v>21</v>
      </c>
      <c r="E566" s="7" t="s">
        <v>25</v>
      </c>
      <c r="F566" s="7" t="s">
        <v>40</v>
      </c>
      <c r="G566" s="9">
        <v>99.25</v>
      </c>
      <c r="H566" s="13">
        <v>2</v>
      </c>
      <c r="I566" s="17">
        <v>9.9250000000000007</v>
      </c>
      <c r="J566" s="9">
        <v>208.42500000000001</v>
      </c>
      <c r="K566" s="21">
        <v>43544</v>
      </c>
      <c r="L566" s="3">
        <v>0.54305555555555551</v>
      </c>
      <c r="M566" s="7" t="s">
        <v>23</v>
      </c>
      <c r="N566" s="19">
        <v>198.5</v>
      </c>
      <c r="O566" s="15">
        <v>4.7619047620000003</v>
      </c>
      <c r="P566" s="9">
        <v>9.9250000000000007</v>
      </c>
      <c r="Q566" s="11">
        <v>9</v>
      </c>
    </row>
    <row r="567" spans="1:17" x14ac:dyDescent="0.25">
      <c r="A567" s="5" t="s">
        <v>595</v>
      </c>
      <c r="B567" s="7" t="s">
        <v>13</v>
      </c>
      <c r="C567" s="7" t="s">
        <v>14</v>
      </c>
      <c r="D567" s="7" t="s">
        <v>21</v>
      </c>
      <c r="E567" s="7" t="s">
        <v>16</v>
      </c>
      <c r="F567" s="7" t="s">
        <v>38</v>
      </c>
      <c r="G567" s="9">
        <v>81.209999999999994</v>
      </c>
      <c r="H567" s="13">
        <v>10</v>
      </c>
      <c r="I567" s="17">
        <v>40.604999999999997</v>
      </c>
      <c r="J567" s="9">
        <v>852.70500000000004</v>
      </c>
      <c r="K567" s="21">
        <v>43482</v>
      </c>
      <c r="L567" s="3">
        <v>0.54236111111111107</v>
      </c>
      <c r="M567" s="7" t="s">
        <v>27</v>
      </c>
      <c r="N567" s="19">
        <v>812.1</v>
      </c>
      <c r="O567" s="15">
        <v>4.7619047620000003</v>
      </c>
      <c r="P567" s="9">
        <v>40.604999999999997</v>
      </c>
      <c r="Q567" s="11">
        <v>6.3</v>
      </c>
    </row>
    <row r="568" spans="1:17" x14ac:dyDescent="0.25">
      <c r="A568" s="5" t="s">
        <v>596</v>
      </c>
      <c r="B568" s="7" t="s">
        <v>20</v>
      </c>
      <c r="C568" s="7" t="s">
        <v>1034</v>
      </c>
      <c r="D568" s="7" t="s">
        <v>21</v>
      </c>
      <c r="E568" s="7" t="s">
        <v>16</v>
      </c>
      <c r="F568" s="7" t="s">
        <v>30</v>
      </c>
      <c r="G568" s="9">
        <v>49.33</v>
      </c>
      <c r="H568" s="13">
        <v>10</v>
      </c>
      <c r="I568" s="17">
        <v>24.664999999999999</v>
      </c>
      <c r="J568" s="9">
        <v>517.96500000000003</v>
      </c>
      <c r="K568" s="21">
        <v>43499</v>
      </c>
      <c r="L568" s="3">
        <v>0.69444444444444442</v>
      </c>
      <c r="M568" s="7" t="s">
        <v>27</v>
      </c>
      <c r="N568" s="19">
        <v>493.3</v>
      </c>
      <c r="O568" s="15">
        <v>4.7619047620000003</v>
      </c>
      <c r="P568" s="9">
        <v>24.664999999999999</v>
      </c>
      <c r="Q568" s="11">
        <v>9.4</v>
      </c>
    </row>
    <row r="569" spans="1:17" x14ac:dyDescent="0.25">
      <c r="A569" s="5" t="s">
        <v>597</v>
      </c>
      <c r="B569" s="7" t="s">
        <v>13</v>
      </c>
      <c r="C569" s="7" t="s">
        <v>14</v>
      </c>
      <c r="D569" s="7" t="s">
        <v>21</v>
      </c>
      <c r="E569" s="7" t="s">
        <v>16</v>
      </c>
      <c r="F569" s="7" t="s">
        <v>40</v>
      </c>
      <c r="G569" s="9">
        <v>65.739999999999995</v>
      </c>
      <c r="H569" s="13">
        <v>9</v>
      </c>
      <c r="I569" s="17">
        <v>29.582999999999998</v>
      </c>
      <c r="J569" s="9">
        <v>621.24300000000005</v>
      </c>
      <c r="K569" s="21">
        <v>43466</v>
      </c>
      <c r="L569" s="3">
        <v>0.57986111111111116</v>
      </c>
      <c r="M569" s="7" t="s">
        <v>23</v>
      </c>
      <c r="N569" s="19">
        <v>591.66</v>
      </c>
      <c r="O569" s="15">
        <v>4.7619047620000003</v>
      </c>
      <c r="P569" s="9">
        <v>29.582999999999998</v>
      </c>
      <c r="Q569" s="11">
        <v>7.7</v>
      </c>
    </row>
    <row r="570" spans="1:17" x14ac:dyDescent="0.25">
      <c r="A570" s="5" t="s">
        <v>598</v>
      </c>
      <c r="B570" s="7" t="s">
        <v>36</v>
      </c>
      <c r="C570" s="7" t="s">
        <v>37</v>
      </c>
      <c r="D570" s="7" t="s">
        <v>21</v>
      </c>
      <c r="E570" s="7" t="s">
        <v>16</v>
      </c>
      <c r="F570" s="7" t="s">
        <v>40</v>
      </c>
      <c r="G570" s="9">
        <v>79.86</v>
      </c>
      <c r="H570" s="13">
        <v>7</v>
      </c>
      <c r="I570" s="17">
        <v>27.951000000000001</v>
      </c>
      <c r="J570" s="9">
        <v>586.971</v>
      </c>
      <c r="K570" s="21">
        <v>43475</v>
      </c>
      <c r="L570" s="3">
        <v>0.43958333333333333</v>
      </c>
      <c r="M570" s="7" t="s">
        <v>27</v>
      </c>
      <c r="N570" s="19">
        <v>559.02</v>
      </c>
      <c r="O570" s="15">
        <v>4.7619047620000003</v>
      </c>
      <c r="P570" s="9">
        <v>27.951000000000001</v>
      </c>
      <c r="Q570" s="11">
        <v>5.5</v>
      </c>
    </row>
    <row r="571" spans="1:17" x14ac:dyDescent="0.25">
      <c r="A571" s="5" t="s">
        <v>599</v>
      </c>
      <c r="B571" s="7" t="s">
        <v>20</v>
      </c>
      <c r="C571" s="7" t="s">
        <v>1034</v>
      </c>
      <c r="D571" s="7" t="s">
        <v>21</v>
      </c>
      <c r="E571" s="7" t="s">
        <v>16</v>
      </c>
      <c r="F571" s="7" t="s">
        <v>30</v>
      </c>
      <c r="G571" s="9">
        <v>73.98</v>
      </c>
      <c r="H571" s="13">
        <v>7</v>
      </c>
      <c r="I571" s="17">
        <v>25.893000000000001</v>
      </c>
      <c r="J571" s="9">
        <v>543.75300000000004</v>
      </c>
      <c r="K571" s="21">
        <v>43526</v>
      </c>
      <c r="L571" s="3">
        <v>0.6958333333333333</v>
      </c>
      <c r="M571" s="7" t="s">
        <v>18</v>
      </c>
      <c r="N571" s="19">
        <v>517.86</v>
      </c>
      <c r="O571" s="15">
        <v>4.7619047620000003</v>
      </c>
      <c r="P571" s="9">
        <v>25.893000000000001</v>
      </c>
      <c r="Q571" s="11">
        <v>4.0999999999999996</v>
      </c>
    </row>
    <row r="572" spans="1:17" x14ac:dyDescent="0.25">
      <c r="A572" s="5" t="s">
        <v>600</v>
      </c>
      <c r="B572" s="7" t="s">
        <v>36</v>
      </c>
      <c r="C572" s="7" t="s">
        <v>37</v>
      </c>
      <c r="D572" s="7" t="s">
        <v>15</v>
      </c>
      <c r="E572" s="7" t="s">
        <v>16</v>
      </c>
      <c r="F572" s="7" t="s">
        <v>26</v>
      </c>
      <c r="G572" s="9">
        <v>82.04</v>
      </c>
      <c r="H572" s="13">
        <v>5</v>
      </c>
      <c r="I572" s="17">
        <v>20.51</v>
      </c>
      <c r="J572" s="9">
        <v>430.71</v>
      </c>
      <c r="K572" s="21">
        <v>43521</v>
      </c>
      <c r="L572" s="3">
        <v>0.71944444444444444</v>
      </c>
      <c r="M572" s="7" t="s">
        <v>27</v>
      </c>
      <c r="N572" s="19">
        <v>410.2</v>
      </c>
      <c r="O572" s="15">
        <v>4.7619047620000003</v>
      </c>
      <c r="P572" s="9">
        <v>20.51</v>
      </c>
      <c r="Q572" s="11">
        <v>7.6</v>
      </c>
    </row>
    <row r="573" spans="1:17" x14ac:dyDescent="0.25">
      <c r="A573" s="5" t="s">
        <v>601</v>
      </c>
      <c r="B573" s="7" t="s">
        <v>36</v>
      </c>
      <c r="C573" s="7" t="s">
        <v>37</v>
      </c>
      <c r="D573" s="7" t="s">
        <v>15</v>
      </c>
      <c r="E573" s="7" t="s">
        <v>25</v>
      </c>
      <c r="F573" s="7" t="s">
        <v>30</v>
      </c>
      <c r="G573" s="9">
        <v>26.67</v>
      </c>
      <c r="H573" s="13">
        <v>10</v>
      </c>
      <c r="I573" s="17">
        <v>13.335000000000001</v>
      </c>
      <c r="J573" s="9">
        <v>280.03500000000003</v>
      </c>
      <c r="K573" s="21">
        <v>43494</v>
      </c>
      <c r="L573" s="3">
        <v>0.49166666666666664</v>
      </c>
      <c r="M573" s="7" t="s">
        <v>23</v>
      </c>
      <c r="N573" s="19">
        <v>266.7</v>
      </c>
      <c r="O573" s="15">
        <v>4.7619047620000003</v>
      </c>
      <c r="P573" s="9">
        <v>13.335000000000001</v>
      </c>
      <c r="Q573" s="11">
        <v>8.6</v>
      </c>
    </row>
    <row r="574" spans="1:17" x14ac:dyDescent="0.25">
      <c r="A574" s="5" t="s">
        <v>602</v>
      </c>
      <c r="B574" s="7" t="s">
        <v>13</v>
      </c>
      <c r="C574" s="7" t="s">
        <v>14</v>
      </c>
      <c r="D574" s="7" t="s">
        <v>15</v>
      </c>
      <c r="E574" s="7" t="s">
        <v>25</v>
      </c>
      <c r="F574" s="7" t="s">
        <v>38</v>
      </c>
      <c r="G574" s="9">
        <v>10.130000000000001</v>
      </c>
      <c r="H574" s="13">
        <v>7</v>
      </c>
      <c r="I574" s="17">
        <v>3.5455000000000001</v>
      </c>
      <c r="J574" s="9">
        <v>74.455500000000001</v>
      </c>
      <c r="K574" s="21">
        <v>43534</v>
      </c>
      <c r="L574" s="3">
        <v>0.81597222222222221</v>
      </c>
      <c r="M574" s="7" t="s">
        <v>18</v>
      </c>
      <c r="N574" s="19">
        <v>70.91</v>
      </c>
      <c r="O574" s="15">
        <v>4.7619047620000003</v>
      </c>
      <c r="P574" s="9">
        <v>3.5455000000000001</v>
      </c>
      <c r="Q574" s="11">
        <v>8.3000000000000007</v>
      </c>
    </row>
    <row r="575" spans="1:17" x14ac:dyDescent="0.25">
      <c r="A575" s="5" t="s">
        <v>603</v>
      </c>
      <c r="B575" s="7" t="s">
        <v>36</v>
      </c>
      <c r="C575" s="7" t="s">
        <v>37</v>
      </c>
      <c r="D575" s="7" t="s">
        <v>21</v>
      </c>
      <c r="E575" s="7" t="s">
        <v>25</v>
      </c>
      <c r="F575" s="7" t="s">
        <v>38</v>
      </c>
      <c r="G575" s="9">
        <v>72.39</v>
      </c>
      <c r="H575" s="13">
        <v>2</v>
      </c>
      <c r="I575" s="17">
        <v>7.2389999999999999</v>
      </c>
      <c r="J575" s="9">
        <v>152.01900000000001</v>
      </c>
      <c r="K575" s="21">
        <v>43478</v>
      </c>
      <c r="L575" s="3">
        <v>0.82986111111111116</v>
      </c>
      <c r="M575" s="7" t="s">
        <v>27</v>
      </c>
      <c r="N575" s="19">
        <v>144.78</v>
      </c>
      <c r="O575" s="15">
        <v>4.7619047620000003</v>
      </c>
      <c r="P575" s="9">
        <v>7.2389999999999999</v>
      </c>
      <c r="Q575" s="11">
        <v>8.1</v>
      </c>
    </row>
    <row r="576" spans="1:17" x14ac:dyDescent="0.25">
      <c r="A576" s="5" t="s">
        <v>604</v>
      </c>
      <c r="B576" s="7" t="s">
        <v>13</v>
      </c>
      <c r="C576" s="7" t="s">
        <v>14</v>
      </c>
      <c r="D576" s="7" t="s">
        <v>21</v>
      </c>
      <c r="E576" s="7" t="s">
        <v>25</v>
      </c>
      <c r="F576" s="7" t="s">
        <v>30</v>
      </c>
      <c r="G576" s="9">
        <v>85.91</v>
      </c>
      <c r="H576" s="13">
        <v>5</v>
      </c>
      <c r="I576" s="17">
        <v>21.477499999999999</v>
      </c>
      <c r="J576" s="9">
        <v>451.02749999999997</v>
      </c>
      <c r="K576" s="21">
        <v>43546</v>
      </c>
      <c r="L576" s="3">
        <v>0.60624999999999996</v>
      </c>
      <c r="M576" s="7" t="s">
        <v>27</v>
      </c>
      <c r="N576" s="19">
        <v>429.55</v>
      </c>
      <c r="O576" s="15">
        <v>4.7619047620000003</v>
      </c>
      <c r="P576" s="9">
        <v>21.477499999999999</v>
      </c>
      <c r="Q576" s="11">
        <v>8.6</v>
      </c>
    </row>
    <row r="577" spans="1:17" x14ac:dyDescent="0.25">
      <c r="A577" s="5" t="s">
        <v>605</v>
      </c>
      <c r="B577" s="7" t="s">
        <v>36</v>
      </c>
      <c r="C577" s="7" t="s">
        <v>37</v>
      </c>
      <c r="D577" s="7" t="s">
        <v>15</v>
      </c>
      <c r="E577" s="7" t="s">
        <v>25</v>
      </c>
      <c r="F577" s="7" t="s">
        <v>40</v>
      </c>
      <c r="G577" s="9">
        <v>81.31</v>
      </c>
      <c r="H577" s="13">
        <v>7</v>
      </c>
      <c r="I577" s="17">
        <v>28.458500000000001</v>
      </c>
      <c r="J577" s="9">
        <v>597.62850000000003</v>
      </c>
      <c r="K577" s="21">
        <v>43525</v>
      </c>
      <c r="L577" s="3">
        <v>0.8256944444444444</v>
      </c>
      <c r="M577" s="7" t="s">
        <v>18</v>
      </c>
      <c r="N577" s="19">
        <v>569.16999999999996</v>
      </c>
      <c r="O577" s="15">
        <v>4.7619047620000003</v>
      </c>
      <c r="P577" s="9">
        <v>28.458500000000001</v>
      </c>
      <c r="Q577" s="11">
        <v>6.3</v>
      </c>
    </row>
    <row r="578" spans="1:17" x14ac:dyDescent="0.25">
      <c r="A578" s="5" t="s">
        <v>606</v>
      </c>
      <c r="B578" s="7" t="s">
        <v>36</v>
      </c>
      <c r="C578" s="7" t="s">
        <v>37</v>
      </c>
      <c r="D578" s="7" t="s">
        <v>21</v>
      </c>
      <c r="E578" s="7" t="s">
        <v>25</v>
      </c>
      <c r="F578" s="7" t="s">
        <v>38</v>
      </c>
      <c r="G578" s="9">
        <v>60.3</v>
      </c>
      <c r="H578" s="13">
        <v>4</v>
      </c>
      <c r="I578" s="17">
        <v>12.06</v>
      </c>
      <c r="J578" s="9">
        <v>253.26</v>
      </c>
      <c r="K578" s="21">
        <v>43516</v>
      </c>
      <c r="L578" s="3">
        <v>0.77986111111111112</v>
      </c>
      <c r="M578" s="7" t="s">
        <v>23</v>
      </c>
      <c r="N578" s="19">
        <v>241.2</v>
      </c>
      <c r="O578" s="15">
        <v>4.7619047620000003</v>
      </c>
      <c r="P578" s="9">
        <v>12.06</v>
      </c>
      <c r="Q578" s="11">
        <v>5.8</v>
      </c>
    </row>
    <row r="579" spans="1:17" x14ac:dyDescent="0.25">
      <c r="A579" s="5" t="s">
        <v>607</v>
      </c>
      <c r="B579" s="7" t="s">
        <v>20</v>
      </c>
      <c r="C579" s="7" t="s">
        <v>1034</v>
      </c>
      <c r="D579" s="7" t="s">
        <v>21</v>
      </c>
      <c r="E579" s="7" t="s">
        <v>25</v>
      </c>
      <c r="F579" s="7" t="s">
        <v>38</v>
      </c>
      <c r="G579" s="9">
        <v>31.77</v>
      </c>
      <c r="H579" s="13">
        <v>4</v>
      </c>
      <c r="I579" s="17">
        <v>6.3540000000000001</v>
      </c>
      <c r="J579" s="9">
        <v>133.434</v>
      </c>
      <c r="K579" s="21">
        <v>43479</v>
      </c>
      <c r="L579" s="3">
        <v>0.61319444444444449</v>
      </c>
      <c r="M579" s="7" t="s">
        <v>18</v>
      </c>
      <c r="N579" s="19">
        <v>127.08</v>
      </c>
      <c r="O579" s="15">
        <v>4.7619047620000003</v>
      </c>
      <c r="P579" s="9">
        <v>6.3540000000000001</v>
      </c>
      <c r="Q579" s="11">
        <v>6.2</v>
      </c>
    </row>
    <row r="580" spans="1:17" x14ac:dyDescent="0.25">
      <c r="A580" s="5" t="s">
        <v>608</v>
      </c>
      <c r="B580" s="7" t="s">
        <v>13</v>
      </c>
      <c r="C580" s="7" t="s">
        <v>14</v>
      </c>
      <c r="D580" s="7" t="s">
        <v>21</v>
      </c>
      <c r="E580" s="7" t="s">
        <v>16</v>
      </c>
      <c r="F580" s="7" t="s">
        <v>17</v>
      </c>
      <c r="G580" s="9">
        <v>64.27</v>
      </c>
      <c r="H580" s="13">
        <v>4</v>
      </c>
      <c r="I580" s="17">
        <v>12.853999999999999</v>
      </c>
      <c r="J580" s="9">
        <v>269.93400000000003</v>
      </c>
      <c r="K580" s="21">
        <v>43550</v>
      </c>
      <c r="L580" s="3">
        <v>0.57916666666666672</v>
      </c>
      <c r="M580" s="7" t="s">
        <v>23</v>
      </c>
      <c r="N580" s="19">
        <v>257.08</v>
      </c>
      <c r="O580" s="15">
        <v>4.7619047620000003</v>
      </c>
      <c r="P580" s="9">
        <v>12.853999999999999</v>
      </c>
      <c r="Q580" s="11">
        <v>7.7</v>
      </c>
    </row>
    <row r="581" spans="1:17" x14ac:dyDescent="0.25">
      <c r="A581" s="5" t="s">
        <v>609</v>
      </c>
      <c r="B581" s="7" t="s">
        <v>36</v>
      </c>
      <c r="C581" s="7" t="s">
        <v>37</v>
      </c>
      <c r="D581" s="7" t="s">
        <v>21</v>
      </c>
      <c r="E581" s="7" t="s">
        <v>25</v>
      </c>
      <c r="F581" s="7" t="s">
        <v>17</v>
      </c>
      <c r="G581" s="9">
        <v>69.510000000000005</v>
      </c>
      <c r="H581" s="13">
        <v>2</v>
      </c>
      <c r="I581" s="17">
        <v>6.9509999999999996</v>
      </c>
      <c r="J581" s="9">
        <v>145.971</v>
      </c>
      <c r="K581" s="21">
        <v>43525</v>
      </c>
      <c r="L581" s="3">
        <v>0.51041666666666663</v>
      </c>
      <c r="M581" s="7" t="s">
        <v>18</v>
      </c>
      <c r="N581" s="19">
        <v>139.02000000000001</v>
      </c>
      <c r="O581" s="15">
        <v>4.7619047620000003</v>
      </c>
      <c r="P581" s="9">
        <v>6.9509999999999996</v>
      </c>
      <c r="Q581" s="11">
        <v>8.1</v>
      </c>
    </row>
    <row r="582" spans="1:17" x14ac:dyDescent="0.25">
      <c r="A582" s="5" t="s">
        <v>610</v>
      </c>
      <c r="B582" s="7" t="s">
        <v>20</v>
      </c>
      <c r="C582" s="7" t="s">
        <v>1034</v>
      </c>
      <c r="D582" s="7" t="s">
        <v>21</v>
      </c>
      <c r="E582" s="7" t="s">
        <v>25</v>
      </c>
      <c r="F582" s="7" t="s">
        <v>38</v>
      </c>
      <c r="G582" s="9">
        <v>27.22</v>
      </c>
      <c r="H582" s="13">
        <v>3</v>
      </c>
      <c r="I582" s="17">
        <v>4.0830000000000002</v>
      </c>
      <c r="J582" s="9">
        <v>85.742999999999995</v>
      </c>
      <c r="K582" s="21">
        <v>43472</v>
      </c>
      <c r="L582" s="3">
        <v>0.52569444444444446</v>
      </c>
      <c r="M582" s="7" t="s">
        <v>23</v>
      </c>
      <c r="N582" s="19">
        <v>81.66</v>
      </c>
      <c r="O582" s="15">
        <v>4.7619047620000003</v>
      </c>
      <c r="P582" s="9">
        <v>4.0830000000000002</v>
      </c>
      <c r="Q582" s="11">
        <v>7.3</v>
      </c>
    </row>
    <row r="583" spans="1:17" x14ac:dyDescent="0.25">
      <c r="A583" s="5" t="s">
        <v>611</v>
      </c>
      <c r="B583" s="7" t="s">
        <v>13</v>
      </c>
      <c r="C583" s="7" t="s">
        <v>14</v>
      </c>
      <c r="D583" s="7" t="s">
        <v>15</v>
      </c>
      <c r="E583" s="7" t="s">
        <v>16</v>
      </c>
      <c r="F583" s="7" t="s">
        <v>17</v>
      </c>
      <c r="G583" s="9">
        <v>77.680000000000007</v>
      </c>
      <c r="H583" s="13">
        <v>4</v>
      </c>
      <c r="I583" s="17">
        <v>15.536</v>
      </c>
      <c r="J583" s="9">
        <v>326.25599999999997</v>
      </c>
      <c r="K583" s="21">
        <v>43497</v>
      </c>
      <c r="L583" s="3">
        <v>0.82916666666666672</v>
      </c>
      <c r="M583" s="7" t="s">
        <v>23</v>
      </c>
      <c r="N583" s="19">
        <v>310.72000000000003</v>
      </c>
      <c r="O583" s="15">
        <v>4.7619047620000003</v>
      </c>
      <c r="P583" s="9">
        <v>15.536</v>
      </c>
      <c r="Q583" s="11">
        <v>8.4</v>
      </c>
    </row>
    <row r="584" spans="1:17" x14ac:dyDescent="0.25">
      <c r="A584" s="5" t="s">
        <v>612</v>
      </c>
      <c r="B584" s="7" t="s">
        <v>20</v>
      </c>
      <c r="C584" s="7" t="s">
        <v>1034</v>
      </c>
      <c r="D584" s="7" t="s">
        <v>15</v>
      </c>
      <c r="E584" s="7" t="s">
        <v>16</v>
      </c>
      <c r="F584" s="7" t="s">
        <v>40</v>
      </c>
      <c r="G584" s="9">
        <v>92.98</v>
      </c>
      <c r="H584" s="13">
        <v>2</v>
      </c>
      <c r="I584" s="17">
        <v>9.298</v>
      </c>
      <c r="J584" s="9">
        <v>195.25800000000001</v>
      </c>
      <c r="K584" s="21">
        <v>43509</v>
      </c>
      <c r="L584" s="3">
        <v>0.62916666666666665</v>
      </c>
      <c r="M584" s="7" t="s">
        <v>27</v>
      </c>
      <c r="N584" s="19">
        <v>185.96</v>
      </c>
      <c r="O584" s="15">
        <v>4.7619047620000003</v>
      </c>
      <c r="P584" s="9">
        <v>9.298</v>
      </c>
      <c r="Q584" s="11">
        <v>8</v>
      </c>
    </row>
    <row r="585" spans="1:17" x14ac:dyDescent="0.25">
      <c r="A585" s="5" t="s">
        <v>613</v>
      </c>
      <c r="B585" s="7" t="s">
        <v>36</v>
      </c>
      <c r="C585" s="7" t="s">
        <v>37</v>
      </c>
      <c r="D585" s="7" t="s">
        <v>15</v>
      </c>
      <c r="E585" s="7" t="s">
        <v>16</v>
      </c>
      <c r="F585" s="7" t="s">
        <v>40</v>
      </c>
      <c r="G585" s="9">
        <v>18.079999999999998</v>
      </c>
      <c r="H585" s="13">
        <v>4</v>
      </c>
      <c r="I585" s="17">
        <v>3.6160000000000001</v>
      </c>
      <c r="J585" s="9">
        <v>75.936000000000007</v>
      </c>
      <c r="K585" s="21">
        <v>43479</v>
      </c>
      <c r="L585" s="3">
        <v>0.75208333333333333</v>
      </c>
      <c r="M585" s="7" t="s">
        <v>27</v>
      </c>
      <c r="N585" s="19">
        <v>72.319999999999993</v>
      </c>
      <c r="O585" s="15">
        <v>4.7619047620000003</v>
      </c>
      <c r="P585" s="9">
        <v>3.6160000000000001</v>
      </c>
      <c r="Q585" s="11">
        <v>9.5</v>
      </c>
    </row>
    <row r="586" spans="1:17" x14ac:dyDescent="0.25">
      <c r="A586" s="5" t="s">
        <v>614</v>
      </c>
      <c r="B586" s="7" t="s">
        <v>36</v>
      </c>
      <c r="C586" s="7" t="s">
        <v>37</v>
      </c>
      <c r="D586" s="7" t="s">
        <v>21</v>
      </c>
      <c r="E586" s="7" t="s">
        <v>25</v>
      </c>
      <c r="F586" s="7" t="s">
        <v>30</v>
      </c>
      <c r="G586" s="9">
        <v>63.06</v>
      </c>
      <c r="H586" s="13">
        <v>3</v>
      </c>
      <c r="I586" s="17">
        <v>9.4589999999999996</v>
      </c>
      <c r="J586" s="9">
        <v>198.63900000000001</v>
      </c>
      <c r="K586" s="21">
        <v>43484</v>
      </c>
      <c r="L586" s="3">
        <v>0.66527777777777775</v>
      </c>
      <c r="M586" s="7" t="s">
        <v>18</v>
      </c>
      <c r="N586" s="19">
        <v>189.18</v>
      </c>
      <c r="O586" s="15">
        <v>4.7619047620000003</v>
      </c>
      <c r="P586" s="9">
        <v>9.4589999999999996</v>
      </c>
      <c r="Q586" s="11">
        <v>7</v>
      </c>
    </row>
    <row r="587" spans="1:17" x14ac:dyDescent="0.25">
      <c r="A587" s="5" t="s">
        <v>615</v>
      </c>
      <c r="B587" s="7" t="s">
        <v>13</v>
      </c>
      <c r="C587" s="7" t="s">
        <v>14</v>
      </c>
      <c r="D587" s="7" t="s">
        <v>21</v>
      </c>
      <c r="E587" s="7" t="s">
        <v>25</v>
      </c>
      <c r="F587" s="7" t="s">
        <v>17</v>
      </c>
      <c r="G587" s="9">
        <v>51.71</v>
      </c>
      <c r="H587" s="13">
        <v>4</v>
      </c>
      <c r="I587" s="17">
        <v>10.342000000000001</v>
      </c>
      <c r="J587" s="9">
        <v>217.18199999999999</v>
      </c>
      <c r="K587" s="21">
        <v>43533</v>
      </c>
      <c r="L587" s="3">
        <v>0.57847222222222228</v>
      </c>
      <c r="M587" s="7" t="s">
        <v>27</v>
      </c>
      <c r="N587" s="19">
        <v>206.84</v>
      </c>
      <c r="O587" s="15">
        <v>4.7619047620000003</v>
      </c>
      <c r="P587" s="9">
        <v>10.342000000000001</v>
      </c>
      <c r="Q587" s="11">
        <v>9.8000000000000007</v>
      </c>
    </row>
    <row r="588" spans="1:17" x14ac:dyDescent="0.25">
      <c r="A588" s="5" t="s">
        <v>616</v>
      </c>
      <c r="B588" s="7" t="s">
        <v>13</v>
      </c>
      <c r="C588" s="7" t="s">
        <v>14</v>
      </c>
      <c r="D588" s="7" t="s">
        <v>21</v>
      </c>
      <c r="E588" s="7" t="s">
        <v>16</v>
      </c>
      <c r="F588" s="7" t="s">
        <v>38</v>
      </c>
      <c r="G588" s="9">
        <v>52.34</v>
      </c>
      <c r="H588" s="13">
        <v>3</v>
      </c>
      <c r="I588" s="17">
        <v>7.851</v>
      </c>
      <c r="J588" s="9">
        <v>164.87100000000001</v>
      </c>
      <c r="K588" s="21">
        <v>43551</v>
      </c>
      <c r="L588" s="3">
        <v>0.5854166666666667</v>
      </c>
      <c r="M588" s="7" t="s">
        <v>23</v>
      </c>
      <c r="N588" s="19">
        <v>157.02000000000001</v>
      </c>
      <c r="O588" s="15">
        <v>4.7619047620000003</v>
      </c>
      <c r="P588" s="9">
        <v>7.851</v>
      </c>
      <c r="Q588" s="11">
        <v>9.1999999999999993</v>
      </c>
    </row>
    <row r="589" spans="1:17" x14ac:dyDescent="0.25">
      <c r="A589" s="5" t="s">
        <v>617</v>
      </c>
      <c r="B589" s="7" t="s">
        <v>13</v>
      </c>
      <c r="C589" s="7" t="s">
        <v>14</v>
      </c>
      <c r="D589" s="7" t="s">
        <v>21</v>
      </c>
      <c r="E589" s="7" t="s">
        <v>16</v>
      </c>
      <c r="F589" s="7" t="s">
        <v>30</v>
      </c>
      <c r="G589" s="9">
        <v>43.06</v>
      </c>
      <c r="H589" s="13">
        <v>5</v>
      </c>
      <c r="I589" s="17">
        <v>10.765000000000001</v>
      </c>
      <c r="J589" s="9">
        <v>226.065</v>
      </c>
      <c r="K589" s="21">
        <v>43500</v>
      </c>
      <c r="L589" s="3">
        <v>0.69305555555555554</v>
      </c>
      <c r="M589" s="7" t="s">
        <v>18</v>
      </c>
      <c r="N589" s="19">
        <v>215.3</v>
      </c>
      <c r="O589" s="15">
        <v>4.7619047620000003</v>
      </c>
      <c r="P589" s="9">
        <v>10.765000000000001</v>
      </c>
      <c r="Q589" s="11">
        <v>7.7</v>
      </c>
    </row>
    <row r="590" spans="1:17" x14ac:dyDescent="0.25">
      <c r="A590" s="5" t="s">
        <v>618</v>
      </c>
      <c r="B590" s="7" t="s">
        <v>20</v>
      </c>
      <c r="C590" s="7" t="s">
        <v>1034</v>
      </c>
      <c r="D590" s="7" t="s">
        <v>21</v>
      </c>
      <c r="E590" s="7" t="s">
        <v>25</v>
      </c>
      <c r="F590" s="7" t="s">
        <v>40</v>
      </c>
      <c r="G590" s="9">
        <v>59.61</v>
      </c>
      <c r="H590" s="13">
        <v>10</v>
      </c>
      <c r="I590" s="17">
        <v>29.805</v>
      </c>
      <c r="J590" s="9">
        <v>625.90499999999997</v>
      </c>
      <c r="K590" s="21">
        <v>43538</v>
      </c>
      <c r="L590" s="3">
        <v>0.46319444444444446</v>
      </c>
      <c r="M590" s="7" t="s">
        <v>23</v>
      </c>
      <c r="N590" s="19">
        <v>596.1</v>
      </c>
      <c r="O590" s="15">
        <v>4.7619047620000003</v>
      </c>
      <c r="P590" s="9">
        <v>29.805</v>
      </c>
      <c r="Q590" s="11">
        <v>5.3</v>
      </c>
    </row>
    <row r="591" spans="1:17" x14ac:dyDescent="0.25">
      <c r="A591" s="5" t="s">
        <v>619</v>
      </c>
      <c r="B591" s="7" t="s">
        <v>13</v>
      </c>
      <c r="C591" s="7" t="s">
        <v>14</v>
      </c>
      <c r="D591" s="7" t="s">
        <v>21</v>
      </c>
      <c r="E591" s="7" t="s">
        <v>25</v>
      </c>
      <c r="F591" s="7" t="s">
        <v>17</v>
      </c>
      <c r="G591" s="9">
        <v>14.62</v>
      </c>
      <c r="H591" s="13">
        <v>5</v>
      </c>
      <c r="I591" s="17">
        <v>3.6549999999999998</v>
      </c>
      <c r="J591" s="9">
        <v>76.754999999999995</v>
      </c>
      <c r="K591" s="21">
        <v>43528</v>
      </c>
      <c r="L591" s="3">
        <v>0.51597222222222228</v>
      </c>
      <c r="M591" s="7" t="s">
        <v>23</v>
      </c>
      <c r="N591" s="19">
        <v>73.099999999999994</v>
      </c>
      <c r="O591" s="15">
        <v>4.7619047620000003</v>
      </c>
      <c r="P591" s="9">
        <v>3.6549999999999998</v>
      </c>
      <c r="Q591" s="11">
        <v>4.4000000000000004</v>
      </c>
    </row>
    <row r="592" spans="1:17" x14ac:dyDescent="0.25">
      <c r="A592" s="5" t="s">
        <v>620</v>
      </c>
      <c r="B592" s="7" t="s">
        <v>20</v>
      </c>
      <c r="C592" s="7" t="s">
        <v>1034</v>
      </c>
      <c r="D592" s="7" t="s">
        <v>15</v>
      </c>
      <c r="E592" s="7" t="s">
        <v>25</v>
      </c>
      <c r="F592" s="7" t="s">
        <v>17</v>
      </c>
      <c r="G592" s="9">
        <v>46.53</v>
      </c>
      <c r="H592" s="13">
        <v>6</v>
      </c>
      <c r="I592" s="17">
        <v>13.959</v>
      </c>
      <c r="J592" s="9">
        <v>293.13900000000001</v>
      </c>
      <c r="K592" s="21">
        <v>43527</v>
      </c>
      <c r="L592" s="3">
        <v>0.45416666666666666</v>
      </c>
      <c r="M592" s="7" t="s">
        <v>27</v>
      </c>
      <c r="N592" s="19">
        <v>279.18</v>
      </c>
      <c r="O592" s="15">
        <v>4.7619047620000003</v>
      </c>
      <c r="P592" s="9">
        <v>13.959</v>
      </c>
      <c r="Q592" s="11">
        <v>4.3</v>
      </c>
    </row>
    <row r="593" spans="1:17" x14ac:dyDescent="0.25">
      <c r="A593" s="5" t="s">
        <v>621</v>
      </c>
      <c r="B593" s="7" t="s">
        <v>20</v>
      </c>
      <c r="C593" s="7" t="s">
        <v>1034</v>
      </c>
      <c r="D593" s="7" t="s">
        <v>15</v>
      </c>
      <c r="E593" s="7" t="s">
        <v>16</v>
      </c>
      <c r="F593" s="7" t="s">
        <v>26</v>
      </c>
      <c r="G593" s="9">
        <v>24.24</v>
      </c>
      <c r="H593" s="13">
        <v>7</v>
      </c>
      <c r="I593" s="17">
        <v>8.484</v>
      </c>
      <c r="J593" s="9">
        <v>178.16399999999999</v>
      </c>
      <c r="K593" s="21">
        <v>43492</v>
      </c>
      <c r="L593" s="3">
        <v>0.73472222222222228</v>
      </c>
      <c r="M593" s="7" t="s">
        <v>18</v>
      </c>
      <c r="N593" s="19">
        <v>169.68</v>
      </c>
      <c r="O593" s="15">
        <v>4.7619047620000003</v>
      </c>
      <c r="P593" s="9">
        <v>8.484</v>
      </c>
      <c r="Q593" s="11">
        <v>9.4</v>
      </c>
    </row>
    <row r="594" spans="1:17" x14ac:dyDescent="0.25">
      <c r="A594" s="5" t="s">
        <v>622</v>
      </c>
      <c r="B594" s="7" t="s">
        <v>13</v>
      </c>
      <c r="C594" s="7" t="s">
        <v>14</v>
      </c>
      <c r="D594" s="7" t="s">
        <v>15</v>
      </c>
      <c r="E594" s="7" t="s">
        <v>16</v>
      </c>
      <c r="F594" s="7" t="s">
        <v>30</v>
      </c>
      <c r="G594" s="9">
        <v>45.58</v>
      </c>
      <c r="H594" s="13">
        <v>1</v>
      </c>
      <c r="I594" s="17">
        <v>2.2789999999999999</v>
      </c>
      <c r="J594" s="9">
        <v>47.859000000000002</v>
      </c>
      <c r="K594" s="21">
        <v>43503</v>
      </c>
      <c r="L594" s="3">
        <v>0.59236111111111112</v>
      </c>
      <c r="M594" s="7" t="s">
        <v>23</v>
      </c>
      <c r="N594" s="19">
        <v>45.58</v>
      </c>
      <c r="O594" s="15">
        <v>4.7619047620000003</v>
      </c>
      <c r="P594" s="9">
        <v>2.2789999999999999</v>
      </c>
      <c r="Q594" s="11">
        <v>9.8000000000000007</v>
      </c>
    </row>
    <row r="595" spans="1:17" x14ac:dyDescent="0.25">
      <c r="A595" s="5" t="s">
        <v>623</v>
      </c>
      <c r="B595" s="7" t="s">
        <v>13</v>
      </c>
      <c r="C595" s="7" t="s">
        <v>14</v>
      </c>
      <c r="D595" s="7" t="s">
        <v>15</v>
      </c>
      <c r="E595" s="7" t="s">
        <v>16</v>
      </c>
      <c r="F595" s="7" t="s">
        <v>30</v>
      </c>
      <c r="G595" s="9">
        <v>75.2</v>
      </c>
      <c r="H595" s="13">
        <v>3</v>
      </c>
      <c r="I595" s="17">
        <v>11.28</v>
      </c>
      <c r="J595" s="9">
        <v>236.88</v>
      </c>
      <c r="K595" s="21">
        <v>43501</v>
      </c>
      <c r="L595" s="3">
        <v>0.49375000000000002</v>
      </c>
      <c r="M595" s="7" t="s">
        <v>18</v>
      </c>
      <c r="N595" s="19">
        <v>225.6</v>
      </c>
      <c r="O595" s="15">
        <v>4.7619047620000003</v>
      </c>
      <c r="P595" s="9">
        <v>11.28</v>
      </c>
      <c r="Q595" s="11">
        <v>4.8</v>
      </c>
    </row>
    <row r="596" spans="1:17" x14ac:dyDescent="0.25">
      <c r="A596" s="5" t="s">
        <v>624</v>
      </c>
      <c r="B596" s="7" t="s">
        <v>36</v>
      </c>
      <c r="C596" s="7" t="s">
        <v>37</v>
      </c>
      <c r="D596" s="7" t="s">
        <v>15</v>
      </c>
      <c r="E596" s="7" t="s">
        <v>25</v>
      </c>
      <c r="F596" s="7" t="s">
        <v>30</v>
      </c>
      <c r="G596" s="9">
        <v>96.8</v>
      </c>
      <c r="H596" s="13">
        <v>3</v>
      </c>
      <c r="I596" s="17">
        <v>14.52</v>
      </c>
      <c r="J596" s="9">
        <v>304.92</v>
      </c>
      <c r="K596" s="21">
        <v>43539</v>
      </c>
      <c r="L596" s="3">
        <v>0.54513888888888884</v>
      </c>
      <c r="M596" s="7" t="s">
        <v>23</v>
      </c>
      <c r="N596" s="19">
        <v>290.39999999999998</v>
      </c>
      <c r="O596" s="15">
        <v>4.7619047620000003</v>
      </c>
      <c r="P596" s="9">
        <v>14.52</v>
      </c>
      <c r="Q596" s="11">
        <v>5.3</v>
      </c>
    </row>
    <row r="597" spans="1:17" x14ac:dyDescent="0.25">
      <c r="A597" s="5" t="s">
        <v>625</v>
      </c>
      <c r="B597" s="7" t="s">
        <v>36</v>
      </c>
      <c r="C597" s="7" t="s">
        <v>37</v>
      </c>
      <c r="D597" s="7" t="s">
        <v>21</v>
      </c>
      <c r="E597" s="7" t="s">
        <v>25</v>
      </c>
      <c r="F597" s="7" t="s">
        <v>17</v>
      </c>
      <c r="G597" s="9">
        <v>14.82</v>
      </c>
      <c r="H597" s="13">
        <v>3</v>
      </c>
      <c r="I597" s="17">
        <v>2.2229999999999999</v>
      </c>
      <c r="J597" s="9">
        <v>46.683</v>
      </c>
      <c r="K597" s="21">
        <v>43525</v>
      </c>
      <c r="L597" s="3">
        <v>0.47916666666666669</v>
      </c>
      <c r="M597" s="7" t="s">
        <v>27</v>
      </c>
      <c r="N597" s="19">
        <v>44.46</v>
      </c>
      <c r="O597" s="15">
        <v>4.7619047620000003</v>
      </c>
      <c r="P597" s="9">
        <v>2.2229999999999999</v>
      </c>
      <c r="Q597" s="11">
        <v>8.6999999999999993</v>
      </c>
    </row>
    <row r="598" spans="1:17" x14ac:dyDescent="0.25">
      <c r="A598" s="5" t="s">
        <v>626</v>
      </c>
      <c r="B598" s="7" t="s">
        <v>13</v>
      </c>
      <c r="C598" s="7" t="s">
        <v>14</v>
      </c>
      <c r="D598" s="7" t="s">
        <v>21</v>
      </c>
      <c r="E598" s="7" t="s">
        <v>25</v>
      </c>
      <c r="F598" s="7" t="s">
        <v>38</v>
      </c>
      <c r="G598" s="9">
        <v>52.2</v>
      </c>
      <c r="H598" s="13">
        <v>3</v>
      </c>
      <c r="I598" s="17">
        <v>7.83</v>
      </c>
      <c r="J598" s="9">
        <v>164.43</v>
      </c>
      <c r="K598" s="21">
        <v>43511</v>
      </c>
      <c r="L598" s="3">
        <v>0.5625</v>
      </c>
      <c r="M598" s="7" t="s">
        <v>27</v>
      </c>
      <c r="N598" s="19">
        <v>156.6</v>
      </c>
      <c r="O598" s="15">
        <v>4.7619047620000003</v>
      </c>
      <c r="P598" s="9">
        <v>7.83</v>
      </c>
      <c r="Q598" s="11">
        <v>9.5</v>
      </c>
    </row>
    <row r="599" spans="1:17" x14ac:dyDescent="0.25">
      <c r="A599" s="5" t="s">
        <v>627</v>
      </c>
      <c r="B599" s="7" t="s">
        <v>20</v>
      </c>
      <c r="C599" s="7" t="s">
        <v>1034</v>
      </c>
      <c r="D599" s="7" t="s">
        <v>21</v>
      </c>
      <c r="E599" s="7" t="s">
        <v>16</v>
      </c>
      <c r="F599" s="7" t="s">
        <v>30</v>
      </c>
      <c r="G599" s="9">
        <v>46.66</v>
      </c>
      <c r="H599" s="13">
        <v>9</v>
      </c>
      <c r="I599" s="17">
        <v>20.997</v>
      </c>
      <c r="J599" s="9">
        <v>440.93700000000001</v>
      </c>
      <c r="K599" s="21">
        <v>43513</v>
      </c>
      <c r="L599" s="3">
        <v>0.7993055555555556</v>
      </c>
      <c r="M599" s="7" t="s">
        <v>18</v>
      </c>
      <c r="N599" s="19">
        <v>419.94</v>
      </c>
      <c r="O599" s="15">
        <v>4.7619047620000003</v>
      </c>
      <c r="P599" s="9">
        <v>20.997</v>
      </c>
      <c r="Q599" s="11">
        <v>5.3</v>
      </c>
    </row>
    <row r="600" spans="1:17" x14ac:dyDescent="0.25">
      <c r="A600" s="5" t="s">
        <v>628</v>
      </c>
      <c r="B600" s="7" t="s">
        <v>20</v>
      </c>
      <c r="C600" s="7" t="s">
        <v>1034</v>
      </c>
      <c r="D600" s="7" t="s">
        <v>21</v>
      </c>
      <c r="E600" s="7" t="s">
        <v>16</v>
      </c>
      <c r="F600" s="7" t="s">
        <v>40</v>
      </c>
      <c r="G600" s="9">
        <v>36.85</v>
      </c>
      <c r="H600" s="13">
        <v>5</v>
      </c>
      <c r="I600" s="17">
        <v>9.2125000000000004</v>
      </c>
      <c r="J600" s="9">
        <v>193.46250000000001</v>
      </c>
      <c r="K600" s="21">
        <v>43491</v>
      </c>
      <c r="L600" s="3">
        <v>0.78680555555555554</v>
      </c>
      <c r="M600" s="7" t="s">
        <v>23</v>
      </c>
      <c r="N600" s="19">
        <v>184.25</v>
      </c>
      <c r="O600" s="15">
        <v>4.7619047620000003</v>
      </c>
      <c r="P600" s="9">
        <v>9.2125000000000004</v>
      </c>
      <c r="Q600" s="11">
        <v>9.1999999999999993</v>
      </c>
    </row>
    <row r="601" spans="1:17" x14ac:dyDescent="0.25">
      <c r="A601" s="5" t="s">
        <v>629</v>
      </c>
      <c r="B601" s="7" t="s">
        <v>13</v>
      </c>
      <c r="C601" s="7" t="s">
        <v>14</v>
      </c>
      <c r="D601" s="7" t="s">
        <v>15</v>
      </c>
      <c r="E601" s="7" t="s">
        <v>16</v>
      </c>
      <c r="F601" s="7" t="s">
        <v>26</v>
      </c>
      <c r="G601" s="9">
        <v>70.319999999999993</v>
      </c>
      <c r="H601" s="13">
        <v>2</v>
      </c>
      <c r="I601" s="17">
        <v>7.032</v>
      </c>
      <c r="J601" s="9">
        <v>147.672</v>
      </c>
      <c r="K601" s="21">
        <v>43548</v>
      </c>
      <c r="L601" s="3">
        <v>0.59861111111111109</v>
      </c>
      <c r="M601" s="7" t="s">
        <v>18</v>
      </c>
      <c r="N601" s="19">
        <v>140.63999999999999</v>
      </c>
      <c r="O601" s="15">
        <v>4.7619047620000003</v>
      </c>
      <c r="P601" s="9">
        <v>7.032</v>
      </c>
      <c r="Q601" s="11">
        <v>9.6</v>
      </c>
    </row>
    <row r="602" spans="1:17" x14ac:dyDescent="0.25">
      <c r="A602" s="5" t="s">
        <v>630</v>
      </c>
      <c r="B602" s="7" t="s">
        <v>20</v>
      </c>
      <c r="C602" s="7" t="s">
        <v>1034</v>
      </c>
      <c r="D602" s="7" t="s">
        <v>21</v>
      </c>
      <c r="E602" s="7" t="s">
        <v>25</v>
      </c>
      <c r="F602" s="7" t="s">
        <v>22</v>
      </c>
      <c r="G602" s="9">
        <v>83.08</v>
      </c>
      <c r="H602" s="13">
        <v>1</v>
      </c>
      <c r="I602" s="17">
        <v>4.1539999999999999</v>
      </c>
      <c r="J602" s="9">
        <v>87.233999999999995</v>
      </c>
      <c r="K602" s="21">
        <v>43488</v>
      </c>
      <c r="L602" s="3">
        <v>0.71944444444444444</v>
      </c>
      <c r="M602" s="7" t="s">
        <v>18</v>
      </c>
      <c r="N602" s="19">
        <v>83.08</v>
      </c>
      <c r="O602" s="15">
        <v>4.7619047620000003</v>
      </c>
      <c r="P602" s="9">
        <v>4.1539999999999999</v>
      </c>
      <c r="Q602" s="11">
        <v>6.4</v>
      </c>
    </row>
    <row r="603" spans="1:17" x14ac:dyDescent="0.25">
      <c r="A603" s="5" t="s">
        <v>631</v>
      </c>
      <c r="B603" s="7" t="s">
        <v>20</v>
      </c>
      <c r="C603" s="7" t="s">
        <v>1034</v>
      </c>
      <c r="D603" s="7" t="s">
        <v>21</v>
      </c>
      <c r="E603" s="7" t="s">
        <v>16</v>
      </c>
      <c r="F603" s="7" t="s">
        <v>40</v>
      </c>
      <c r="G603" s="9">
        <v>64.989999999999995</v>
      </c>
      <c r="H603" s="13">
        <v>1</v>
      </c>
      <c r="I603" s="17">
        <v>3.2494999999999998</v>
      </c>
      <c r="J603" s="9">
        <v>68.239500000000007</v>
      </c>
      <c r="K603" s="21">
        <v>43491</v>
      </c>
      <c r="L603" s="3">
        <v>0.42083333333333334</v>
      </c>
      <c r="M603" s="7" t="s">
        <v>27</v>
      </c>
      <c r="N603" s="19">
        <v>64.989999999999995</v>
      </c>
      <c r="O603" s="15">
        <v>4.7619047620000003</v>
      </c>
      <c r="P603" s="9">
        <v>3.2494999999999998</v>
      </c>
      <c r="Q603" s="11">
        <v>4.5</v>
      </c>
    </row>
    <row r="604" spans="1:17" x14ac:dyDescent="0.25">
      <c r="A604" s="5" t="s">
        <v>632</v>
      </c>
      <c r="B604" s="7" t="s">
        <v>20</v>
      </c>
      <c r="C604" s="7" t="s">
        <v>1034</v>
      </c>
      <c r="D604" s="7" t="s">
        <v>21</v>
      </c>
      <c r="E604" s="7" t="s">
        <v>25</v>
      </c>
      <c r="F604" s="7" t="s">
        <v>38</v>
      </c>
      <c r="G604" s="9">
        <v>77.56</v>
      </c>
      <c r="H604" s="13">
        <v>10</v>
      </c>
      <c r="I604" s="17">
        <v>38.78</v>
      </c>
      <c r="J604" s="9">
        <v>814.38</v>
      </c>
      <c r="K604" s="21">
        <v>43538</v>
      </c>
      <c r="L604" s="3">
        <v>0.85763888888888884</v>
      </c>
      <c r="M604" s="7" t="s">
        <v>18</v>
      </c>
      <c r="N604" s="19">
        <v>775.6</v>
      </c>
      <c r="O604" s="15">
        <v>4.7619047620000003</v>
      </c>
      <c r="P604" s="9">
        <v>38.78</v>
      </c>
      <c r="Q604" s="11">
        <v>6.9</v>
      </c>
    </row>
    <row r="605" spans="1:17" x14ac:dyDescent="0.25">
      <c r="A605" s="5" t="s">
        <v>633</v>
      </c>
      <c r="B605" s="7" t="s">
        <v>36</v>
      </c>
      <c r="C605" s="7" t="s">
        <v>37</v>
      </c>
      <c r="D605" s="7" t="s">
        <v>21</v>
      </c>
      <c r="E605" s="7" t="s">
        <v>16</v>
      </c>
      <c r="F605" s="7" t="s">
        <v>30</v>
      </c>
      <c r="G605" s="9">
        <v>54.51</v>
      </c>
      <c r="H605" s="13">
        <v>6</v>
      </c>
      <c r="I605" s="17">
        <v>16.353000000000002</v>
      </c>
      <c r="J605" s="9">
        <v>343.41300000000001</v>
      </c>
      <c r="K605" s="21">
        <v>43541</v>
      </c>
      <c r="L605" s="3">
        <v>0.57916666666666672</v>
      </c>
      <c r="M605" s="7" t="s">
        <v>18</v>
      </c>
      <c r="N605" s="19">
        <v>327.06</v>
      </c>
      <c r="O605" s="15">
        <v>4.7619047620000003</v>
      </c>
      <c r="P605" s="9">
        <v>16.353000000000002</v>
      </c>
      <c r="Q605" s="11">
        <v>7.8</v>
      </c>
    </row>
    <row r="606" spans="1:17" x14ac:dyDescent="0.25">
      <c r="A606" s="5" t="s">
        <v>634</v>
      </c>
      <c r="B606" s="7" t="s">
        <v>20</v>
      </c>
      <c r="C606" s="7" t="s">
        <v>1034</v>
      </c>
      <c r="D606" s="7" t="s">
        <v>15</v>
      </c>
      <c r="E606" s="7" t="s">
        <v>16</v>
      </c>
      <c r="F606" s="7" t="s">
        <v>40</v>
      </c>
      <c r="G606" s="9">
        <v>51.89</v>
      </c>
      <c r="H606" s="13">
        <v>7</v>
      </c>
      <c r="I606" s="17">
        <v>18.1615</v>
      </c>
      <c r="J606" s="9">
        <v>381.39150000000001</v>
      </c>
      <c r="K606" s="21">
        <v>43473</v>
      </c>
      <c r="L606" s="3">
        <v>0.83888888888888891</v>
      </c>
      <c r="M606" s="7" t="s">
        <v>23</v>
      </c>
      <c r="N606" s="19">
        <v>363.23</v>
      </c>
      <c r="O606" s="15">
        <v>4.7619047620000003</v>
      </c>
      <c r="P606" s="9">
        <v>18.1615</v>
      </c>
      <c r="Q606" s="11">
        <v>4.5</v>
      </c>
    </row>
    <row r="607" spans="1:17" x14ac:dyDescent="0.25">
      <c r="A607" s="5" t="s">
        <v>635</v>
      </c>
      <c r="B607" s="7" t="s">
        <v>36</v>
      </c>
      <c r="C607" s="7" t="s">
        <v>37</v>
      </c>
      <c r="D607" s="7" t="s">
        <v>21</v>
      </c>
      <c r="E607" s="7" t="s">
        <v>25</v>
      </c>
      <c r="F607" s="7" t="s">
        <v>26</v>
      </c>
      <c r="G607" s="9">
        <v>31.75</v>
      </c>
      <c r="H607" s="13">
        <v>4</v>
      </c>
      <c r="I607" s="17">
        <v>6.35</v>
      </c>
      <c r="J607" s="9">
        <v>133.35</v>
      </c>
      <c r="K607" s="21">
        <v>43504</v>
      </c>
      <c r="L607" s="3">
        <v>0.6430555555555556</v>
      </c>
      <c r="M607" s="7" t="s">
        <v>23</v>
      </c>
      <c r="N607" s="19">
        <v>127</v>
      </c>
      <c r="O607" s="15">
        <v>4.7619047620000003</v>
      </c>
      <c r="P607" s="9">
        <v>6.35</v>
      </c>
      <c r="Q607" s="11">
        <v>8.6</v>
      </c>
    </row>
    <row r="608" spans="1:17" x14ac:dyDescent="0.25">
      <c r="A608" s="5" t="s">
        <v>636</v>
      </c>
      <c r="B608" s="7" t="s">
        <v>13</v>
      </c>
      <c r="C608" s="7" t="s">
        <v>14</v>
      </c>
      <c r="D608" s="7" t="s">
        <v>15</v>
      </c>
      <c r="E608" s="7" t="s">
        <v>16</v>
      </c>
      <c r="F608" s="7" t="s">
        <v>40</v>
      </c>
      <c r="G608" s="9">
        <v>53.65</v>
      </c>
      <c r="H608" s="13">
        <v>7</v>
      </c>
      <c r="I608" s="17">
        <v>18.7775</v>
      </c>
      <c r="J608" s="9">
        <v>394.32749999999999</v>
      </c>
      <c r="K608" s="21">
        <v>43506</v>
      </c>
      <c r="L608" s="3">
        <v>0.53888888888888886</v>
      </c>
      <c r="M608" s="7" t="s">
        <v>18</v>
      </c>
      <c r="N608" s="19">
        <v>375.55</v>
      </c>
      <c r="O608" s="15">
        <v>4.7619047620000003</v>
      </c>
      <c r="P608" s="9">
        <v>18.7775</v>
      </c>
      <c r="Q608" s="11">
        <v>5.2</v>
      </c>
    </row>
    <row r="609" spans="1:17" x14ac:dyDescent="0.25">
      <c r="A609" s="5" t="s">
        <v>637</v>
      </c>
      <c r="B609" s="7" t="s">
        <v>20</v>
      </c>
      <c r="C609" s="7" t="s">
        <v>1034</v>
      </c>
      <c r="D609" s="7" t="s">
        <v>15</v>
      </c>
      <c r="E609" s="7" t="s">
        <v>16</v>
      </c>
      <c r="F609" s="7" t="s">
        <v>38</v>
      </c>
      <c r="G609" s="9">
        <v>49.79</v>
      </c>
      <c r="H609" s="13">
        <v>4</v>
      </c>
      <c r="I609" s="17">
        <v>9.9580000000000002</v>
      </c>
      <c r="J609" s="9">
        <v>209.11799999999999</v>
      </c>
      <c r="K609" s="21">
        <v>43552</v>
      </c>
      <c r="L609" s="3">
        <v>0.80277777777777781</v>
      </c>
      <c r="M609" s="7" t="s">
        <v>27</v>
      </c>
      <c r="N609" s="19">
        <v>199.16</v>
      </c>
      <c r="O609" s="15">
        <v>4.7619047620000003</v>
      </c>
      <c r="P609" s="9">
        <v>9.9580000000000002</v>
      </c>
      <c r="Q609" s="11">
        <v>6.4</v>
      </c>
    </row>
    <row r="610" spans="1:17" x14ac:dyDescent="0.25">
      <c r="A610" s="5" t="s">
        <v>638</v>
      </c>
      <c r="B610" s="7" t="s">
        <v>13</v>
      </c>
      <c r="C610" s="7" t="s">
        <v>14</v>
      </c>
      <c r="D610" s="7" t="s">
        <v>21</v>
      </c>
      <c r="E610" s="7" t="s">
        <v>25</v>
      </c>
      <c r="F610" s="7" t="s">
        <v>40</v>
      </c>
      <c r="G610" s="9">
        <v>30.61</v>
      </c>
      <c r="H610" s="13">
        <v>1</v>
      </c>
      <c r="I610" s="17">
        <v>1.5305</v>
      </c>
      <c r="J610" s="9">
        <v>32.140500000000003</v>
      </c>
      <c r="K610" s="21">
        <v>43488</v>
      </c>
      <c r="L610" s="3">
        <v>0.51388888888888884</v>
      </c>
      <c r="M610" s="7" t="s">
        <v>18</v>
      </c>
      <c r="N610" s="19">
        <v>30.61</v>
      </c>
      <c r="O610" s="15">
        <v>4.7619047620000003</v>
      </c>
      <c r="P610" s="9">
        <v>1.5305</v>
      </c>
      <c r="Q610" s="11">
        <v>5.2</v>
      </c>
    </row>
    <row r="611" spans="1:17" x14ac:dyDescent="0.25">
      <c r="A611" s="5" t="s">
        <v>639</v>
      </c>
      <c r="B611" s="7" t="s">
        <v>36</v>
      </c>
      <c r="C611" s="7" t="s">
        <v>37</v>
      </c>
      <c r="D611" s="7" t="s">
        <v>15</v>
      </c>
      <c r="E611" s="7" t="s">
        <v>25</v>
      </c>
      <c r="F611" s="7" t="s">
        <v>38</v>
      </c>
      <c r="G611" s="9">
        <v>57.89</v>
      </c>
      <c r="H611" s="13">
        <v>2</v>
      </c>
      <c r="I611" s="17">
        <v>5.7889999999999997</v>
      </c>
      <c r="J611" s="9">
        <v>121.569</v>
      </c>
      <c r="K611" s="21">
        <v>43482</v>
      </c>
      <c r="L611" s="3">
        <v>0.44236111111111109</v>
      </c>
      <c r="M611" s="7" t="s">
        <v>18</v>
      </c>
      <c r="N611" s="19">
        <v>115.78</v>
      </c>
      <c r="O611" s="15">
        <v>4.7619047620000003</v>
      </c>
      <c r="P611" s="9">
        <v>5.7889999999999997</v>
      </c>
      <c r="Q611" s="11">
        <v>8.9</v>
      </c>
    </row>
    <row r="612" spans="1:17" x14ac:dyDescent="0.25">
      <c r="A612" s="5" t="s">
        <v>640</v>
      </c>
      <c r="B612" s="7" t="s">
        <v>13</v>
      </c>
      <c r="C612" s="7" t="s">
        <v>14</v>
      </c>
      <c r="D612" s="7" t="s">
        <v>21</v>
      </c>
      <c r="E612" s="7" t="s">
        <v>16</v>
      </c>
      <c r="F612" s="7" t="s">
        <v>22</v>
      </c>
      <c r="G612" s="9">
        <v>28.96</v>
      </c>
      <c r="H612" s="13">
        <v>1</v>
      </c>
      <c r="I612" s="17">
        <v>1.448</v>
      </c>
      <c r="J612" s="9">
        <v>30.408000000000001</v>
      </c>
      <c r="K612" s="21">
        <v>43503</v>
      </c>
      <c r="L612" s="3">
        <v>0.42916666666666664</v>
      </c>
      <c r="M612" s="7" t="s">
        <v>27</v>
      </c>
      <c r="N612" s="19">
        <v>28.96</v>
      </c>
      <c r="O612" s="15">
        <v>4.7619047620000003</v>
      </c>
      <c r="P612" s="9">
        <v>1.448</v>
      </c>
      <c r="Q612" s="11">
        <v>6.2</v>
      </c>
    </row>
    <row r="613" spans="1:17" x14ac:dyDescent="0.25">
      <c r="A613" s="5" t="s">
        <v>641</v>
      </c>
      <c r="B613" s="7" t="s">
        <v>20</v>
      </c>
      <c r="C613" s="7" t="s">
        <v>1034</v>
      </c>
      <c r="D613" s="7" t="s">
        <v>15</v>
      </c>
      <c r="E613" s="7" t="s">
        <v>16</v>
      </c>
      <c r="F613" s="7" t="s">
        <v>38</v>
      </c>
      <c r="G613" s="9">
        <v>98.97</v>
      </c>
      <c r="H613" s="13">
        <v>9</v>
      </c>
      <c r="I613" s="17">
        <v>44.536499999999997</v>
      </c>
      <c r="J613" s="9">
        <v>935.26649999999995</v>
      </c>
      <c r="K613" s="21">
        <v>43533</v>
      </c>
      <c r="L613" s="3">
        <v>0.47430555555555554</v>
      </c>
      <c r="M613" s="7" t="s">
        <v>23</v>
      </c>
      <c r="N613" s="19">
        <v>890.73</v>
      </c>
      <c r="O613" s="15">
        <v>4.7619047620000003</v>
      </c>
      <c r="P613" s="9">
        <v>44.536499999999997</v>
      </c>
      <c r="Q613" s="11">
        <v>6.7</v>
      </c>
    </row>
    <row r="614" spans="1:17" x14ac:dyDescent="0.25">
      <c r="A614" s="5" t="s">
        <v>642</v>
      </c>
      <c r="B614" s="7" t="s">
        <v>36</v>
      </c>
      <c r="C614" s="7" t="s">
        <v>37</v>
      </c>
      <c r="D614" s="7" t="s">
        <v>15</v>
      </c>
      <c r="E614" s="7" t="s">
        <v>25</v>
      </c>
      <c r="F614" s="7" t="s">
        <v>40</v>
      </c>
      <c r="G614" s="9">
        <v>93.22</v>
      </c>
      <c r="H614" s="13">
        <v>3</v>
      </c>
      <c r="I614" s="17">
        <v>13.983000000000001</v>
      </c>
      <c r="J614" s="9">
        <v>293.64299999999997</v>
      </c>
      <c r="K614" s="21">
        <v>43489</v>
      </c>
      <c r="L614" s="3">
        <v>0.48958333333333331</v>
      </c>
      <c r="M614" s="7" t="s">
        <v>23</v>
      </c>
      <c r="N614" s="19">
        <v>279.66000000000003</v>
      </c>
      <c r="O614" s="15">
        <v>4.7619047620000003</v>
      </c>
      <c r="P614" s="9">
        <v>13.983000000000001</v>
      </c>
      <c r="Q614" s="11">
        <v>7.2</v>
      </c>
    </row>
    <row r="615" spans="1:17" x14ac:dyDescent="0.25">
      <c r="A615" s="5" t="s">
        <v>643</v>
      </c>
      <c r="B615" s="7" t="s">
        <v>20</v>
      </c>
      <c r="C615" s="7" t="s">
        <v>1034</v>
      </c>
      <c r="D615" s="7" t="s">
        <v>15</v>
      </c>
      <c r="E615" s="7" t="s">
        <v>25</v>
      </c>
      <c r="F615" s="7" t="s">
        <v>30</v>
      </c>
      <c r="G615" s="9">
        <v>80.930000000000007</v>
      </c>
      <c r="H615" s="13">
        <v>1</v>
      </c>
      <c r="I615" s="17">
        <v>4.0465</v>
      </c>
      <c r="J615" s="9">
        <v>84.976500000000001</v>
      </c>
      <c r="K615" s="21">
        <v>43484</v>
      </c>
      <c r="L615" s="3">
        <v>0.67222222222222228</v>
      </c>
      <c r="M615" s="7" t="s">
        <v>27</v>
      </c>
      <c r="N615" s="19">
        <v>80.930000000000007</v>
      </c>
      <c r="O615" s="15">
        <v>4.7619047620000003</v>
      </c>
      <c r="P615" s="9">
        <v>4.0465</v>
      </c>
      <c r="Q615" s="11">
        <v>9</v>
      </c>
    </row>
    <row r="616" spans="1:17" x14ac:dyDescent="0.25">
      <c r="A616" s="5" t="s">
        <v>644</v>
      </c>
      <c r="B616" s="7" t="s">
        <v>13</v>
      </c>
      <c r="C616" s="7" t="s">
        <v>14</v>
      </c>
      <c r="D616" s="7" t="s">
        <v>15</v>
      </c>
      <c r="E616" s="7" t="s">
        <v>25</v>
      </c>
      <c r="F616" s="7" t="s">
        <v>38</v>
      </c>
      <c r="G616" s="9">
        <v>67.45</v>
      </c>
      <c r="H616" s="13">
        <v>10</v>
      </c>
      <c r="I616" s="17">
        <v>33.725000000000001</v>
      </c>
      <c r="J616" s="9">
        <v>708.22500000000002</v>
      </c>
      <c r="K616" s="21">
        <v>43499</v>
      </c>
      <c r="L616" s="3">
        <v>0.47569444444444442</v>
      </c>
      <c r="M616" s="7" t="s">
        <v>18</v>
      </c>
      <c r="N616" s="19">
        <v>674.5</v>
      </c>
      <c r="O616" s="15">
        <v>4.7619047620000003</v>
      </c>
      <c r="P616" s="9">
        <v>33.725000000000001</v>
      </c>
      <c r="Q616" s="11">
        <v>4.2</v>
      </c>
    </row>
    <row r="617" spans="1:17" x14ac:dyDescent="0.25">
      <c r="A617" s="5" t="s">
        <v>645</v>
      </c>
      <c r="B617" s="7" t="s">
        <v>13</v>
      </c>
      <c r="C617" s="7" t="s">
        <v>14</v>
      </c>
      <c r="D617" s="7" t="s">
        <v>15</v>
      </c>
      <c r="E617" s="7" t="s">
        <v>16</v>
      </c>
      <c r="F617" s="7" t="s">
        <v>30</v>
      </c>
      <c r="G617" s="9">
        <v>38.72</v>
      </c>
      <c r="H617" s="13">
        <v>9</v>
      </c>
      <c r="I617" s="17">
        <v>17.423999999999999</v>
      </c>
      <c r="J617" s="9">
        <v>365.904</v>
      </c>
      <c r="K617" s="21">
        <v>43544</v>
      </c>
      <c r="L617" s="3">
        <v>0.51666666666666672</v>
      </c>
      <c r="M617" s="7" t="s">
        <v>18</v>
      </c>
      <c r="N617" s="19">
        <v>348.48</v>
      </c>
      <c r="O617" s="15">
        <v>4.7619047620000003</v>
      </c>
      <c r="P617" s="9">
        <v>17.423999999999999</v>
      </c>
      <c r="Q617" s="11">
        <v>4.2</v>
      </c>
    </row>
    <row r="618" spans="1:17" x14ac:dyDescent="0.25">
      <c r="A618" s="5" t="s">
        <v>646</v>
      </c>
      <c r="B618" s="7" t="s">
        <v>36</v>
      </c>
      <c r="C618" s="7" t="s">
        <v>37</v>
      </c>
      <c r="D618" s="7" t="s">
        <v>15</v>
      </c>
      <c r="E618" s="7" t="s">
        <v>25</v>
      </c>
      <c r="F618" s="7" t="s">
        <v>30</v>
      </c>
      <c r="G618" s="9">
        <v>72.599999999999994</v>
      </c>
      <c r="H618" s="13">
        <v>6</v>
      </c>
      <c r="I618" s="17">
        <v>21.78</v>
      </c>
      <c r="J618" s="9">
        <v>457.38</v>
      </c>
      <c r="K618" s="21">
        <v>43478</v>
      </c>
      <c r="L618" s="3">
        <v>0.82708333333333328</v>
      </c>
      <c r="M618" s="7" t="s">
        <v>23</v>
      </c>
      <c r="N618" s="19">
        <v>435.6</v>
      </c>
      <c r="O618" s="15">
        <v>4.7619047620000003</v>
      </c>
      <c r="P618" s="9">
        <v>21.78</v>
      </c>
      <c r="Q618" s="11">
        <v>6.9</v>
      </c>
    </row>
    <row r="619" spans="1:17" x14ac:dyDescent="0.25">
      <c r="A619" s="5" t="s">
        <v>647</v>
      </c>
      <c r="B619" s="7" t="s">
        <v>20</v>
      </c>
      <c r="C619" s="7" t="s">
        <v>1034</v>
      </c>
      <c r="D619" s="7" t="s">
        <v>15</v>
      </c>
      <c r="E619" s="7" t="s">
        <v>25</v>
      </c>
      <c r="F619" s="7" t="s">
        <v>22</v>
      </c>
      <c r="G619" s="9">
        <v>87.91</v>
      </c>
      <c r="H619" s="13">
        <v>5</v>
      </c>
      <c r="I619" s="17">
        <v>21.977499999999999</v>
      </c>
      <c r="J619" s="9">
        <v>461.52749999999997</v>
      </c>
      <c r="K619" s="21">
        <v>43538</v>
      </c>
      <c r="L619" s="3">
        <v>0.75694444444444442</v>
      </c>
      <c r="M619" s="7" t="s">
        <v>18</v>
      </c>
      <c r="N619" s="19">
        <v>439.55</v>
      </c>
      <c r="O619" s="15">
        <v>4.7619047620000003</v>
      </c>
      <c r="P619" s="9">
        <v>21.977499999999999</v>
      </c>
      <c r="Q619" s="11">
        <v>4.4000000000000004</v>
      </c>
    </row>
    <row r="620" spans="1:17" x14ac:dyDescent="0.25">
      <c r="A620" s="5" t="s">
        <v>648</v>
      </c>
      <c r="B620" s="7" t="s">
        <v>13</v>
      </c>
      <c r="C620" s="7" t="s">
        <v>14</v>
      </c>
      <c r="D620" s="7" t="s">
        <v>15</v>
      </c>
      <c r="E620" s="7" t="s">
        <v>25</v>
      </c>
      <c r="F620" s="7" t="s">
        <v>38</v>
      </c>
      <c r="G620" s="9">
        <v>98.53</v>
      </c>
      <c r="H620" s="13">
        <v>6</v>
      </c>
      <c r="I620" s="17">
        <v>29.559000000000001</v>
      </c>
      <c r="J620" s="9">
        <v>620.73900000000003</v>
      </c>
      <c r="K620" s="21">
        <v>43488</v>
      </c>
      <c r="L620" s="3">
        <v>0.47361111111111109</v>
      </c>
      <c r="M620" s="7" t="s">
        <v>27</v>
      </c>
      <c r="N620" s="19">
        <v>591.17999999999995</v>
      </c>
      <c r="O620" s="15">
        <v>4.7619047620000003</v>
      </c>
      <c r="P620" s="9">
        <v>29.559000000000001</v>
      </c>
      <c r="Q620" s="11">
        <v>4</v>
      </c>
    </row>
    <row r="621" spans="1:17" x14ac:dyDescent="0.25">
      <c r="A621" s="5" t="s">
        <v>649</v>
      </c>
      <c r="B621" s="7" t="s">
        <v>20</v>
      </c>
      <c r="C621" s="7" t="s">
        <v>1034</v>
      </c>
      <c r="D621" s="7" t="s">
        <v>15</v>
      </c>
      <c r="E621" s="7" t="s">
        <v>16</v>
      </c>
      <c r="F621" s="7" t="s">
        <v>40</v>
      </c>
      <c r="G621" s="9">
        <v>43.46</v>
      </c>
      <c r="H621" s="13">
        <v>6</v>
      </c>
      <c r="I621" s="17">
        <v>13.038</v>
      </c>
      <c r="J621" s="9">
        <v>273.798</v>
      </c>
      <c r="K621" s="21">
        <v>43503</v>
      </c>
      <c r="L621" s="3">
        <v>0.74652777777777779</v>
      </c>
      <c r="M621" s="7" t="s">
        <v>18</v>
      </c>
      <c r="N621" s="19">
        <v>260.76</v>
      </c>
      <c r="O621" s="15">
        <v>4.7619047620000003</v>
      </c>
      <c r="P621" s="9">
        <v>13.038</v>
      </c>
      <c r="Q621" s="11">
        <v>8.5</v>
      </c>
    </row>
    <row r="622" spans="1:17" x14ac:dyDescent="0.25">
      <c r="A622" s="5" t="s">
        <v>650</v>
      </c>
      <c r="B622" s="7" t="s">
        <v>13</v>
      </c>
      <c r="C622" s="7" t="s">
        <v>14</v>
      </c>
      <c r="D622" s="7" t="s">
        <v>21</v>
      </c>
      <c r="E622" s="7" t="s">
        <v>16</v>
      </c>
      <c r="F622" s="7" t="s">
        <v>38</v>
      </c>
      <c r="G622" s="9">
        <v>71.680000000000007</v>
      </c>
      <c r="H622" s="13">
        <v>3</v>
      </c>
      <c r="I622" s="17">
        <v>10.752000000000001</v>
      </c>
      <c r="J622" s="9">
        <v>225.792</v>
      </c>
      <c r="K622" s="21">
        <v>43552</v>
      </c>
      <c r="L622" s="3">
        <v>0.64583333333333337</v>
      </c>
      <c r="M622" s="7" t="s">
        <v>27</v>
      </c>
      <c r="N622" s="19">
        <v>215.04</v>
      </c>
      <c r="O622" s="15">
        <v>4.7619047620000003</v>
      </c>
      <c r="P622" s="9">
        <v>10.752000000000001</v>
      </c>
      <c r="Q622" s="11">
        <v>9.1999999999999993</v>
      </c>
    </row>
    <row r="623" spans="1:17" x14ac:dyDescent="0.25">
      <c r="A623" s="5" t="s">
        <v>651</v>
      </c>
      <c r="B623" s="7" t="s">
        <v>13</v>
      </c>
      <c r="C623" s="7" t="s">
        <v>14</v>
      </c>
      <c r="D623" s="7" t="s">
        <v>15</v>
      </c>
      <c r="E623" s="7" t="s">
        <v>16</v>
      </c>
      <c r="F623" s="7" t="s">
        <v>38</v>
      </c>
      <c r="G623" s="9">
        <v>91.61</v>
      </c>
      <c r="H623" s="13">
        <v>1</v>
      </c>
      <c r="I623" s="17">
        <v>4.5804999999999998</v>
      </c>
      <c r="J623" s="9">
        <v>96.1905</v>
      </c>
      <c r="K623" s="21">
        <v>43544</v>
      </c>
      <c r="L623" s="3">
        <v>0.82222222222222219</v>
      </c>
      <c r="M623" s="7" t="s">
        <v>23</v>
      </c>
      <c r="N623" s="19">
        <v>91.61</v>
      </c>
      <c r="O623" s="15">
        <v>4.7619047620000003</v>
      </c>
      <c r="P623" s="9">
        <v>4.5804999999999998</v>
      </c>
      <c r="Q623" s="11">
        <v>9.8000000000000007</v>
      </c>
    </row>
    <row r="624" spans="1:17" x14ac:dyDescent="0.25">
      <c r="A624" s="5" t="s">
        <v>652</v>
      </c>
      <c r="B624" s="7" t="s">
        <v>36</v>
      </c>
      <c r="C624" s="7" t="s">
        <v>37</v>
      </c>
      <c r="D624" s="7" t="s">
        <v>15</v>
      </c>
      <c r="E624" s="7" t="s">
        <v>16</v>
      </c>
      <c r="F624" s="7" t="s">
        <v>26</v>
      </c>
      <c r="G624" s="9">
        <v>94.59</v>
      </c>
      <c r="H624" s="13">
        <v>7</v>
      </c>
      <c r="I624" s="17">
        <v>33.106499999999997</v>
      </c>
      <c r="J624" s="9">
        <v>695.23649999999998</v>
      </c>
      <c r="K624" s="21">
        <v>43482</v>
      </c>
      <c r="L624" s="3">
        <v>0.64375000000000004</v>
      </c>
      <c r="M624" s="7" t="s">
        <v>27</v>
      </c>
      <c r="N624" s="19">
        <v>662.13</v>
      </c>
      <c r="O624" s="15">
        <v>4.7619047620000003</v>
      </c>
      <c r="P624" s="9">
        <v>33.106499999999997</v>
      </c>
      <c r="Q624" s="11">
        <v>4.9000000000000004</v>
      </c>
    </row>
    <row r="625" spans="1:17" x14ac:dyDescent="0.25">
      <c r="A625" s="5" t="s">
        <v>653</v>
      </c>
      <c r="B625" s="7" t="s">
        <v>36</v>
      </c>
      <c r="C625" s="7" t="s">
        <v>37</v>
      </c>
      <c r="D625" s="7" t="s">
        <v>21</v>
      </c>
      <c r="E625" s="7" t="s">
        <v>16</v>
      </c>
      <c r="F625" s="7" t="s">
        <v>40</v>
      </c>
      <c r="G625" s="9">
        <v>83.25</v>
      </c>
      <c r="H625" s="13">
        <v>10</v>
      </c>
      <c r="I625" s="17">
        <v>41.625</v>
      </c>
      <c r="J625" s="9">
        <v>874.125</v>
      </c>
      <c r="K625" s="21">
        <v>43477</v>
      </c>
      <c r="L625" s="3">
        <v>0.47569444444444442</v>
      </c>
      <c r="M625" s="7" t="s">
        <v>27</v>
      </c>
      <c r="N625" s="19">
        <v>832.5</v>
      </c>
      <c r="O625" s="15">
        <v>4.7619047620000003</v>
      </c>
      <c r="P625" s="9">
        <v>41.625</v>
      </c>
      <c r="Q625" s="11">
        <v>4.4000000000000004</v>
      </c>
    </row>
    <row r="626" spans="1:17" x14ac:dyDescent="0.25">
      <c r="A626" s="5" t="s">
        <v>654</v>
      </c>
      <c r="B626" s="7" t="s">
        <v>36</v>
      </c>
      <c r="C626" s="7" t="s">
        <v>37</v>
      </c>
      <c r="D626" s="7" t="s">
        <v>15</v>
      </c>
      <c r="E626" s="7" t="s">
        <v>25</v>
      </c>
      <c r="F626" s="7" t="s">
        <v>40</v>
      </c>
      <c r="G626" s="9">
        <v>91.35</v>
      </c>
      <c r="H626" s="13">
        <v>1</v>
      </c>
      <c r="I626" s="17">
        <v>4.5674999999999999</v>
      </c>
      <c r="J626" s="9">
        <v>95.917500000000004</v>
      </c>
      <c r="K626" s="21">
        <v>43512</v>
      </c>
      <c r="L626" s="3">
        <v>0.65416666666666667</v>
      </c>
      <c r="M626" s="7" t="s">
        <v>23</v>
      </c>
      <c r="N626" s="19">
        <v>91.35</v>
      </c>
      <c r="O626" s="15">
        <v>4.7619047620000003</v>
      </c>
      <c r="P626" s="9">
        <v>4.5674999999999999</v>
      </c>
      <c r="Q626" s="11">
        <v>6.8</v>
      </c>
    </row>
    <row r="627" spans="1:17" x14ac:dyDescent="0.25">
      <c r="A627" s="5" t="s">
        <v>655</v>
      </c>
      <c r="B627" s="7" t="s">
        <v>36</v>
      </c>
      <c r="C627" s="7" t="s">
        <v>37</v>
      </c>
      <c r="D627" s="7" t="s">
        <v>15</v>
      </c>
      <c r="E627" s="7" t="s">
        <v>16</v>
      </c>
      <c r="F627" s="7" t="s">
        <v>38</v>
      </c>
      <c r="G627" s="9">
        <v>78.88</v>
      </c>
      <c r="H627" s="13">
        <v>2</v>
      </c>
      <c r="I627" s="17">
        <v>7.8879999999999999</v>
      </c>
      <c r="J627" s="9">
        <v>165.648</v>
      </c>
      <c r="K627" s="21">
        <v>43491</v>
      </c>
      <c r="L627" s="3">
        <v>0.6694444444444444</v>
      </c>
      <c r="M627" s="7" t="s">
        <v>23</v>
      </c>
      <c r="N627" s="19">
        <v>157.76</v>
      </c>
      <c r="O627" s="15">
        <v>4.7619047620000003</v>
      </c>
      <c r="P627" s="9">
        <v>7.8879999999999999</v>
      </c>
      <c r="Q627" s="11">
        <v>9.1</v>
      </c>
    </row>
    <row r="628" spans="1:17" x14ac:dyDescent="0.25">
      <c r="A628" s="5" t="s">
        <v>656</v>
      </c>
      <c r="B628" s="7" t="s">
        <v>13</v>
      </c>
      <c r="C628" s="7" t="s">
        <v>14</v>
      </c>
      <c r="D628" s="7" t="s">
        <v>21</v>
      </c>
      <c r="E628" s="7" t="s">
        <v>25</v>
      </c>
      <c r="F628" s="7" t="s">
        <v>30</v>
      </c>
      <c r="G628" s="9">
        <v>60.87</v>
      </c>
      <c r="H628" s="13">
        <v>2</v>
      </c>
      <c r="I628" s="17">
        <v>6.0869999999999997</v>
      </c>
      <c r="J628" s="9">
        <v>127.827</v>
      </c>
      <c r="K628" s="21">
        <v>43533</v>
      </c>
      <c r="L628" s="3">
        <v>0.52569444444444446</v>
      </c>
      <c r="M628" s="7" t="s">
        <v>18</v>
      </c>
      <c r="N628" s="19">
        <v>121.74</v>
      </c>
      <c r="O628" s="15">
        <v>4.7619047620000003</v>
      </c>
      <c r="P628" s="9">
        <v>6.0869999999999997</v>
      </c>
      <c r="Q628" s="11">
        <v>8.6999999999999993</v>
      </c>
    </row>
    <row r="629" spans="1:17" x14ac:dyDescent="0.25">
      <c r="A629" s="5" t="s">
        <v>657</v>
      </c>
      <c r="B629" s="7" t="s">
        <v>36</v>
      </c>
      <c r="C629" s="7" t="s">
        <v>37</v>
      </c>
      <c r="D629" s="7" t="s">
        <v>15</v>
      </c>
      <c r="E629" s="7" t="s">
        <v>25</v>
      </c>
      <c r="F629" s="7" t="s">
        <v>17</v>
      </c>
      <c r="G629" s="9">
        <v>82.58</v>
      </c>
      <c r="H629" s="13">
        <v>10</v>
      </c>
      <c r="I629" s="17">
        <v>41.29</v>
      </c>
      <c r="J629" s="9">
        <v>867.09</v>
      </c>
      <c r="K629" s="21">
        <v>43538</v>
      </c>
      <c r="L629" s="3">
        <v>0.6118055555555556</v>
      </c>
      <c r="M629" s="7" t="s">
        <v>23</v>
      </c>
      <c r="N629" s="19">
        <v>825.8</v>
      </c>
      <c r="O629" s="15">
        <v>4.7619047620000003</v>
      </c>
      <c r="P629" s="9">
        <v>41.29</v>
      </c>
      <c r="Q629" s="11">
        <v>5</v>
      </c>
    </row>
    <row r="630" spans="1:17" x14ac:dyDescent="0.25">
      <c r="A630" s="5" t="s">
        <v>658</v>
      </c>
      <c r="B630" s="7" t="s">
        <v>13</v>
      </c>
      <c r="C630" s="7" t="s">
        <v>14</v>
      </c>
      <c r="D630" s="7" t="s">
        <v>15</v>
      </c>
      <c r="E630" s="7" t="s">
        <v>25</v>
      </c>
      <c r="F630" s="7" t="s">
        <v>26</v>
      </c>
      <c r="G630" s="9">
        <v>53.3</v>
      </c>
      <c r="H630" s="13">
        <v>3</v>
      </c>
      <c r="I630" s="17">
        <v>7.9950000000000001</v>
      </c>
      <c r="J630" s="9">
        <v>167.89500000000001</v>
      </c>
      <c r="K630" s="21">
        <v>43490</v>
      </c>
      <c r="L630" s="3">
        <v>0.59652777777777777</v>
      </c>
      <c r="M630" s="7" t="s">
        <v>18</v>
      </c>
      <c r="N630" s="19">
        <v>159.9</v>
      </c>
      <c r="O630" s="15">
        <v>4.7619047620000003</v>
      </c>
      <c r="P630" s="9">
        <v>7.9950000000000001</v>
      </c>
      <c r="Q630" s="11">
        <v>7.5</v>
      </c>
    </row>
    <row r="631" spans="1:17" x14ac:dyDescent="0.25">
      <c r="A631" s="5" t="s">
        <v>659</v>
      </c>
      <c r="B631" s="7" t="s">
        <v>13</v>
      </c>
      <c r="C631" s="7" t="s">
        <v>14</v>
      </c>
      <c r="D631" s="7" t="s">
        <v>21</v>
      </c>
      <c r="E631" s="7" t="s">
        <v>16</v>
      </c>
      <c r="F631" s="7" t="s">
        <v>40</v>
      </c>
      <c r="G631" s="9">
        <v>12.09</v>
      </c>
      <c r="H631" s="13">
        <v>1</v>
      </c>
      <c r="I631" s="17">
        <v>0.60450000000000004</v>
      </c>
      <c r="J631" s="9">
        <v>12.6945</v>
      </c>
      <c r="K631" s="21">
        <v>43491</v>
      </c>
      <c r="L631" s="3">
        <v>0.7631944444444444</v>
      </c>
      <c r="M631" s="7" t="s">
        <v>27</v>
      </c>
      <c r="N631" s="19">
        <v>12.09</v>
      </c>
      <c r="O631" s="15">
        <v>4.7619047620000003</v>
      </c>
      <c r="P631" s="9">
        <v>0.60450000000000004</v>
      </c>
      <c r="Q631" s="11">
        <v>8.1999999999999993</v>
      </c>
    </row>
    <row r="632" spans="1:17" x14ac:dyDescent="0.25">
      <c r="A632" s="5" t="s">
        <v>660</v>
      </c>
      <c r="B632" s="7" t="s">
        <v>13</v>
      </c>
      <c r="C632" s="7" t="s">
        <v>14</v>
      </c>
      <c r="D632" s="7" t="s">
        <v>21</v>
      </c>
      <c r="E632" s="7" t="s">
        <v>25</v>
      </c>
      <c r="F632" s="7" t="s">
        <v>30</v>
      </c>
      <c r="G632" s="9">
        <v>64.19</v>
      </c>
      <c r="H632" s="13">
        <v>10</v>
      </c>
      <c r="I632" s="17">
        <v>32.094999999999999</v>
      </c>
      <c r="J632" s="9">
        <v>673.995</v>
      </c>
      <c r="K632" s="21">
        <v>43484</v>
      </c>
      <c r="L632" s="3">
        <v>0.58888888888888891</v>
      </c>
      <c r="M632" s="7" t="s">
        <v>27</v>
      </c>
      <c r="N632" s="19">
        <v>641.9</v>
      </c>
      <c r="O632" s="15">
        <v>4.7619047620000003</v>
      </c>
      <c r="P632" s="9">
        <v>32.094999999999999</v>
      </c>
      <c r="Q632" s="11">
        <v>6.7</v>
      </c>
    </row>
    <row r="633" spans="1:17" x14ac:dyDescent="0.25">
      <c r="A633" s="5" t="s">
        <v>661</v>
      </c>
      <c r="B633" s="7" t="s">
        <v>13</v>
      </c>
      <c r="C633" s="7" t="s">
        <v>14</v>
      </c>
      <c r="D633" s="7" t="s">
        <v>21</v>
      </c>
      <c r="E633" s="7" t="s">
        <v>25</v>
      </c>
      <c r="F633" s="7" t="s">
        <v>22</v>
      </c>
      <c r="G633" s="9">
        <v>78.31</v>
      </c>
      <c r="H633" s="13">
        <v>3</v>
      </c>
      <c r="I633" s="17">
        <v>11.746499999999999</v>
      </c>
      <c r="J633" s="9">
        <v>246.6765</v>
      </c>
      <c r="K633" s="21">
        <v>43529</v>
      </c>
      <c r="L633" s="3">
        <v>0.69305555555555554</v>
      </c>
      <c r="M633" s="7" t="s">
        <v>18</v>
      </c>
      <c r="N633" s="19">
        <v>234.93</v>
      </c>
      <c r="O633" s="15">
        <v>4.7619047620000003</v>
      </c>
      <c r="P633" s="9">
        <v>11.746499999999999</v>
      </c>
      <c r="Q633" s="11">
        <v>5.4</v>
      </c>
    </row>
    <row r="634" spans="1:17" x14ac:dyDescent="0.25">
      <c r="A634" s="5" t="s">
        <v>662</v>
      </c>
      <c r="B634" s="7" t="s">
        <v>13</v>
      </c>
      <c r="C634" s="7" t="s">
        <v>14</v>
      </c>
      <c r="D634" s="7" t="s">
        <v>15</v>
      </c>
      <c r="E634" s="7" t="s">
        <v>25</v>
      </c>
      <c r="F634" s="7" t="s">
        <v>38</v>
      </c>
      <c r="G634" s="9">
        <v>83.77</v>
      </c>
      <c r="H634" s="13">
        <v>2</v>
      </c>
      <c r="I634" s="17">
        <v>8.3770000000000007</v>
      </c>
      <c r="J634" s="9">
        <v>175.917</v>
      </c>
      <c r="K634" s="21">
        <v>43480</v>
      </c>
      <c r="L634" s="3">
        <v>0.45416666666666666</v>
      </c>
      <c r="M634" s="7" t="s">
        <v>27</v>
      </c>
      <c r="N634" s="19">
        <v>167.54</v>
      </c>
      <c r="O634" s="15">
        <v>4.7619047620000003</v>
      </c>
      <c r="P634" s="9">
        <v>8.3770000000000007</v>
      </c>
      <c r="Q634" s="11">
        <v>7</v>
      </c>
    </row>
    <row r="635" spans="1:17" x14ac:dyDescent="0.25">
      <c r="A635" s="5" t="s">
        <v>663</v>
      </c>
      <c r="B635" s="7" t="s">
        <v>36</v>
      </c>
      <c r="C635" s="7" t="s">
        <v>37</v>
      </c>
      <c r="D635" s="7" t="s">
        <v>21</v>
      </c>
      <c r="E635" s="7" t="s">
        <v>25</v>
      </c>
      <c r="F635" s="7" t="s">
        <v>26</v>
      </c>
      <c r="G635" s="9">
        <v>99.7</v>
      </c>
      <c r="H635" s="13">
        <v>3</v>
      </c>
      <c r="I635" s="17">
        <v>14.955</v>
      </c>
      <c r="J635" s="9">
        <v>314.05500000000001</v>
      </c>
      <c r="K635" s="21">
        <v>43542</v>
      </c>
      <c r="L635" s="3">
        <v>0.47847222222222224</v>
      </c>
      <c r="M635" s="7" t="s">
        <v>18</v>
      </c>
      <c r="N635" s="19">
        <v>299.10000000000002</v>
      </c>
      <c r="O635" s="15">
        <v>4.7619047620000003</v>
      </c>
      <c r="P635" s="9">
        <v>14.955</v>
      </c>
      <c r="Q635" s="11">
        <v>4.7</v>
      </c>
    </row>
    <row r="636" spans="1:17" x14ac:dyDescent="0.25">
      <c r="A636" s="5" t="s">
        <v>664</v>
      </c>
      <c r="B636" s="7" t="s">
        <v>36</v>
      </c>
      <c r="C636" s="7" t="s">
        <v>37</v>
      </c>
      <c r="D636" s="7" t="s">
        <v>15</v>
      </c>
      <c r="E636" s="7" t="s">
        <v>25</v>
      </c>
      <c r="F636" s="7" t="s">
        <v>38</v>
      </c>
      <c r="G636" s="9">
        <v>79.91</v>
      </c>
      <c r="H636" s="13">
        <v>3</v>
      </c>
      <c r="I636" s="17">
        <v>11.986499999999999</v>
      </c>
      <c r="J636" s="9">
        <v>251.7165</v>
      </c>
      <c r="K636" s="21">
        <v>43544</v>
      </c>
      <c r="L636" s="3">
        <v>0.81111111111111112</v>
      </c>
      <c r="M636" s="7" t="s">
        <v>27</v>
      </c>
      <c r="N636" s="19">
        <v>239.73</v>
      </c>
      <c r="O636" s="15">
        <v>4.7619047620000003</v>
      </c>
      <c r="P636" s="9">
        <v>11.986499999999999</v>
      </c>
      <c r="Q636" s="11">
        <v>5</v>
      </c>
    </row>
    <row r="637" spans="1:17" x14ac:dyDescent="0.25">
      <c r="A637" s="5" t="s">
        <v>665</v>
      </c>
      <c r="B637" s="7" t="s">
        <v>36</v>
      </c>
      <c r="C637" s="7" t="s">
        <v>37</v>
      </c>
      <c r="D637" s="7" t="s">
        <v>15</v>
      </c>
      <c r="E637" s="7" t="s">
        <v>25</v>
      </c>
      <c r="F637" s="7" t="s">
        <v>17</v>
      </c>
      <c r="G637" s="9">
        <v>66.47</v>
      </c>
      <c r="H637" s="13">
        <v>10</v>
      </c>
      <c r="I637" s="17">
        <v>33.234999999999999</v>
      </c>
      <c r="J637" s="9">
        <v>697.93499999999995</v>
      </c>
      <c r="K637" s="21">
        <v>43480</v>
      </c>
      <c r="L637" s="3">
        <v>0.62569444444444444</v>
      </c>
      <c r="M637" s="7" t="s">
        <v>27</v>
      </c>
      <c r="N637" s="19">
        <v>664.7</v>
      </c>
      <c r="O637" s="15">
        <v>4.7619047620000003</v>
      </c>
      <c r="P637" s="9">
        <v>33.234999999999999</v>
      </c>
      <c r="Q637" s="11">
        <v>5</v>
      </c>
    </row>
    <row r="638" spans="1:17" x14ac:dyDescent="0.25">
      <c r="A638" s="5" t="s">
        <v>666</v>
      </c>
      <c r="B638" s="7" t="s">
        <v>13</v>
      </c>
      <c r="C638" s="7" t="s">
        <v>14</v>
      </c>
      <c r="D638" s="7" t="s">
        <v>21</v>
      </c>
      <c r="E638" s="7" t="s">
        <v>25</v>
      </c>
      <c r="F638" s="7" t="s">
        <v>17</v>
      </c>
      <c r="G638" s="9">
        <v>28.95</v>
      </c>
      <c r="H638" s="13">
        <v>7</v>
      </c>
      <c r="I638" s="17">
        <v>10.1325</v>
      </c>
      <c r="J638" s="9">
        <v>212.7825</v>
      </c>
      <c r="K638" s="21">
        <v>43527</v>
      </c>
      <c r="L638" s="3">
        <v>0.85486111111111107</v>
      </c>
      <c r="M638" s="7" t="s">
        <v>27</v>
      </c>
      <c r="N638" s="19">
        <v>202.65</v>
      </c>
      <c r="O638" s="15">
        <v>4.7619047620000003</v>
      </c>
      <c r="P638" s="9">
        <v>10.1325</v>
      </c>
      <c r="Q638" s="11">
        <v>6</v>
      </c>
    </row>
    <row r="639" spans="1:17" x14ac:dyDescent="0.25">
      <c r="A639" s="5" t="s">
        <v>667</v>
      </c>
      <c r="B639" s="7" t="s">
        <v>20</v>
      </c>
      <c r="C639" s="7" t="s">
        <v>1034</v>
      </c>
      <c r="D639" s="7" t="s">
        <v>21</v>
      </c>
      <c r="E639" s="7" t="s">
        <v>16</v>
      </c>
      <c r="F639" s="7" t="s">
        <v>22</v>
      </c>
      <c r="G639" s="9">
        <v>46.2</v>
      </c>
      <c r="H639" s="13">
        <v>1</v>
      </c>
      <c r="I639" s="17">
        <v>2.31</v>
      </c>
      <c r="J639" s="9">
        <v>48.51</v>
      </c>
      <c r="K639" s="21">
        <v>43543</v>
      </c>
      <c r="L639" s="3">
        <v>0.51111111111111107</v>
      </c>
      <c r="M639" s="7" t="s">
        <v>23</v>
      </c>
      <c r="N639" s="19">
        <v>46.2</v>
      </c>
      <c r="O639" s="15">
        <v>4.7619047620000003</v>
      </c>
      <c r="P639" s="9">
        <v>2.31</v>
      </c>
      <c r="Q639" s="11">
        <v>6.3</v>
      </c>
    </row>
    <row r="640" spans="1:17" x14ac:dyDescent="0.25">
      <c r="A640" s="5" t="s">
        <v>668</v>
      </c>
      <c r="B640" s="7" t="s">
        <v>36</v>
      </c>
      <c r="C640" s="7" t="s">
        <v>37</v>
      </c>
      <c r="D640" s="7" t="s">
        <v>15</v>
      </c>
      <c r="E640" s="7" t="s">
        <v>16</v>
      </c>
      <c r="F640" s="7" t="s">
        <v>38</v>
      </c>
      <c r="G640" s="9">
        <v>17.63</v>
      </c>
      <c r="H640" s="13">
        <v>5</v>
      </c>
      <c r="I640" s="17">
        <v>4.4074999999999998</v>
      </c>
      <c r="J640" s="9">
        <v>92.557500000000005</v>
      </c>
      <c r="K640" s="21">
        <v>43532</v>
      </c>
      <c r="L640" s="3">
        <v>0.64375000000000004</v>
      </c>
      <c r="M640" s="7" t="s">
        <v>23</v>
      </c>
      <c r="N640" s="19">
        <v>88.15</v>
      </c>
      <c r="O640" s="15">
        <v>4.7619047620000003</v>
      </c>
      <c r="P640" s="9">
        <v>4.4074999999999998</v>
      </c>
      <c r="Q640" s="11">
        <v>8.5</v>
      </c>
    </row>
    <row r="641" spans="1:17" x14ac:dyDescent="0.25">
      <c r="A641" s="5" t="s">
        <v>669</v>
      </c>
      <c r="B641" s="7" t="s">
        <v>36</v>
      </c>
      <c r="C641" s="7" t="s">
        <v>37</v>
      </c>
      <c r="D641" s="7" t="s">
        <v>21</v>
      </c>
      <c r="E641" s="7" t="s">
        <v>25</v>
      </c>
      <c r="F641" s="7" t="s">
        <v>40</v>
      </c>
      <c r="G641" s="9">
        <v>52.42</v>
      </c>
      <c r="H641" s="13">
        <v>3</v>
      </c>
      <c r="I641" s="17">
        <v>7.8630000000000004</v>
      </c>
      <c r="J641" s="9">
        <v>165.12299999999999</v>
      </c>
      <c r="K641" s="21">
        <v>43523</v>
      </c>
      <c r="L641" s="3">
        <v>0.73333333333333328</v>
      </c>
      <c r="M641" s="7" t="s">
        <v>18</v>
      </c>
      <c r="N641" s="19">
        <v>157.26</v>
      </c>
      <c r="O641" s="15">
        <v>4.7619047620000003</v>
      </c>
      <c r="P641" s="9">
        <v>7.8630000000000004</v>
      </c>
      <c r="Q641" s="11">
        <v>7.5</v>
      </c>
    </row>
    <row r="642" spans="1:17" x14ac:dyDescent="0.25">
      <c r="A642" s="5" t="s">
        <v>670</v>
      </c>
      <c r="B642" s="7" t="s">
        <v>36</v>
      </c>
      <c r="C642" s="7" t="s">
        <v>37</v>
      </c>
      <c r="D642" s="7" t="s">
        <v>15</v>
      </c>
      <c r="E642" s="7" t="s">
        <v>16</v>
      </c>
      <c r="F642" s="7" t="s">
        <v>38</v>
      </c>
      <c r="G642" s="9">
        <v>98.79</v>
      </c>
      <c r="H642" s="13">
        <v>3</v>
      </c>
      <c r="I642" s="17">
        <v>14.8185</v>
      </c>
      <c r="J642" s="9">
        <v>311.18849999999998</v>
      </c>
      <c r="K642" s="21">
        <v>43519</v>
      </c>
      <c r="L642" s="3">
        <v>0.83333333333333337</v>
      </c>
      <c r="M642" s="7" t="s">
        <v>18</v>
      </c>
      <c r="N642" s="19">
        <v>296.37</v>
      </c>
      <c r="O642" s="15">
        <v>4.7619047620000003</v>
      </c>
      <c r="P642" s="9">
        <v>14.8185</v>
      </c>
      <c r="Q642" s="11">
        <v>6.4</v>
      </c>
    </row>
    <row r="643" spans="1:17" x14ac:dyDescent="0.25">
      <c r="A643" s="5" t="s">
        <v>671</v>
      </c>
      <c r="B643" s="7" t="s">
        <v>20</v>
      </c>
      <c r="C643" s="7" t="s">
        <v>1034</v>
      </c>
      <c r="D643" s="7" t="s">
        <v>15</v>
      </c>
      <c r="E643" s="7" t="s">
        <v>16</v>
      </c>
      <c r="F643" s="7" t="s">
        <v>22</v>
      </c>
      <c r="G643" s="9">
        <v>88.55</v>
      </c>
      <c r="H643" s="13">
        <v>8</v>
      </c>
      <c r="I643" s="17">
        <v>35.42</v>
      </c>
      <c r="J643" s="9">
        <v>743.82</v>
      </c>
      <c r="K643" s="21">
        <v>43543</v>
      </c>
      <c r="L643" s="3">
        <v>0.64513888888888893</v>
      </c>
      <c r="M643" s="7" t="s">
        <v>18</v>
      </c>
      <c r="N643" s="19">
        <v>708.4</v>
      </c>
      <c r="O643" s="15">
        <v>4.7619047620000003</v>
      </c>
      <c r="P643" s="9">
        <v>35.42</v>
      </c>
      <c r="Q643" s="11">
        <v>4.7</v>
      </c>
    </row>
    <row r="644" spans="1:17" x14ac:dyDescent="0.25">
      <c r="A644" s="5" t="s">
        <v>672</v>
      </c>
      <c r="B644" s="7" t="s">
        <v>36</v>
      </c>
      <c r="C644" s="7" t="s">
        <v>37</v>
      </c>
      <c r="D644" s="7" t="s">
        <v>15</v>
      </c>
      <c r="E644" s="7" t="s">
        <v>25</v>
      </c>
      <c r="F644" s="7" t="s">
        <v>22</v>
      </c>
      <c r="G644" s="9">
        <v>55.67</v>
      </c>
      <c r="H644" s="13">
        <v>2</v>
      </c>
      <c r="I644" s="17">
        <v>5.5670000000000002</v>
      </c>
      <c r="J644" s="9">
        <v>116.907</v>
      </c>
      <c r="K644" s="21">
        <v>43551</v>
      </c>
      <c r="L644" s="3">
        <v>0.63055555555555554</v>
      </c>
      <c r="M644" s="7" t="s">
        <v>18</v>
      </c>
      <c r="N644" s="19">
        <v>111.34</v>
      </c>
      <c r="O644" s="15">
        <v>4.7619047620000003</v>
      </c>
      <c r="P644" s="9">
        <v>5.5670000000000002</v>
      </c>
      <c r="Q644" s="11">
        <v>6</v>
      </c>
    </row>
    <row r="645" spans="1:17" x14ac:dyDescent="0.25">
      <c r="A645" s="5" t="s">
        <v>673</v>
      </c>
      <c r="B645" s="7" t="s">
        <v>20</v>
      </c>
      <c r="C645" s="7" t="s">
        <v>1034</v>
      </c>
      <c r="D645" s="7" t="s">
        <v>15</v>
      </c>
      <c r="E645" s="7" t="s">
        <v>16</v>
      </c>
      <c r="F645" s="7" t="s">
        <v>38</v>
      </c>
      <c r="G645" s="9">
        <v>72.52</v>
      </c>
      <c r="H645" s="13">
        <v>8</v>
      </c>
      <c r="I645" s="17">
        <v>29.007999999999999</v>
      </c>
      <c r="J645" s="9">
        <v>609.16800000000001</v>
      </c>
      <c r="K645" s="21">
        <v>43554</v>
      </c>
      <c r="L645" s="3">
        <v>0.80972222222222223</v>
      </c>
      <c r="M645" s="7" t="s">
        <v>27</v>
      </c>
      <c r="N645" s="19">
        <v>580.16</v>
      </c>
      <c r="O645" s="15">
        <v>4.7619047620000003</v>
      </c>
      <c r="P645" s="9">
        <v>29.007999999999999</v>
      </c>
      <c r="Q645" s="11">
        <v>4</v>
      </c>
    </row>
    <row r="646" spans="1:17" x14ac:dyDescent="0.25">
      <c r="A646" s="5" t="s">
        <v>674</v>
      </c>
      <c r="B646" s="7" t="s">
        <v>20</v>
      </c>
      <c r="C646" s="7" t="s">
        <v>1034</v>
      </c>
      <c r="D646" s="7" t="s">
        <v>15</v>
      </c>
      <c r="E646" s="7" t="s">
        <v>25</v>
      </c>
      <c r="F646" s="7" t="s">
        <v>22</v>
      </c>
      <c r="G646" s="9">
        <v>12.05</v>
      </c>
      <c r="H646" s="13">
        <v>5</v>
      </c>
      <c r="I646" s="17">
        <v>3.0125000000000002</v>
      </c>
      <c r="J646" s="9">
        <v>63.262500000000003</v>
      </c>
      <c r="K646" s="21">
        <v>43512</v>
      </c>
      <c r="L646" s="3">
        <v>0.66180555555555554</v>
      </c>
      <c r="M646" s="7" t="s">
        <v>18</v>
      </c>
      <c r="N646" s="19">
        <v>60.25</v>
      </c>
      <c r="O646" s="15">
        <v>4.7619047620000003</v>
      </c>
      <c r="P646" s="9">
        <v>3.0125000000000002</v>
      </c>
      <c r="Q646" s="11">
        <v>5.5</v>
      </c>
    </row>
    <row r="647" spans="1:17" x14ac:dyDescent="0.25">
      <c r="A647" s="5" t="s">
        <v>675</v>
      </c>
      <c r="B647" s="7" t="s">
        <v>13</v>
      </c>
      <c r="C647" s="7" t="s">
        <v>14</v>
      </c>
      <c r="D647" s="7" t="s">
        <v>15</v>
      </c>
      <c r="E647" s="7" t="s">
        <v>25</v>
      </c>
      <c r="F647" s="7" t="s">
        <v>26</v>
      </c>
      <c r="G647" s="9">
        <v>19.36</v>
      </c>
      <c r="H647" s="13">
        <v>9</v>
      </c>
      <c r="I647" s="17">
        <v>8.7119999999999997</v>
      </c>
      <c r="J647" s="9">
        <v>182.952</v>
      </c>
      <c r="K647" s="21">
        <v>43483</v>
      </c>
      <c r="L647" s="3">
        <v>0.77986111111111112</v>
      </c>
      <c r="M647" s="7" t="s">
        <v>18</v>
      </c>
      <c r="N647" s="19">
        <v>174.24</v>
      </c>
      <c r="O647" s="15">
        <v>4.7619047620000003</v>
      </c>
      <c r="P647" s="9">
        <v>8.7119999999999997</v>
      </c>
      <c r="Q647" s="11">
        <v>8.6999999999999993</v>
      </c>
    </row>
    <row r="648" spans="1:17" x14ac:dyDescent="0.25">
      <c r="A648" s="5" t="s">
        <v>676</v>
      </c>
      <c r="B648" s="7" t="s">
        <v>20</v>
      </c>
      <c r="C648" s="7" t="s">
        <v>1034</v>
      </c>
      <c r="D648" s="7" t="s">
        <v>21</v>
      </c>
      <c r="E648" s="7" t="s">
        <v>25</v>
      </c>
      <c r="F648" s="7" t="s">
        <v>17</v>
      </c>
      <c r="G648" s="9">
        <v>70.209999999999994</v>
      </c>
      <c r="H648" s="13">
        <v>6</v>
      </c>
      <c r="I648" s="17">
        <v>21.062999999999999</v>
      </c>
      <c r="J648" s="9">
        <v>442.32299999999998</v>
      </c>
      <c r="K648" s="21">
        <v>43554</v>
      </c>
      <c r="L648" s="3">
        <v>0.62361111111111112</v>
      </c>
      <c r="M648" s="7" t="s">
        <v>23</v>
      </c>
      <c r="N648" s="19">
        <v>421.26</v>
      </c>
      <c r="O648" s="15">
        <v>4.7619047620000003</v>
      </c>
      <c r="P648" s="9">
        <v>21.062999999999999</v>
      </c>
      <c r="Q648" s="11">
        <v>7.4</v>
      </c>
    </row>
    <row r="649" spans="1:17" x14ac:dyDescent="0.25">
      <c r="A649" s="5" t="s">
        <v>677</v>
      </c>
      <c r="B649" s="7" t="s">
        <v>36</v>
      </c>
      <c r="C649" s="7" t="s">
        <v>37</v>
      </c>
      <c r="D649" s="7" t="s">
        <v>15</v>
      </c>
      <c r="E649" s="7" t="s">
        <v>25</v>
      </c>
      <c r="F649" s="7" t="s">
        <v>40</v>
      </c>
      <c r="G649" s="9">
        <v>33.630000000000003</v>
      </c>
      <c r="H649" s="13">
        <v>1</v>
      </c>
      <c r="I649" s="17">
        <v>1.6815</v>
      </c>
      <c r="J649" s="9">
        <v>35.311500000000002</v>
      </c>
      <c r="K649" s="21">
        <v>43544</v>
      </c>
      <c r="L649" s="3">
        <v>0.82986111111111116</v>
      </c>
      <c r="M649" s="7" t="s">
        <v>23</v>
      </c>
      <c r="N649" s="19">
        <v>33.630000000000003</v>
      </c>
      <c r="O649" s="15">
        <v>4.7619047620000003</v>
      </c>
      <c r="P649" s="9">
        <v>1.6815</v>
      </c>
      <c r="Q649" s="11">
        <v>5.6</v>
      </c>
    </row>
    <row r="650" spans="1:17" x14ac:dyDescent="0.25">
      <c r="A650" s="5" t="s">
        <v>678</v>
      </c>
      <c r="B650" s="7" t="s">
        <v>20</v>
      </c>
      <c r="C650" s="7" t="s">
        <v>1034</v>
      </c>
      <c r="D650" s="7" t="s">
        <v>15</v>
      </c>
      <c r="E650" s="7" t="s">
        <v>16</v>
      </c>
      <c r="F650" s="7" t="s">
        <v>30</v>
      </c>
      <c r="G650" s="9">
        <v>15.49</v>
      </c>
      <c r="H650" s="13">
        <v>2</v>
      </c>
      <c r="I650" s="17">
        <v>1.5489999999999999</v>
      </c>
      <c r="J650" s="9">
        <v>32.529000000000003</v>
      </c>
      <c r="K650" s="21">
        <v>43481</v>
      </c>
      <c r="L650" s="3">
        <v>0.63194444444444442</v>
      </c>
      <c r="M650" s="7" t="s">
        <v>23</v>
      </c>
      <c r="N650" s="19">
        <v>30.98</v>
      </c>
      <c r="O650" s="15">
        <v>4.7619047620000003</v>
      </c>
      <c r="P650" s="9">
        <v>1.5489999999999999</v>
      </c>
      <c r="Q650" s="11">
        <v>6.3</v>
      </c>
    </row>
    <row r="651" spans="1:17" x14ac:dyDescent="0.25">
      <c r="A651" s="5" t="s">
        <v>679</v>
      </c>
      <c r="B651" s="7" t="s">
        <v>20</v>
      </c>
      <c r="C651" s="7" t="s">
        <v>1034</v>
      </c>
      <c r="D651" s="7" t="s">
        <v>21</v>
      </c>
      <c r="E651" s="7" t="s">
        <v>25</v>
      </c>
      <c r="F651" s="7" t="s">
        <v>22</v>
      </c>
      <c r="G651" s="9">
        <v>24.74</v>
      </c>
      <c r="H651" s="13">
        <v>10</v>
      </c>
      <c r="I651" s="17">
        <v>12.37</v>
      </c>
      <c r="J651" s="9">
        <v>259.77</v>
      </c>
      <c r="K651" s="21">
        <v>43520</v>
      </c>
      <c r="L651" s="3">
        <v>0.69722222222222219</v>
      </c>
      <c r="M651" s="7" t="s">
        <v>23</v>
      </c>
      <c r="N651" s="19">
        <v>247.4</v>
      </c>
      <c r="O651" s="15">
        <v>4.7619047620000003</v>
      </c>
      <c r="P651" s="9">
        <v>12.37</v>
      </c>
      <c r="Q651" s="11">
        <v>7.1</v>
      </c>
    </row>
    <row r="652" spans="1:17" x14ac:dyDescent="0.25">
      <c r="A652" s="5" t="s">
        <v>680</v>
      </c>
      <c r="B652" s="7" t="s">
        <v>36</v>
      </c>
      <c r="C652" s="7" t="s">
        <v>37</v>
      </c>
      <c r="D652" s="7" t="s">
        <v>21</v>
      </c>
      <c r="E652" s="7" t="s">
        <v>25</v>
      </c>
      <c r="F652" s="7" t="s">
        <v>22</v>
      </c>
      <c r="G652" s="9">
        <v>75.66</v>
      </c>
      <c r="H652" s="13">
        <v>5</v>
      </c>
      <c r="I652" s="17">
        <v>18.914999999999999</v>
      </c>
      <c r="J652" s="9">
        <v>397.21499999999997</v>
      </c>
      <c r="K652" s="21">
        <v>43480</v>
      </c>
      <c r="L652" s="3">
        <v>0.76527777777777772</v>
      </c>
      <c r="M652" s="7" t="s">
        <v>18</v>
      </c>
      <c r="N652" s="19">
        <v>378.3</v>
      </c>
      <c r="O652" s="15">
        <v>4.7619047620000003</v>
      </c>
      <c r="P652" s="9">
        <v>18.914999999999999</v>
      </c>
      <c r="Q652" s="11">
        <v>7.8</v>
      </c>
    </row>
    <row r="653" spans="1:17" x14ac:dyDescent="0.25">
      <c r="A653" s="5" t="s">
        <v>681</v>
      </c>
      <c r="B653" s="7" t="s">
        <v>36</v>
      </c>
      <c r="C653" s="7" t="s">
        <v>37</v>
      </c>
      <c r="D653" s="7" t="s">
        <v>21</v>
      </c>
      <c r="E653" s="7" t="s">
        <v>16</v>
      </c>
      <c r="F653" s="7" t="s">
        <v>17</v>
      </c>
      <c r="G653" s="9">
        <v>55.81</v>
      </c>
      <c r="H653" s="13">
        <v>6</v>
      </c>
      <c r="I653" s="17">
        <v>16.742999999999999</v>
      </c>
      <c r="J653" s="9">
        <v>351.60300000000001</v>
      </c>
      <c r="K653" s="21">
        <v>43487</v>
      </c>
      <c r="L653" s="3">
        <v>0.49444444444444446</v>
      </c>
      <c r="M653" s="7" t="s">
        <v>23</v>
      </c>
      <c r="N653" s="19">
        <v>334.86</v>
      </c>
      <c r="O653" s="15">
        <v>4.7619047620000003</v>
      </c>
      <c r="P653" s="9">
        <v>16.742999999999999</v>
      </c>
      <c r="Q653" s="11">
        <v>9.9</v>
      </c>
    </row>
    <row r="654" spans="1:17" x14ac:dyDescent="0.25">
      <c r="A654" s="5" t="s">
        <v>682</v>
      </c>
      <c r="B654" s="7" t="s">
        <v>13</v>
      </c>
      <c r="C654" s="7" t="s">
        <v>14</v>
      </c>
      <c r="D654" s="7" t="s">
        <v>15</v>
      </c>
      <c r="E654" s="7" t="s">
        <v>25</v>
      </c>
      <c r="F654" s="7" t="s">
        <v>26</v>
      </c>
      <c r="G654" s="9">
        <v>72.78</v>
      </c>
      <c r="H654" s="13">
        <v>10</v>
      </c>
      <c r="I654" s="17">
        <v>36.39</v>
      </c>
      <c r="J654" s="9">
        <v>764.19</v>
      </c>
      <c r="K654" s="21">
        <v>43499</v>
      </c>
      <c r="L654" s="3">
        <v>0.72499999999999998</v>
      </c>
      <c r="M654" s="7" t="s">
        <v>23</v>
      </c>
      <c r="N654" s="19">
        <v>727.8</v>
      </c>
      <c r="O654" s="15">
        <v>4.7619047620000003</v>
      </c>
      <c r="P654" s="9">
        <v>36.39</v>
      </c>
      <c r="Q654" s="11">
        <v>7.3</v>
      </c>
    </row>
    <row r="655" spans="1:17" x14ac:dyDescent="0.25">
      <c r="A655" s="5" t="s">
        <v>683</v>
      </c>
      <c r="B655" s="7" t="s">
        <v>36</v>
      </c>
      <c r="C655" s="7" t="s">
        <v>37</v>
      </c>
      <c r="D655" s="7" t="s">
        <v>15</v>
      </c>
      <c r="E655" s="7" t="s">
        <v>25</v>
      </c>
      <c r="F655" s="7" t="s">
        <v>30</v>
      </c>
      <c r="G655" s="9">
        <v>37.32</v>
      </c>
      <c r="H655" s="13">
        <v>9</v>
      </c>
      <c r="I655" s="17">
        <v>16.794</v>
      </c>
      <c r="J655" s="9">
        <v>352.67399999999998</v>
      </c>
      <c r="K655" s="21">
        <v>43530</v>
      </c>
      <c r="L655" s="3">
        <v>0.64652777777777781</v>
      </c>
      <c r="M655" s="7" t="s">
        <v>18</v>
      </c>
      <c r="N655" s="19">
        <v>335.88</v>
      </c>
      <c r="O655" s="15">
        <v>4.7619047620000003</v>
      </c>
      <c r="P655" s="9">
        <v>16.794</v>
      </c>
      <c r="Q655" s="11">
        <v>5.0999999999999996</v>
      </c>
    </row>
    <row r="656" spans="1:17" x14ac:dyDescent="0.25">
      <c r="A656" s="5" t="s">
        <v>684</v>
      </c>
      <c r="B656" s="7" t="s">
        <v>36</v>
      </c>
      <c r="C656" s="7" t="s">
        <v>37</v>
      </c>
      <c r="D656" s="7" t="s">
        <v>15</v>
      </c>
      <c r="E656" s="7" t="s">
        <v>25</v>
      </c>
      <c r="F656" s="7" t="s">
        <v>40</v>
      </c>
      <c r="G656" s="9">
        <v>60.18</v>
      </c>
      <c r="H656" s="13">
        <v>4</v>
      </c>
      <c r="I656" s="17">
        <v>12.036</v>
      </c>
      <c r="J656" s="9">
        <v>252.756</v>
      </c>
      <c r="K656" s="21">
        <v>43512</v>
      </c>
      <c r="L656" s="3">
        <v>0.75277777777777777</v>
      </c>
      <c r="M656" s="7" t="s">
        <v>27</v>
      </c>
      <c r="N656" s="19">
        <v>240.72</v>
      </c>
      <c r="O656" s="15">
        <v>4.7619047620000003</v>
      </c>
      <c r="P656" s="9">
        <v>12.036</v>
      </c>
      <c r="Q656" s="11">
        <v>9.4</v>
      </c>
    </row>
    <row r="657" spans="1:17" x14ac:dyDescent="0.25">
      <c r="A657" s="5" t="s">
        <v>685</v>
      </c>
      <c r="B657" s="7" t="s">
        <v>13</v>
      </c>
      <c r="C657" s="7" t="s">
        <v>14</v>
      </c>
      <c r="D657" s="7" t="s">
        <v>21</v>
      </c>
      <c r="E657" s="7" t="s">
        <v>16</v>
      </c>
      <c r="F657" s="7" t="s">
        <v>22</v>
      </c>
      <c r="G657" s="9">
        <v>15.69</v>
      </c>
      <c r="H657" s="13">
        <v>3</v>
      </c>
      <c r="I657" s="17">
        <v>2.3534999999999999</v>
      </c>
      <c r="J657" s="9">
        <v>49.423499999999997</v>
      </c>
      <c r="K657" s="21">
        <v>43538</v>
      </c>
      <c r="L657" s="3">
        <v>0.59236111111111112</v>
      </c>
      <c r="M657" s="7" t="s">
        <v>27</v>
      </c>
      <c r="N657" s="19">
        <v>47.07</v>
      </c>
      <c r="O657" s="15">
        <v>4.7619047620000003</v>
      </c>
      <c r="P657" s="9">
        <v>2.3534999999999999</v>
      </c>
      <c r="Q657" s="11">
        <v>5.8</v>
      </c>
    </row>
    <row r="658" spans="1:17" x14ac:dyDescent="0.25">
      <c r="A658" s="5" t="s">
        <v>686</v>
      </c>
      <c r="B658" s="7" t="s">
        <v>20</v>
      </c>
      <c r="C658" s="7" t="s">
        <v>1034</v>
      </c>
      <c r="D658" s="7" t="s">
        <v>21</v>
      </c>
      <c r="E658" s="7" t="s">
        <v>16</v>
      </c>
      <c r="F658" s="7" t="s">
        <v>22</v>
      </c>
      <c r="G658" s="9">
        <v>99.69</v>
      </c>
      <c r="H658" s="13">
        <v>1</v>
      </c>
      <c r="I658" s="17">
        <v>4.9844999999999997</v>
      </c>
      <c r="J658" s="9">
        <v>104.67449999999999</v>
      </c>
      <c r="K658" s="21">
        <v>43523</v>
      </c>
      <c r="L658" s="3">
        <v>0.43263888888888891</v>
      </c>
      <c r="M658" s="7" t="s">
        <v>27</v>
      </c>
      <c r="N658" s="19">
        <v>99.69</v>
      </c>
      <c r="O658" s="15">
        <v>4.7619047620000003</v>
      </c>
      <c r="P658" s="9">
        <v>4.9844999999999997</v>
      </c>
      <c r="Q658" s="11">
        <v>8</v>
      </c>
    </row>
    <row r="659" spans="1:17" x14ac:dyDescent="0.25">
      <c r="A659" s="5" t="s">
        <v>687</v>
      </c>
      <c r="B659" s="7" t="s">
        <v>13</v>
      </c>
      <c r="C659" s="7" t="s">
        <v>14</v>
      </c>
      <c r="D659" s="7" t="s">
        <v>15</v>
      </c>
      <c r="E659" s="7" t="s">
        <v>16</v>
      </c>
      <c r="F659" s="7" t="s">
        <v>40</v>
      </c>
      <c r="G659" s="9">
        <v>88.15</v>
      </c>
      <c r="H659" s="13">
        <v>3</v>
      </c>
      <c r="I659" s="17">
        <v>13.2225</v>
      </c>
      <c r="J659" s="9">
        <v>277.67250000000001</v>
      </c>
      <c r="K659" s="21">
        <v>43483</v>
      </c>
      <c r="L659" s="3">
        <v>0.42430555555555555</v>
      </c>
      <c r="M659" s="7" t="s">
        <v>18</v>
      </c>
      <c r="N659" s="19">
        <v>264.45</v>
      </c>
      <c r="O659" s="15">
        <v>4.7619047620000003</v>
      </c>
      <c r="P659" s="9">
        <v>13.2225</v>
      </c>
      <c r="Q659" s="11">
        <v>7.9</v>
      </c>
    </row>
    <row r="660" spans="1:17" x14ac:dyDescent="0.25">
      <c r="A660" s="5" t="s">
        <v>688</v>
      </c>
      <c r="B660" s="7" t="s">
        <v>13</v>
      </c>
      <c r="C660" s="7" t="s">
        <v>14</v>
      </c>
      <c r="D660" s="7" t="s">
        <v>15</v>
      </c>
      <c r="E660" s="7" t="s">
        <v>16</v>
      </c>
      <c r="F660" s="7" t="s">
        <v>30</v>
      </c>
      <c r="G660" s="9">
        <v>27.93</v>
      </c>
      <c r="H660" s="13">
        <v>5</v>
      </c>
      <c r="I660" s="17">
        <v>6.9824999999999999</v>
      </c>
      <c r="J660" s="9">
        <v>146.63249999999999</v>
      </c>
      <c r="K660" s="21">
        <v>43494</v>
      </c>
      <c r="L660" s="3">
        <v>0.65833333333333333</v>
      </c>
      <c r="M660" s="7" t="s">
        <v>23</v>
      </c>
      <c r="N660" s="19">
        <v>139.65</v>
      </c>
      <c r="O660" s="15">
        <v>4.7619047620000003</v>
      </c>
      <c r="P660" s="9">
        <v>6.9824999999999999</v>
      </c>
      <c r="Q660" s="11">
        <v>5.9</v>
      </c>
    </row>
    <row r="661" spans="1:17" x14ac:dyDescent="0.25">
      <c r="A661" s="5" t="s">
        <v>689</v>
      </c>
      <c r="B661" s="7" t="s">
        <v>13</v>
      </c>
      <c r="C661" s="7" t="s">
        <v>14</v>
      </c>
      <c r="D661" s="7" t="s">
        <v>15</v>
      </c>
      <c r="E661" s="7" t="s">
        <v>25</v>
      </c>
      <c r="F661" s="7" t="s">
        <v>40</v>
      </c>
      <c r="G661" s="9">
        <v>55.45</v>
      </c>
      <c r="H661" s="13">
        <v>1</v>
      </c>
      <c r="I661" s="17">
        <v>2.7725</v>
      </c>
      <c r="J661" s="9">
        <v>58.222499999999997</v>
      </c>
      <c r="K661" s="21">
        <v>43522</v>
      </c>
      <c r="L661" s="3">
        <v>0.74027777777777781</v>
      </c>
      <c r="M661" s="7" t="s">
        <v>27</v>
      </c>
      <c r="N661" s="19">
        <v>55.45</v>
      </c>
      <c r="O661" s="15">
        <v>4.7619047620000003</v>
      </c>
      <c r="P661" s="9">
        <v>2.7725</v>
      </c>
      <c r="Q661" s="11">
        <v>4.9000000000000004</v>
      </c>
    </row>
    <row r="662" spans="1:17" x14ac:dyDescent="0.25">
      <c r="A662" s="5" t="s">
        <v>690</v>
      </c>
      <c r="B662" s="7" t="s">
        <v>36</v>
      </c>
      <c r="C662" s="7" t="s">
        <v>37</v>
      </c>
      <c r="D662" s="7" t="s">
        <v>21</v>
      </c>
      <c r="E662" s="7" t="s">
        <v>16</v>
      </c>
      <c r="F662" s="7" t="s">
        <v>30</v>
      </c>
      <c r="G662" s="9">
        <v>42.97</v>
      </c>
      <c r="H662" s="13">
        <v>3</v>
      </c>
      <c r="I662" s="17">
        <v>6.4455</v>
      </c>
      <c r="J662" s="9">
        <v>135.35550000000001</v>
      </c>
      <c r="K662" s="21">
        <v>43499</v>
      </c>
      <c r="L662" s="3">
        <v>0.49027777777777776</v>
      </c>
      <c r="M662" s="7" t="s">
        <v>23</v>
      </c>
      <c r="N662" s="19">
        <v>128.91</v>
      </c>
      <c r="O662" s="15">
        <v>4.7619047620000003</v>
      </c>
      <c r="P662" s="9">
        <v>6.4455</v>
      </c>
      <c r="Q662" s="11">
        <v>9.3000000000000007</v>
      </c>
    </row>
    <row r="663" spans="1:17" x14ac:dyDescent="0.25">
      <c r="A663" s="5" t="s">
        <v>691</v>
      </c>
      <c r="B663" s="7" t="s">
        <v>20</v>
      </c>
      <c r="C663" s="7" t="s">
        <v>1034</v>
      </c>
      <c r="D663" s="7" t="s">
        <v>15</v>
      </c>
      <c r="E663" s="7" t="s">
        <v>25</v>
      </c>
      <c r="F663" s="7" t="s">
        <v>30</v>
      </c>
      <c r="G663" s="9">
        <v>17.14</v>
      </c>
      <c r="H663" s="13">
        <v>7</v>
      </c>
      <c r="I663" s="17">
        <v>5.9989999999999997</v>
      </c>
      <c r="J663" s="9">
        <v>125.979</v>
      </c>
      <c r="K663" s="21">
        <v>43481</v>
      </c>
      <c r="L663" s="3">
        <v>0.50486111111111109</v>
      </c>
      <c r="M663" s="7" t="s">
        <v>27</v>
      </c>
      <c r="N663" s="19">
        <v>119.98</v>
      </c>
      <c r="O663" s="15">
        <v>4.7619047620000003</v>
      </c>
      <c r="P663" s="9">
        <v>5.9989999999999997</v>
      </c>
      <c r="Q663" s="11">
        <v>7.9</v>
      </c>
    </row>
    <row r="664" spans="1:17" x14ac:dyDescent="0.25">
      <c r="A664" s="5" t="s">
        <v>692</v>
      </c>
      <c r="B664" s="7" t="s">
        <v>36</v>
      </c>
      <c r="C664" s="7" t="s">
        <v>37</v>
      </c>
      <c r="D664" s="7" t="s">
        <v>15</v>
      </c>
      <c r="E664" s="7" t="s">
        <v>16</v>
      </c>
      <c r="F664" s="7" t="s">
        <v>40</v>
      </c>
      <c r="G664" s="9">
        <v>58.75</v>
      </c>
      <c r="H664" s="13">
        <v>6</v>
      </c>
      <c r="I664" s="17">
        <v>17.625</v>
      </c>
      <c r="J664" s="9">
        <v>370.125</v>
      </c>
      <c r="K664" s="21">
        <v>43548</v>
      </c>
      <c r="L664" s="3">
        <v>0.75972222222222219</v>
      </c>
      <c r="M664" s="7" t="s">
        <v>27</v>
      </c>
      <c r="N664" s="19">
        <v>352.5</v>
      </c>
      <c r="O664" s="15">
        <v>4.7619047620000003</v>
      </c>
      <c r="P664" s="9">
        <v>17.625</v>
      </c>
      <c r="Q664" s="11">
        <v>5.9</v>
      </c>
    </row>
    <row r="665" spans="1:17" x14ac:dyDescent="0.25">
      <c r="A665" s="5" t="s">
        <v>693</v>
      </c>
      <c r="B665" s="7" t="s">
        <v>20</v>
      </c>
      <c r="C665" s="7" t="s">
        <v>1034</v>
      </c>
      <c r="D665" s="7" t="s">
        <v>15</v>
      </c>
      <c r="E665" s="7" t="s">
        <v>16</v>
      </c>
      <c r="F665" s="7" t="s">
        <v>38</v>
      </c>
      <c r="G665" s="9">
        <v>87.1</v>
      </c>
      <c r="H665" s="13">
        <v>10</v>
      </c>
      <c r="I665" s="17">
        <v>43.55</v>
      </c>
      <c r="J665" s="9">
        <v>914.55</v>
      </c>
      <c r="K665" s="21">
        <v>43508</v>
      </c>
      <c r="L665" s="3">
        <v>0.61458333333333337</v>
      </c>
      <c r="M665" s="7" t="s">
        <v>27</v>
      </c>
      <c r="N665" s="19">
        <v>871</v>
      </c>
      <c r="O665" s="15">
        <v>4.7619047620000003</v>
      </c>
      <c r="P665" s="9">
        <v>43.55</v>
      </c>
      <c r="Q665" s="11">
        <v>9.9</v>
      </c>
    </row>
    <row r="666" spans="1:17" x14ac:dyDescent="0.25">
      <c r="A666" s="5" t="s">
        <v>694</v>
      </c>
      <c r="B666" s="7" t="s">
        <v>20</v>
      </c>
      <c r="C666" s="7" t="s">
        <v>1034</v>
      </c>
      <c r="D666" s="7" t="s">
        <v>21</v>
      </c>
      <c r="E666" s="7" t="s">
        <v>16</v>
      </c>
      <c r="F666" s="7" t="s">
        <v>30</v>
      </c>
      <c r="G666" s="9">
        <v>98.8</v>
      </c>
      <c r="H666" s="13">
        <v>2</v>
      </c>
      <c r="I666" s="17">
        <v>9.8800000000000008</v>
      </c>
      <c r="J666" s="9">
        <v>207.48</v>
      </c>
      <c r="K666" s="21">
        <v>43517</v>
      </c>
      <c r="L666" s="3">
        <v>0.48541666666666666</v>
      </c>
      <c r="M666" s="7" t="s">
        <v>23</v>
      </c>
      <c r="N666" s="19">
        <v>197.6</v>
      </c>
      <c r="O666" s="15">
        <v>4.7619047620000003</v>
      </c>
      <c r="P666" s="9">
        <v>9.8800000000000008</v>
      </c>
      <c r="Q666" s="11">
        <v>7.7</v>
      </c>
    </row>
    <row r="667" spans="1:17" x14ac:dyDescent="0.25">
      <c r="A667" s="5" t="s">
        <v>695</v>
      </c>
      <c r="B667" s="7" t="s">
        <v>13</v>
      </c>
      <c r="C667" s="7" t="s">
        <v>14</v>
      </c>
      <c r="D667" s="7" t="s">
        <v>21</v>
      </c>
      <c r="E667" s="7" t="s">
        <v>16</v>
      </c>
      <c r="F667" s="7" t="s">
        <v>40</v>
      </c>
      <c r="G667" s="9">
        <v>48.63</v>
      </c>
      <c r="H667" s="13">
        <v>4</v>
      </c>
      <c r="I667" s="17">
        <v>9.7260000000000009</v>
      </c>
      <c r="J667" s="9">
        <v>204.24600000000001</v>
      </c>
      <c r="K667" s="21">
        <v>43500</v>
      </c>
      <c r="L667" s="3">
        <v>0.65555555555555556</v>
      </c>
      <c r="M667" s="7" t="s">
        <v>18</v>
      </c>
      <c r="N667" s="19">
        <v>194.52</v>
      </c>
      <c r="O667" s="15">
        <v>4.7619047620000003</v>
      </c>
      <c r="P667" s="9">
        <v>9.7260000000000009</v>
      </c>
      <c r="Q667" s="11">
        <v>7.6</v>
      </c>
    </row>
    <row r="668" spans="1:17" x14ac:dyDescent="0.25">
      <c r="A668" s="5" t="s">
        <v>696</v>
      </c>
      <c r="B668" s="7" t="s">
        <v>36</v>
      </c>
      <c r="C668" s="7" t="s">
        <v>37</v>
      </c>
      <c r="D668" s="7" t="s">
        <v>15</v>
      </c>
      <c r="E668" s="7" t="s">
        <v>25</v>
      </c>
      <c r="F668" s="7" t="s">
        <v>38</v>
      </c>
      <c r="G668" s="9">
        <v>57.74</v>
      </c>
      <c r="H668" s="13">
        <v>3</v>
      </c>
      <c r="I668" s="17">
        <v>8.6609999999999996</v>
      </c>
      <c r="J668" s="9">
        <v>181.881</v>
      </c>
      <c r="K668" s="21">
        <v>43516</v>
      </c>
      <c r="L668" s="3">
        <v>0.54583333333333328</v>
      </c>
      <c r="M668" s="7" t="s">
        <v>18</v>
      </c>
      <c r="N668" s="19">
        <v>173.22</v>
      </c>
      <c r="O668" s="15">
        <v>4.7619047620000003</v>
      </c>
      <c r="P668" s="9">
        <v>8.6609999999999996</v>
      </c>
      <c r="Q668" s="11">
        <v>7.7</v>
      </c>
    </row>
    <row r="669" spans="1:17" x14ac:dyDescent="0.25">
      <c r="A669" s="5" t="s">
        <v>697</v>
      </c>
      <c r="B669" s="7" t="s">
        <v>36</v>
      </c>
      <c r="C669" s="7" t="s">
        <v>37</v>
      </c>
      <c r="D669" s="7" t="s">
        <v>21</v>
      </c>
      <c r="E669" s="7" t="s">
        <v>16</v>
      </c>
      <c r="F669" s="7" t="s">
        <v>17</v>
      </c>
      <c r="G669" s="9">
        <v>17.97</v>
      </c>
      <c r="H669" s="13">
        <v>4</v>
      </c>
      <c r="I669" s="17">
        <v>3.5939999999999999</v>
      </c>
      <c r="J669" s="9">
        <v>75.474000000000004</v>
      </c>
      <c r="K669" s="21">
        <v>43519</v>
      </c>
      <c r="L669" s="3">
        <v>0.86319444444444449</v>
      </c>
      <c r="M669" s="7" t="s">
        <v>18</v>
      </c>
      <c r="N669" s="19">
        <v>71.88</v>
      </c>
      <c r="O669" s="15">
        <v>4.7619047620000003</v>
      </c>
      <c r="P669" s="9">
        <v>3.5939999999999999</v>
      </c>
      <c r="Q669" s="11">
        <v>6.4</v>
      </c>
    </row>
    <row r="670" spans="1:17" x14ac:dyDescent="0.25">
      <c r="A670" s="5" t="s">
        <v>698</v>
      </c>
      <c r="B670" s="7" t="s">
        <v>20</v>
      </c>
      <c r="C670" s="7" t="s">
        <v>1034</v>
      </c>
      <c r="D670" s="7" t="s">
        <v>15</v>
      </c>
      <c r="E670" s="7" t="s">
        <v>16</v>
      </c>
      <c r="F670" s="7" t="s">
        <v>17</v>
      </c>
      <c r="G670" s="9">
        <v>47.71</v>
      </c>
      <c r="H670" s="13">
        <v>6</v>
      </c>
      <c r="I670" s="17">
        <v>14.313000000000001</v>
      </c>
      <c r="J670" s="9">
        <v>300.57299999999998</v>
      </c>
      <c r="K670" s="21">
        <v>43512</v>
      </c>
      <c r="L670" s="3">
        <v>0.59652777777777777</v>
      </c>
      <c r="M670" s="7" t="s">
        <v>18</v>
      </c>
      <c r="N670" s="19">
        <v>286.26</v>
      </c>
      <c r="O670" s="15">
        <v>4.7619047620000003</v>
      </c>
      <c r="P670" s="9">
        <v>14.313000000000001</v>
      </c>
      <c r="Q670" s="11">
        <v>4.4000000000000004</v>
      </c>
    </row>
    <row r="671" spans="1:17" x14ac:dyDescent="0.25">
      <c r="A671" s="5" t="s">
        <v>699</v>
      </c>
      <c r="B671" s="7" t="s">
        <v>36</v>
      </c>
      <c r="C671" s="7" t="s">
        <v>37</v>
      </c>
      <c r="D671" s="7" t="s">
        <v>21</v>
      </c>
      <c r="E671" s="7" t="s">
        <v>16</v>
      </c>
      <c r="F671" s="7" t="s">
        <v>30</v>
      </c>
      <c r="G671" s="9">
        <v>40.619999999999997</v>
      </c>
      <c r="H671" s="13">
        <v>2</v>
      </c>
      <c r="I671" s="17">
        <v>4.0620000000000003</v>
      </c>
      <c r="J671" s="9">
        <v>85.302000000000007</v>
      </c>
      <c r="K671" s="21">
        <v>43482</v>
      </c>
      <c r="L671" s="3">
        <v>0.41736111111111113</v>
      </c>
      <c r="M671" s="7" t="s">
        <v>27</v>
      </c>
      <c r="N671" s="19">
        <v>81.239999999999995</v>
      </c>
      <c r="O671" s="15">
        <v>4.7619047620000003</v>
      </c>
      <c r="P671" s="9">
        <v>4.0620000000000003</v>
      </c>
      <c r="Q671" s="11">
        <v>4.0999999999999996</v>
      </c>
    </row>
    <row r="672" spans="1:17" x14ac:dyDescent="0.25">
      <c r="A672" s="5" t="s">
        <v>700</v>
      </c>
      <c r="B672" s="7" t="s">
        <v>13</v>
      </c>
      <c r="C672" s="7" t="s">
        <v>14</v>
      </c>
      <c r="D672" s="7" t="s">
        <v>15</v>
      </c>
      <c r="E672" s="7" t="s">
        <v>25</v>
      </c>
      <c r="F672" s="7" t="s">
        <v>40</v>
      </c>
      <c r="G672" s="9">
        <v>56.04</v>
      </c>
      <c r="H672" s="13">
        <v>10</v>
      </c>
      <c r="I672" s="17">
        <v>28.02</v>
      </c>
      <c r="J672" s="9">
        <v>588.41999999999996</v>
      </c>
      <c r="K672" s="21">
        <v>43479</v>
      </c>
      <c r="L672" s="3">
        <v>0.8125</v>
      </c>
      <c r="M672" s="7" t="s">
        <v>18</v>
      </c>
      <c r="N672" s="19">
        <v>560.4</v>
      </c>
      <c r="O672" s="15">
        <v>4.7619047620000003</v>
      </c>
      <c r="P672" s="9">
        <v>28.02</v>
      </c>
      <c r="Q672" s="11">
        <v>4.4000000000000004</v>
      </c>
    </row>
    <row r="673" spans="1:17" x14ac:dyDescent="0.25">
      <c r="A673" s="5" t="s">
        <v>701</v>
      </c>
      <c r="B673" s="7" t="s">
        <v>36</v>
      </c>
      <c r="C673" s="7" t="s">
        <v>37</v>
      </c>
      <c r="D673" s="7" t="s">
        <v>15</v>
      </c>
      <c r="E673" s="7" t="s">
        <v>25</v>
      </c>
      <c r="F673" s="7" t="s">
        <v>38</v>
      </c>
      <c r="G673" s="9">
        <v>93.4</v>
      </c>
      <c r="H673" s="13">
        <v>2</v>
      </c>
      <c r="I673" s="17">
        <v>9.34</v>
      </c>
      <c r="J673" s="9">
        <v>196.14</v>
      </c>
      <c r="K673" s="21">
        <v>43554</v>
      </c>
      <c r="L673" s="3">
        <v>0.69027777777777777</v>
      </c>
      <c r="M673" s="7" t="s">
        <v>23</v>
      </c>
      <c r="N673" s="19">
        <v>186.8</v>
      </c>
      <c r="O673" s="15">
        <v>4.7619047620000003</v>
      </c>
      <c r="P673" s="9">
        <v>9.34</v>
      </c>
      <c r="Q673" s="11">
        <v>5.5</v>
      </c>
    </row>
    <row r="674" spans="1:17" x14ac:dyDescent="0.25">
      <c r="A674" s="5" t="s">
        <v>702</v>
      </c>
      <c r="B674" s="7" t="s">
        <v>36</v>
      </c>
      <c r="C674" s="7" t="s">
        <v>37</v>
      </c>
      <c r="D674" s="7" t="s">
        <v>21</v>
      </c>
      <c r="E674" s="7" t="s">
        <v>16</v>
      </c>
      <c r="F674" s="7" t="s">
        <v>17</v>
      </c>
      <c r="G674" s="9">
        <v>73.41</v>
      </c>
      <c r="H674" s="13">
        <v>3</v>
      </c>
      <c r="I674" s="17">
        <v>11.0115</v>
      </c>
      <c r="J674" s="9">
        <v>231.2415</v>
      </c>
      <c r="K674" s="21">
        <v>43526</v>
      </c>
      <c r="L674" s="3">
        <v>0.54861111111111116</v>
      </c>
      <c r="M674" s="7" t="s">
        <v>18</v>
      </c>
      <c r="N674" s="19">
        <v>220.23</v>
      </c>
      <c r="O674" s="15">
        <v>4.7619047620000003</v>
      </c>
      <c r="P674" s="9">
        <v>11.0115</v>
      </c>
      <c r="Q674" s="11">
        <v>4</v>
      </c>
    </row>
    <row r="675" spans="1:17" x14ac:dyDescent="0.25">
      <c r="A675" s="5" t="s">
        <v>703</v>
      </c>
      <c r="B675" s="7" t="s">
        <v>20</v>
      </c>
      <c r="C675" s="7" t="s">
        <v>1034</v>
      </c>
      <c r="D675" s="7" t="s">
        <v>21</v>
      </c>
      <c r="E675" s="7" t="s">
        <v>25</v>
      </c>
      <c r="F675" s="7" t="s">
        <v>17</v>
      </c>
      <c r="G675" s="9">
        <v>33.64</v>
      </c>
      <c r="H675" s="13">
        <v>8</v>
      </c>
      <c r="I675" s="17">
        <v>13.456</v>
      </c>
      <c r="J675" s="9">
        <v>282.57600000000002</v>
      </c>
      <c r="K675" s="21">
        <v>43511</v>
      </c>
      <c r="L675" s="3">
        <v>0.71527777777777779</v>
      </c>
      <c r="M675" s="7" t="s">
        <v>27</v>
      </c>
      <c r="N675" s="19">
        <v>269.12</v>
      </c>
      <c r="O675" s="15">
        <v>4.7619047620000003</v>
      </c>
      <c r="P675" s="9">
        <v>13.456</v>
      </c>
      <c r="Q675" s="11">
        <v>9.3000000000000007</v>
      </c>
    </row>
    <row r="676" spans="1:17" x14ac:dyDescent="0.25">
      <c r="A676" s="5" t="s">
        <v>704</v>
      </c>
      <c r="B676" s="7" t="s">
        <v>13</v>
      </c>
      <c r="C676" s="7" t="s">
        <v>14</v>
      </c>
      <c r="D676" s="7" t="s">
        <v>21</v>
      </c>
      <c r="E676" s="7" t="s">
        <v>16</v>
      </c>
      <c r="F676" s="7" t="s">
        <v>22</v>
      </c>
      <c r="G676" s="9">
        <v>45.48</v>
      </c>
      <c r="H676" s="13">
        <v>10</v>
      </c>
      <c r="I676" s="17">
        <v>22.74</v>
      </c>
      <c r="J676" s="9">
        <v>477.54</v>
      </c>
      <c r="K676" s="21">
        <v>43525</v>
      </c>
      <c r="L676" s="3">
        <v>0.43194444444444446</v>
      </c>
      <c r="M676" s="7" t="s">
        <v>27</v>
      </c>
      <c r="N676" s="19">
        <v>454.8</v>
      </c>
      <c r="O676" s="15">
        <v>4.7619047620000003</v>
      </c>
      <c r="P676" s="9">
        <v>22.74</v>
      </c>
      <c r="Q676" s="11">
        <v>4.8</v>
      </c>
    </row>
    <row r="677" spans="1:17" x14ac:dyDescent="0.25">
      <c r="A677" s="5" t="s">
        <v>705</v>
      </c>
      <c r="B677" s="7" t="s">
        <v>36</v>
      </c>
      <c r="C677" s="7" t="s">
        <v>37</v>
      </c>
      <c r="D677" s="7" t="s">
        <v>15</v>
      </c>
      <c r="E677" s="7" t="s">
        <v>25</v>
      </c>
      <c r="F677" s="7" t="s">
        <v>40</v>
      </c>
      <c r="G677" s="9">
        <v>83.77</v>
      </c>
      <c r="H677" s="13">
        <v>2</v>
      </c>
      <c r="I677" s="17">
        <v>8.3770000000000007</v>
      </c>
      <c r="J677" s="9">
        <v>175.917</v>
      </c>
      <c r="K677" s="21">
        <v>43520</v>
      </c>
      <c r="L677" s="3">
        <v>0.83125000000000004</v>
      </c>
      <c r="M677" s="7" t="s">
        <v>23</v>
      </c>
      <c r="N677" s="19">
        <v>167.54</v>
      </c>
      <c r="O677" s="15">
        <v>4.7619047620000003</v>
      </c>
      <c r="P677" s="9">
        <v>8.3770000000000007</v>
      </c>
      <c r="Q677" s="11">
        <v>4.5999999999999996</v>
      </c>
    </row>
    <row r="678" spans="1:17" x14ac:dyDescent="0.25">
      <c r="A678" s="5" t="s">
        <v>706</v>
      </c>
      <c r="B678" s="7" t="s">
        <v>36</v>
      </c>
      <c r="C678" s="7" t="s">
        <v>37</v>
      </c>
      <c r="D678" s="7" t="s">
        <v>15</v>
      </c>
      <c r="E678" s="7" t="s">
        <v>16</v>
      </c>
      <c r="F678" s="7" t="s">
        <v>30</v>
      </c>
      <c r="G678" s="9">
        <v>64.08</v>
      </c>
      <c r="H678" s="13">
        <v>7</v>
      </c>
      <c r="I678" s="17">
        <v>22.428000000000001</v>
      </c>
      <c r="J678" s="9">
        <v>470.988</v>
      </c>
      <c r="K678" s="21">
        <v>43515</v>
      </c>
      <c r="L678" s="3">
        <v>0.81180555555555556</v>
      </c>
      <c r="M678" s="7" t="s">
        <v>27</v>
      </c>
      <c r="N678" s="19">
        <v>448.56</v>
      </c>
      <c r="O678" s="15">
        <v>4.7619047620000003</v>
      </c>
      <c r="P678" s="9">
        <v>22.428000000000001</v>
      </c>
      <c r="Q678" s="11">
        <v>7.3</v>
      </c>
    </row>
    <row r="679" spans="1:17" x14ac:dyDescent="0.25">
      <c r="A679" s="5" t="s">
        <v>707</v>
      </c>
      <c r="B679" s="7" t="s">
        <v>13</v>
      </c>
      <c r="C679" s="7" t="s">
        <v>14</v>
      </c>
      <c r="D679" s="7" t="s">
        <v>15</v>
      </c>
      <c r="E679" s="7" t="s">
        <v>16</v>
      </c>
      <c r="F679" s="7" t="s">
        <v>38</v>
      </c>
      <c r="G679" s="9">
        <v>73.47</v>
      </c>
      <c r="H679" s="13">
        <v>4</v>
      </c>
      <c r="I679" s="17">
        <v>14.694000000000001</v>
      </c>
      <c r="J679" s="9">
        <v>308.57400000000001</v>
      </c>
      <c r="K679" s="21">
        <v>43519</v>
      </c>
      <c r="L679" s="3">
        <v>0.77083333333333337</v>
      </c>
      <c r="M679" s="7" t="s">
        <v>23</v>
      </c>
      <c r="N679" s="19">
        <v>293.88</v>
      </c>
      <c r="O679" s="15">
        <v>4.7619047620000003</v>
      </c>
      <c r="P679" s="9">
        <v>14.694000000000001</v>
      </c>
      <c r="Q679" s="11">
        <v>6</v>
      </c>
    </row>
    <row r="680" spans="1:17" x14ac:dyDescent="0.25">
      <c r="A680" s="5" t="s">
        <v>708</v>
      </c>
      <c r="B680" s="7" t="s">
        <v>20</v>
      </c>
      <c r="C680" s="7" t="s">
        <v>1034</v>
      </c>
      <c r="D680" s="7" t="s">
        <v>21</v>
      </c>
      <c r="E680" s="7" t="s">
        <v>25</v>
      </c>
      <c r="F680" s="7" t="s">
        <v>17</v>
      </c>
      <c r="G680" s="9">
        <v>58.95</v>
      </c>
      <c r="H680" s="13">
        <v>10</v>
      </c>
      <c r="I680" s="17">
        <v>29.475000000000001</v>
      </c>
      <c r="J680" s="9">
        <v>618.97500000000002</v>
      </c>
      <c r="K680" s="21">
        <v>43503</v>
      </c>
      <c r="L680" s="3">
        <v>0.6020833333333333</v>
      </c>
      <c r="M680" s="7" t="s">
        <v>18</v>
      </c>
      <c r="N680" s="19">
        <v>589.5</v>
      </c>
      <c r="O680" s="15">
        <v>4.7619047620000003</v>
      </c>
      <c r="P680" s="9">
        <v>29.475000000000001</v>
      </c>
      <c r="Q680" s="11">
        <v>8.1</v>
      </c>
    </row>
    <row r="681" spans="1:17" x14ac:dyDescent="0.25">
      <c r="A681" s="5" t="s">
        <v>709</v>
      </c>
      <c r="B681" s="7" t="s">
        <v>13</v>
      </c>
      <c r="C681" s="7" t="s">
        <v>14</v>
      </c>
      <c r="D681" s="7" t="s">
        <v>15</v>
      </c>
      <c r="E681" s="7" t="s">
        <v>25</v>
      </c>
      <c r="F681" s="7" t="s">
        <v>38</v>
      </c>
      <c r="G681" s="9">
        <v>48.5</v>
      </c>
      <c r="H681" s="13">
        <v>6</v>
      </c>
      <c r="I681" s="17">
        <v>14.55</v>
      </c>
      <c r="J681" s="9">
        <v>305.55</v>
      </c>
      <c r="K681" s="21">
        <v>43476</v>
      </c>
      <c r="L681" s="3">
        <v>0.58125000000000004</v>
      </c>
      <c r="M681" s="7" t="s">
        <v>18</v>
      </c>
      <c r="N681" s="19">
        <v>291</v>
      </c>
      <c r="O681" s="15">
        <v>4.7619047620000003</v>
      </c>
      <c r="P681" s="9">
        <v>14.55</v>
      </c>
      <c r="Q681" s="11">
        <v>9.4</v>
      </c>
    </row>
    <row r="682" spans="1:17" x14ac:dyDescent="0.25">
      <c r="A682" s="5" t="s">
        <v>710</v>
      </c>
      <c r="B682" s="7" t="s">
        <v>36</v>
      </c>
      <c r="C682" s="7" t="s">
        <v>37</v>
      </c>
      <c r="D682" s="7" t="s">
        <v>15</v>
      </c>
      <c r="E682" s="7" t="s">
        <v>16</v>
      </c>
      <c r="F682" s="7" t="s">
        <v>22</v>
      </c>
      <c r="G682" s="9">
        <v>39.479999999999997</v>
      </c>
      <c r="H682" s="13">
        <v>1</v>
      </c>
      <c r="I682" s="17">
        <v>1.974</v>
      </c>
      <c r="J682" s="9">
        <v>41.454000000000001</v>
      </c>
      <c r="K682" s="21">
        <v>43508</v>
      </c>
      <c r="L682" s="3">
        <v>0.82152777777777775</v>
      </c>
      <c r="M682" s="7" t="s">
        <v>23</v>
      </c>
      <c r="N682" s="19">
        <v>39.479999999999997</v>
      </c>
      <c r="O682" s="15">
        <v>4.7619047620000003</v>
      </c>
      <c r="P682" s="9">
        <v>1.974</v>
      </c>
      <c r="Q682" s="11">
        <v>6.5</v>
      </c>
    </row>
    <row r="683" spans="1:17" x14ac:dyDescent="0.25">
      <c r="A683" s="5" t="s">
        <v>711</v>
      </c>
      <c r="B683" s="7" t="s">
        <v>36</v>
      </c>
      <c r="C683" s="7" t="s">
        <v>37</v>
      </c>
      <c r="D683" s="7" t="s">
        <v>21</v>
      </c>
      <c r="E683" s="7" t="s">
        <v>16</v>
      </c>
      <c r="F683" s="7" t="s">
        <v>30</v>
      </c>
      <c r="G683" s="9">
        <v>34.81</v>
      </c>
      <c r="H683" s="13">
        <v>1</v>
      </c>
      <c r="I683" s="17">
        <v>1.7404999999999999</v>
      </c>
      <c r="J683" s="9">
        <v>36.5505</v>
      </c>
      <c r="K683" s="21">
        <v>43479</v>
      </c>
      <c r="L683" s="3">
        <v>0.42430555555555555</v>
      </c>
      <c r="M683" s="7" t="s">
        <v>27</v>
      </c>
      <c r="N683" s="19">
        <v>34.81</v>
      </c>
      <c r="O683" s="15">
        <v>4.7619047620000003</v>
      </c>
      <c r="P683" s="9">
        <v>1.7404999999999999</v>
      </c>
      <c r="Q683" s="11">
        <v>7</v>
      </c>
    </row>
    <row r="684" spans="1:17" x14ac:dyDescent="0.25">
      <c r="A684" s="5" t="s">
        <v>712</v>
      </c>
      <c r="B684" s="7" t="s">
        <v>20</v>
      </c>
      <c r="C684" s="7" t="s">
        <v>1034</v>
      </c>
      <c r="D684" s="7" t="s">
        <v>21</v>
      </c>
      <c r="E684" s="7" t="s">
        <v>16</v>
      </c>
      <c r="F684" s="7" t="s">
        <v>40</v>
      </c>
      <c r="G684" s="9">
        <v>49.32</v>
      </c>
      <c r="H684" s="13">
        <v>6</v>
      </c>
      <c r="I684" s="17">
        <v>14.795999999999999</v>
      </c>
      <c r="J684" s="9">
        <v>310.71600000000001</v>
      </c>
      <c r="K684" s="21">
        <v>43474</v>
      </c>
      <c r="L684" s="3">
        <v>0.57361111111111107</v>
      </c>
      <c r="M684" s="7" t="s">
        <v>18</v>
      </c>
      <c r="N684" s="19">
        <v>295.92</v>
      </c>
      <c r="O684" s="15">
        <v>4.7619047620000003</v>
      </c>
      <c r="P684" s="9">
        <v>14.795999999999999</v>
      </c>
      <c r="Q684" s="11">
        <v>7.1</v>
      </c>
    </row>
    <row r="685" spans="1:17" x14ac:dyDescent="0.25">
      <c r="A685" s="5" t="s">
        <v>713</v>
      </c>
      <c r="B685" s="7" t="s">
        <v>13</v>
      </c>
      <c r="C685" s="7" t="s">
        <v>14</v>
      </c>
      <c r="D685" s="7" t="s">
        <v>15</v>
      </c>
      <c r="E685" s="7" t="s">
        <v>25</v>
      </c>
      <c r="F685" s="7" t="s">
        <v>40</v>
      </c>
      <c r="G685" s="9">
        <v>21.48</v>
      </c>
      <c r="H685" s="13">
        <v>2</v>
      </c>
      <c r="I685" s="17">
        <v>2.1480000000000001</v>
      </c>
      <c r="J685" s="9">
        <v>45.107999999999997</v>
      </c>
      <c r="K685" s="21">
        <v>43523</v>
      </c>
      <c r="L685" s="3">
        <v>0.51527777777777772</v>
      </c>
      <c r="M685" s="7" t="s">
        <v>18</v>
      </c>
      <c r="N685" s="19">
        <v>42.96</v>
      </c>
      <c r="O685" s="15">
        <v>4.7619047620000003</v>
      </c>
      <c r="P685" s="9">
        <v>2.1480000000000001</v>
      </c>
      <c r="Q685" s="11">
        <v>6.6</v>
      </c>
    </row>
    <row r="686" spans="1:17" x14ac:dyDescent="0.25">
      <c r="A686" s="5" t="s">
        <v>714</v>
      </c>
      <c r="B686" s="7" t="s">
        <v>36</v>
      </c>
      <c r="C686" s="7" t="s">
        <v>37</v>
      </c>
      <c r="D686" s="7" t="s">
        <v>15</v>
      </c>
      <c r="E686" s="7" t="s">
        <v>16</v>
      </c>
      <c r="F686" s="7" t="s">
        <v>30</v>
      </c>
      <c r="G686" s="9">
        <v>23.08</v>
      </c>
      <c r="H686" s="13">
        <v>6</v>
      </c>
      <c r="I686" s="17">
        <v>6.9240000000000004</v>
      </c>
      <c r="J686" s="9">
        <v>145.404</v>
      </c>
      <c r="K686" s="21">
        <v>43489</v>
      </c>
      <c r="L686" s="3">
        <v>0.80555555555555558</v>
      </c>
      <c r="M686" s="7" t="s">
        <v>18</v>
      </c>
      <c r="N686" s="19">
        <v>138.47999999999999</v>
      </c>
      <c r="O686" s="15">
        <v>4.7619047620000003</v>
      </c>
      <c r="P686" s="9">
        <v>6.9240000000000004</v>
      </c>
      <c r="Q686" s="11">
        <v>4.9000000000000004</v>
      </c>
    </row>
    <row r="687" spans="1:17" x14ac:dyDescent="0.25">
      <c r="A687" s="5" t="s">
        <v>715</v>
      </c>
      <c r="B687" s="7" t="s">
        <v>36</v>
      </c>
      <c r="C687" s="7" t="s">
        <v>37</v>
      </c>
      <c r="D687" s="7" t="s">
        <v>15</v>
      </c>
      <c r="E687" s="7" t="s">
        <v>16</v>
      </c>
      <c r="F687" s="7" t="s">
        <v>26</v>
      </c>
      <c r="G687" s="9">
        <v>49.1</v>
      </c>
      <c r="H687" s="13">
        <v>2</v>
      </c>
      <c r="I687" s="17">
        <v>4.91</v>
      </c>
      <c r="J687" s="9">
        <v>103.11</v>
      </c>
      <c r="K687" s="21">
        <v>43473</v>
      </c>
      <c r="L687" s="3">
        <v>0.54027777777777775</v>
      </c>
      <c r="M687" s="7" t="s">
        <v>27</v>
      </c>
      <c r="N687" s="19">
        <v>98.2</v>
      </c>
      <c r="O687" s="15">
        <v>4.7619047620000003</v>
      </c>
      <c r="P687" s="9">
        <v>4.91</v>
      </c>
      <c r="Q687" s="11">
        <v>6.4</v>
      </c>
    </row>
    <row r="688" spans="1:17" x14ac:dyDescent="0.25">
      <c r="A688" s="5" t="s">
        <v>716</v>
      </c>
      <c r="B688" s="7" t="s">
        <v>36</v>
      </c>
      <c r="C688" s="7" t="s">
        <v>37</v>
      </c>
      <c r="D688" s="7" t="s">
        <v>15</v>
      </c>
      <c r="E688" s="7" t="s">
        <v>16</v>
      </c>
      <c r="F688" s="7" t="s">
        <v>30</v>
      </c>
      <c r="G688" s="9">
        <v>64.83</v>
      </c>
      <c r="H688" s="13">
        <v>2</v>
      </c>
      <c r="I688" s="17">
        <v>6.4829999999999997</v>
      </c>
      <c r="J688" s="9">
        <v>136.143</v>
      </c>
      <c r="K688" s="21">
        <v>43473</v>
      </c>
      <c r="L688" s="3">
        <v>0.49930555555555556</v>
      </c>
      <c r="M688" s="7" t="s">
        <v>27</v>
      </c>
      <c r="N688" s="19">
        <v>129.66</v>
      </c>
      <c r="O688" s="15">
        <v>4.7619047620000003</v>
      </c>
      <c r="P688" s="9">
        <v>6.4829999999999997</v>
      </c>
      <c r="Q688" s="11">
        <v>8</v>
      </c>
    </row>
    <row r="689" spans="1:17" x14ac:dyDescent="0.25">
      <c r="A689" s="5" t="s">
        <v>717</v>
      </c>
      <c r="B689" s="7" t="s">
        <v>13</v>
      </c>
      <c r="C689" s="7" t="s">
        <v>14</v>
      </c>
      <c r="D689" s="7" t="s">
        <v>15</v>
      </c>
      <c r="E689" s="7" t="s">
        <v>25</v>
      </c>
      <c r="F689" s="7" t="s">
        <v>26</v>
      </c>
      <c r="G689" s="9">
        <v>63.56</v>
      </c>
      <c r="H689" s="13">
        <v>10</v>
      </c>
      <c r="I689" s="17">
        <v>31.78</v>
      </c>
      <c r="J689" s="9">
        <v>667.38</v>
      </c>
      <c r="K689" s="21">
        <v>43481</v>
      </c>
      <c r="L689" s="3">
        <v>0.74930555555555556</v>
      </c>
      <c r="M689" s="7" t="s">
        <v>23</v>
      </c>
      <c r="N689" s="19">
        <v>635.6</v>
      </c>
      <c r="O689" s="15">
        <v>4.7619047620000003</v>
      </c>
      <c r="P689" s="9">
        <v>31.78</v>
      </c>
      <c r="Q689" s="11">
        <v>4.3</v>
      </c>
    </row>
    <row r="690" spans="1:17" x14ac:dyDescent="0.25">
      <c r="A690" s="5" t="s">
        <v>718</v>
      </c>
      <c r="B690" s="7" t="s">
        <v>20</v>
      </c>
      <c r="C690" s="7" t="s">
        <v>1034</v>
      </c>
      <c r="D690" s="7" t="s">
        <v>15</v>
      </c>
      <c r="E690" s="7" t="s">
        <v>25</v>
      </c>
      <c r="F690" s="7" t="s">
        <v>30</v>
      </c>
      <c r="G690" s="9">
        <v>72.88</v>
      </c>
      <c r="H690" s="13">
        <v>2</v>
      </c>
      <c r="I690" s="17">
        <v>7.2880000000000003</v>
      </c>
      <c r="J690" s="9">
        <v>153.048</v>
      </c>
      <c r="K690" s="21">
        <v>43537</v>
      </c>
      <c r="L690" s="3">
        <v>0.53541666666666665</v>
      </c>
      <c r="M690" s="7" t="s">
        <v>23</v>
      </c>
      <c r="N690" s="19">
        <v>145.76</v>
      </c>
      <c r="O690" s="15">
        <v>4.7619047620000003</v>
      </c>
      <c r="P690" s="9">
        <v>7.2880000000000003</v>
      </c>
      <c r="Q690" s="11">
        <v>6.1</v>
      </c>
    </row>
    <row r="691" spans="1:17" x14ac:dyDescent="0.25">
      <c r="A691" s="5" t="s">
        <v>719</v>
      </c>
      <c r="B691" s="7" t="s">
        <v>13</v>
      </c>
      <c r="C691" s="7" t="s">
        <v>14</v>
      </c>
      <c r="D691" s="7" t="s">
        <v>21</v>
      </c>
      <c r="E691" s="7" t="s">
        <v>16</v>
      </c>
      <c r="F691" s="7" t="s">
        <v>38</v>
      </c>
      <c r="G691" s="9">
        <v>67.099999999999994</v>
      </c>
      <c r="H691" s="13">
        <v>3</v>
      </c>
      <c r="I691" s="17">
        <v>10.065</v>
      </c>
      <c r="J691" s="9">
        <v>211.36500000000001</v>
      </c>
      <c r="K691" s="21">
        <v>43511</v>
      </c>
      <c r="L691" s="3">
        <v>0.44166666666666665</v>
      </c>
      <c r="M691" s="7" t="s">
        <v>23</v>
      </c>
      <c r="N691" s="19">
        <v>201.3</v>
      </c>
      <c r="O691" s="15">
        <v>4.7619047620000003</v>
      </c>
      <c r="P691" s="9">
        <v>10.065</v>
      </c>
      <c r="Q691" s="11">
        <v>7.5</v>
      </c>
    </row>
    <row r="692" spans="1:17" x14ac:dyDescent="0.25">
      <c r="A692" s="5" t="s">
        <v>720</v>
      </c>
      <c r="B692" s="7" t="s">
        <v>20</v>
      </c>
      <c r="C692" s="7" t="s">
        <v>1034</v>
      </c>
      <c r="D692" s="7" t="s">
        <v>15</v>
      </c>
      <c r="E692" s="7" t="s">
        <v>16</v>
      </c>
      <c r="F692" s="7" t="s">
        <v>30</v>
      </c>
      <c r="G692" s="9">
        <v>70.19</v>
      </c>
      <c r="H692" s="13">
        <v>9</v>
      </c>
      <c r="I692" s="17">
        <v>31.5855</v>
      </c>
      <c r="J692" s="9">
        <v>663.29549999999995</v>
      </c>
      <c r="K692" s="21">
        <v>43490</v>
      </c>
      <c r="L692" s="3">
        <v>0.56805555555555554</v>
      </c>
      <c r="M692" s="7" t="s">
        <v>23</v>
      </c>
      <c r="N692" s="19">
        <v>631.71</v>
      </c>
      <c r="O692" s="15">
        <v>4.7619047620000003</v>
      </c>
      <c r="P692" s="9">
        <v>31.5855</v>
      </c>
      <c r="Q692" s="11">
        <v>6.7</v>
      </c>
    </row>
    <row r="693" spans="1:17" x14ac:dyDescent="0.25">
      <c r="A693" s="5" t="s">
        <v>721</v>
      </c>
      <c r="B693" s="7" t="s">
        <v>20</v>
      </c>
      <c r="C693" s="7" t="s">
        <v>1034</v>
      </c>
      <c r="D693" s="7" t="s">
        <v>15</v>
      </c>
      <c r="E693" s="7" t="s">
        <v>25</v>
      </c>
      <c r="F693" s="7" t="s">
        <v>38</v>
      </c>
      <c r="G693" s="9">
        <v>55.04</v>
      </c>
      <c r="H693" s="13">
        <v>7</v>
      </c>
      <c r="I693" s="17">
        <v>19.263999999999999</v>
      </c>
      <c r="J693" s="9">
        <v>404.54399999999998</v>
      </c>
      <c r="K693" s="21">
        <v>43536</v>
      </c>
      <c r="L693" s="3">
        <v>0.81874999999999998</v>
      </c>
      <c r="M693" s="7" t="s">
        <v>18</v>
      </c>
      <c r="N693" s="19">
        <v>385.28</v>
      </c>
      <c r="O693" s="15">
        <v>4.7619047620000003</v>
      </c>
      <c r="P693" s="9">
        <v>19.263999999999999</v>
      </c>
      <c r="Q693" s="11">
        <v>5.2</v>
      </c>
    </row>
    <row r="694" spans="1:17" x14ac:dyDescent="0.25">
      <c r="A694" s="5" t="s">
        <v>722</v>
      </c>
      <c r="B694" s="7" t="s">
        <v>13</v>
      </c>
      <c r="C694" s="7" t="s">
        <v>14</v>
      </c>
      <c r="D694" s="7" t="s">
        <v>15</v>
      </c>
      <c r="E694" s="7" t="s">
        <v>25</v>
      </c>
      <c r="F694" s="7" t="s">
        <v>17</v>
      </c>
      <c r="G694" s="9">
        <v>48.63</v>
      </c>
      <c r="H694" s="13">
        <v>10</v>
      </c>
      <c r="I694" s="17">
        <v>24.315000000000001</v>
      </c>
      <c r="J694" s="9">
        <v>510.61500000000001</v>
      </c>
      <c r="K694" s="21">
        <v>43528</v>
      </c>
      <c r="L694" s="3">
        <v>0.53055555555555556</v>
      </c>
      <c r="M694" s="7" t="s">
        <v>23</v>
      </c>
      <c r="N694" s="19">
        <v>486.3</v>
      </c>
      <c r="O694" s="15">
        <v>4.7619047620000003</v>
      </c>
      <c r="P694" s="9">
        <v>24.315000000000001</v>
      </c>
      <c r="Q694" s="11">
        <v>8.8000000000000007</v>
      </c>
    </row>
    <row r="695" spans="1:17" x14ac:dyDescent="0.25">
      <c r="A695" s="5" t="s">
        <v>723</v>
      </c>
      <c r="B695" s="7" t="s">
        <v>20</v>
      </c>
      <c r="C695" s="7" t="s">
        <v>1034</v>
      </c>
      <c r="D695" s="7" t="s">
        <v>15</v>
      </c>
      <c r="E695" s="7" t="s">
        <v>16</v>
      </c>
      <c r="F695" s="7" t="s">
        <v>40</v>
      </c>
      <c r="G695" s="9">
        <v>73.38</v>
      </c>
      <c r="H695" s="13">
        <v>7</v>
      </c>
      <c r="I695" s="17">
        <v>25.683</v>
      </c>
      <c r="J695" s="9">
        <v>539.34299999999996</v>
      </c>
      <c r="K695" s="21">
        <v>43506</v>
      </c>
      <c r="L695" s="3">
        <v>0.5805555555555556</v>
      </c>
      <c r="M695" s="7" t="s">
        <v>23</v>
      </c>
      <c r="N695" s="19">
        <v>513.66</v>
      </c>
      <c r="O695" s="15">
        <v>4.7619047620000003</v>
      </c>
      <c r="P695" s="9">
        <v>25.683</v>
      </c>
      <c r="Q695" s="11">
        <v>9.5</v>
      </c>
    </row>
    <row r="696" spans="1:17" x14ac:dyDescent="0.25">
      <c r="A696" s="5" t="s">
        <v>724</v>
      </c>
      <c r="B696" s="7" t="s">
        <v>20</v>
      </c>
      <c r="C696" s="7" t="s">
        <v>1034</v>
      </c>
      <c r="D696" s="7" t="s">
        <v>21</v>
      </c>
      <c r="E696" s="7" t="s">
        <v>16</v>
      </c>
      <c r="F696" s="7" t="s">
        <v>38</v>
      </c>
      <c r="G696" s="9">
        <v>52.6</v>
      </c>
      <c r="H696" s="13">
        <v>9</v>
      </c>
      <c r="I696" s="17">
        <v>23.67</v>
      </c>
      <c r="J696" s="9">
        <v>497.07</v>
      </c>
      <c r="K696" s="21">
        <v>43481</v>
      </c>
      <c r="L696" s="3">
        <v>0.61250000000000004</v>
      </c>
      <c r="M696" s="7" t="s">
        <v>23</v>
      </c>
      <c r="N696" s="19">
        <v>473.4</v>
      </c>
      <c r="O696" s="15">
        <v>4.7619047620000003</v>
      </c>
      <c r="P696" s="9">
        <v>23.67</v>
      </c>
      <c r="Q696" s="11">
        <v>7.6</v>
      </c>
    </row>
    <row r="697" spans="1:17" x14ac:dyDescent="0.25">
      <c r="A697" s="5" t="s">
        <v>725</v>
      </c>
      <c r="B697" s="7" t="s">
        <v>13</v>
      </c>
      <c r="C697" s="7" t="s">
        <v>14</v>
      </c>
      <c r="D697" s="7" t="s">
        <v>15</v>
      </c>
      <c r="E697" s="7" t="s">
        <v>16</v>
      </c>
      <c r="F697" s="7" t="s">
        <v>26</v>
      </c>
      <c r="G697" s="9">
        <v>87.37</v>
      </c>
      <c r="H697" s="13">
        <v>5</v>
      </c>
      <c r="I697" s="17">
        <v>21.842500000000001</v>
      </c>
      <c r="J697" s="9">
        <v>458.6925</v>
      </c>
      <c r="K697" s="21">
        <v>43494</v>
      </c>
      <c r="L697" s="3">
        <v>0.82291666666666663</v>
      </c>
      <c r="M697" s="7" t="s">
        <v>23</v>
      </c>
      <c r="N697" s="19">
        <v>436.85</v>
      </c>
      <c r="O697" s="15">
        <v>4.7619047620000003</v>
      </c>
      <c r="P697" s="9">
        <v>21.842500000000001</v>
      </c>
      <c r="Q697" s="11">
        <v>6.6</v>
      </c>
    </row>
    <row r="698" spans="1:17" x14ac:dyDescent="0.25">
      <c r="A698" s="5" t="s">
        <v>726</v>
      </c>
      <c r="B698" s="7" t="s">
        <v>13</v>
      </c>
      <c r="C698" s="7" t="s">
        <v>14</v>
      </c>
      <c r="D698" s="7" t="s">
        <v>15</v>
      </c>
      <c r="E698" s="7" t="s">
        <v>16</v>
      </c>
      <c r="F698" s="7" t="s">
        <v>30</v>
      </c>
      <c r="G698" s="9">
        <v>27.04</v>
      </c>
      <c r="H698" s="13">
        <v>4</v>
      </c>
      <c r="I698" s="17">
        <v>5.4080000000000004</v>
      </c>
      <c r="J698" s="9">
        <v>113.568</v>
      </c>
      <c r="K698" s="21">
        <v>43466</v>
      </c>
      <c r="L698" s="3">
        <v>0.85138888888888886</v>
      </c>
      <c r="M698" s="7" t="s">
        <v>18</v>
      </c>
      <c r="N698" s="19">
        <v>108.16</v>
      </c>
      <c r="O698" s="15">
        <v>4.7619047620000003</v>
      </c>
      <c r="P698" s="9">
        <v>5.4080000000000004</v>
      </c>
      <c r="Q698" s="11">
        <v>6.9</v>
      </c>
    </row>
    <row r="699" spans="1:17" x14ac:dyDescent="0.25">
      <c r="A699" s="5" t="s">
        <v>727</v>
      </c>
      <c r="B699" s="7" t="s">
        <v>36</v>
      </c>
      <c r="C699" s="7" t="s">
        <v>37</v>
      </c>
      <c r="D699" s="7" t="s">
        <v>21</v>
      </c>
      <c r="E699" s="7" t="s">
        <v>25</v>
      </c>
      <c r="F699" s="7" t="s">
        <v>26</v>
      </c>
      <c r="G699" s="9">
        <v>62.19</v>
      </c>
      <c r="H699" s="13">
        <v>4</v>
      </c>
      <c r="I699" s="17">
        <v>12.438000000000001</v>
      </c>
      <c r="J699" s="9">
        <v>261.19799999999998</v>
      </c>
      <c r="K699" s="21">
        <v>43471</v>
      </c>
      <c r="L699" s="3">
        <v>0.82361111111111107</v>
      </c>
      <c r="M699" s="7" t="s">
        <v>18</v>
      </c>
      <c r="N699" s="19">
        <v>248.76</v>
      </c>
      <c r="O699" s="15">
        <v>4.7619047620000003</v>
      </c>
      <c r="P699" s="9">
        <v>12.438000000000001</v>
      </c>
      <c r="Q699" s="11">
        <v>4.3</v>
      </c>
    </row>
    <row r="700" spans="1:17" x14ac:dyDescent="0.25">
      <c r="A700" s="5" t="s">
        <v>728</v>
      </c>
      <c r="B700" s="7" t="s">
        <v>13</v>
      </c>
      <c r="C700" s="7" t="s">
        <v>14</v>
      </c>
      <c r="D700" s="7" t="s">
        <v>15</v>
      </c>
      <c r="E700" s="7" t="s">
        <v>25</v>
      </c>
      <c r="F700" s="7" t="s">
        <v>22</v>
      </c>
      <c r="G700" s="9">
        <v>69.58</v>
      </c>
      <c r="H700" s="13">
        <v>9</v>
      </c>
      <c r="I700" s="17">
        <v>31.311</v>
      </c>
      <c r="J700" s="9">
        <v>657.53099999999995</v>
      </c>
      <c r="K700" s="21">
        <v>43515</v>
      </c>
      <c r="L700" s="3">
        <v>0.81805555555555554</v>
      </c>
      <c r="M700" s="7" t="s">
        <v>27</v>
      </c>
      <c r="N700" s="19">
        <v>626.22</v>
      </c>
      <c r="O700" s="15">
        <v>4.7619047620000003</v>
      </c>
      <c r="P700" s="9">
        <v>31.311</v>
      </c>
      <c r="Q700" s="11">
        <v>7.8</v>
      </c>
    </row>
    <row r="701" spans="1:17" x14ac:dyDescent="0.25">
      <c r="A701" s="5" t="s">
        <v>729</v>
      </c>
      <c r="B701" s="7" t="s">
        <v>20</v>
      </c>
      <c r="C701" s="7" t="s">
        <v>1034</v>
      </c>
      <c r="D701" s="7" t="s">
        <v>21</v>
      </c>
      <c r="E701" s="7" t="s">
        <v>25</v>
      </c>
      <c r="F701" s="7" t="s">
        <v>26</v>
      </c>
      <c r="G701" s="9">
        <v>97.5</v>
      </c>
      <c r="H701" s="13">
        <v>10</v>
      </c>
      <c r="I701" s="17">
        <v>48.75</v>
      </c>
      <c r="J701" s="9">
        <v>1023.75</v>
      </c>
      <c r="K701" s="21">
        <v>43477</v>
      </c>
      <c r="L701" s="3">
        <v>0.6791666666666667</v>
      </c>
      <c r="M701" s="7" t="s">
        <v>18</v>
      </c>
      <c r="N701" s="19">
        <v>975</v>
      </c>
      <c r="O701" s="15">
        <v>4.7619047620000003</v>
      </c>
      <c r="P701" s="9">
        <v>48.75</v>
      </c>
      <c r="Q701" s="11">
        <v>8</v>
      </c>
    </row>
    <row r="702" spans="1:17" x14ac:dyDescent="0.25">
      <c r="A702" s="5" t="s">
        <v>730</v>
      </c>
      <c r="B702" s="7" t="s">
        <v>20</v>
      </c>
      <c r="C702" s="7" t="s">
        <v>1034</v>
      </c>
      <c r="D702" s="7" t="s">
        <v>21</v>
      </c>
      <c r="E702" s="7" t="s">
        <v>16</v>
      </c>
      <c r="F702" s="7" t="s">
        <v>40</v>
      </c>
      <c r="G702" s="9">
        <v>60.41</v>
      </c>
      <c r="H702" s="13">
        <v>8</v>
      </c>
      <c r="I702" s="17">
        <v>24.164000000000001</v>
      </c>
      <c r="J702" s="9">
        <v>507.44400000000002</v>
      </c>
      <c r="K702" s="21">
        <v>43503</v>
      </c>
      <c r="L702" s="3">
        <v>0.51597222222222228</v>
      </c>
      <c r="M702" s="7" t="s">
        <v>18</v>
      </c>
      <c r="N702" s="19">
        <v>483.28</v>
      </c>
      <c r="O702" s="15">
        <v>4.7619047620000003</v>
      </c>
      <c r="P702" s="9">
        <v>24.164000000000001</v>
      </c>
      <c r="Q702" s="11">
        <v>9.6</v>
      </c>
    </row>
    <row r="703" spans="1:17" x14ac:dyDescent="0.25">
      <c r="A703" s="5" t="s">
        <v>731</v>
      </c>
      <c r="B703" s="7" t="s">
        <v>36</v>
      </c>
      <c r="C703" s="7" t="s">
        <v>37</v>
      </c>
      <c r="D703" s="7" t="s">
        <v>21</v>
      </c>
      <c r="E703" s="7" t="s">
        <v>25</v>
      </c>
      <c r="F703" s="7" t="s">
        <v>38</v>
      </c>
      <c r="G703" s="9">
        <v>32.32</v>
      </c>
      <c r="H703" s="13">
        <v>3</v>
      </c>
      <c r="I703" s="17">
        <v>4.8479999999999999</v>
      </c>
      <c r="J703" s="9">
        <v>101.80800000000001</v>
      </c>
      <c r="K703" s="21">
        <v>43551</v>
      </c>
      <c r="L703" s="3">
        <v>0.7993055555555556</v>
      </c>
      <c r="M703" s="7" t="s">
        <v>27</v>
      </c>
      <c r="N703" s="19">
        <v>96.96</v>
      </c>
      <c r="O703" s="15">
        <v>4.7619047620000003</v>
      </c>
      <c r="P703" s="9">
        <v>4.8479999999999999</v>
      </c>
      <c r="Q703" s="11">
        <v>4.3</v>
      </c>
    </row>
    <row r="704" spans="1:17" x14ac:dyDescent="0.25">
      <c r="A704" s="5" t="s">
        <v>732</v>
      </c>
      <c r="B704" s="7" t="s">
        <v>36</v>
      </c>
      <c r="C704" s="7" t="s">
        <v>37</v>
      </c>
      <c r="D704" s="7" t="s">
        <v>15</v>
      </c>
      <c r="E704" s="7" t="s">
        <v>16</v>
      </c>
      <c r="F704" s="7" t="s">
        <v>40</v>
      </c>
      <c r="G704" s="9">
        <v>19.77</v>
      </c>
      <c r="H704" s="13">
        <v>10</v>
      </c>
      <c r="I704" s="17">
        <v>9.8849999999999998</v>
      </c>
      <c r="J704" s="9">
        <v>207.58500000000001</v>
      </c>
      <c r="K704" s="21">
        <v>43523</v>
      </c>
      <c r="L704" s="3">
        <v>0.7895833333333333</v>
      </c>
      <c r="M704" s="7" t="s">
        <v>27</v>
      </c>
      <c r="N704" s="19">
        <v>197.7</v>
      </c>
      <c r="O704" s="15">
        <v>4.7619047620000003</v>
      </c>
      <c r="P704" s="9">
        <v>9.8849999999999998</v>
      </c>
      <c r="Q704" s="11">
        <v>5</v>
      </c>
    </row>
    <row r="705" spans="1:17" x14ac:dyDescent="0.25">
      <c r="A705" s="5" t="s">
        <v>733</v>
      </c>
      <c r="B705" s="7" t="s">
        <v>36</v>
      </c>
      <c r="C705" s="7" t="s">
        <v>37</v>
      </c>
      <c r="D705" s="7" t="s">
        <v>15</v>
      </c>
      <c r="E705" s="7" t="s">
        <v>25</v>
      </c>
      <c r="F705" s="7" t="s">
        <v>17</v>
      </c>
      <c r="G705" s="9">
        <v>80.47</v>
      </c>
      <c r="H705" s="13">
        <v>9</v>
      </c>
      <c r="I705" s="17">
        <v>36.211500000000001</v>
      </c>
      <c r="J705" s="9">
        <v>760.44150000000002</v>
      </c>
      <c r="K705" s="21">
        <v>43471</v>
      </c>
      <c r="L705" s="3">
        <v>0.47083333333333333</v>
      </c>
      <c r="M705" s="7" t="s">
        <v>23</v>
      </c>
      <c r="N705" s="19">
        <v>724.23</v>
      </c>
      <c r="O705" s="15">
        <v>4.7619047620000003</v>
      </c>
      <c r="P705" s="9">
        <v>36.211500000000001</v>
      </c>
      <c r="Q705" s="11">
        <v>9.1999999999999993</v>
      </c>
    </row>
    <row r="706" spans="1:17" x14ac:dyDescent="0.25">
      <c r="A706" s="5" t="s">
        <v>734</v>
      </c>
      <c r="B706" s="7" t="s">
        <v>36</v>
      </c>
      <c r="C706" s="7" t="s">
        <v>37</v>
      </c>
      <c r="D706" s="7" t="s">
        <v>15</v>
      </c>
      <c r="E706" s="7" t="s">
        <v>16</v>
      </c>
      <c r="F706" s="7" t="s">
        <v>26</v>
      </c>
      <c r="G706" s="9">
        <v>88.39</v>
      </c>
      <c r="H706" s="13">
        <v>9</v>
      </c>
      <c r="I706" s="17">
        <v>39.775500000000001</v>
      </c>
      <c r="J706" s="9">
        <v>835.28549999999996</v>
      </c>
      <c r="K706" s="21">
        <v>43526</v>
      </c>
      <c r="L706" s="3">
        <v>0.52777777777777779</v>
      </c>
      <c r="M706" s="7" t="s">
        <v>23</v>
      </c>
      <c r="N706" s="19">
        <v>795.51</v>
      </c>
      <c r="O706" s="15">
        <v>4.7619047620000003</v>
      </c>
      <c r="P706" s="9">
        <v>39.775500000000001</v>
      </c>
      <c r="Q706" s="11">
        <v>6.3</v>
      </c>
    </row>
    <row r="707" spans="1:17" x14ac:dyDescent="0.25">
      <c r="A707" s="5" t="s">
        <v>735</v>
      </c>
      <c r="B707" s="7" t="s">
        <v>36</v>
      </c>
      <c r="C707" s="7" t="s">
        <v>37</v>
      </c>
      <c r="D707" s="7" t="s">
        <v>21</v>
      </c>
      <c r="E707" s="7" t="s">
        <v>25</v>
      </c>
      <c r="F707" s="7" t="s">
        <v>17</v>
      </c>
      <c r="G707" s="9">
        <v>71.77</v>
      </c>
      <c r="H707" s="13">
        <v>7</v>
      </c>
      <c r="I707" s="17">
        <v>25.119499999999999</v>
      </c>
      <c r="J707" s="9">
        <v>527.5095</v>
      </c>
      <c r="K707" s="21">
        <v>43553</v>
      </c>
      <c r="L707" s="3">
        <v>0.58750000000000002</v>
      </c>
      <c r="M707" s="7" t="s">
        <v>23</v>
      </c>
      <c r="N707" s="19">
        <v>502.39</v>
      </c>
      <c r="O707" s="15">
        <v>4.7619047620000003</v>
      </c>
      <c r="P707" s="9">
        <v>25.119499999999999</v>
      </c>
      <c r="Q707" s="11">
        <v>8.9</v>
      </c>
    </row>
    <row r="708" spans="1:17" x14ac:dyDescent="0.25">
      <c r="A708" s="5" t="s">
        <v>736</v>
      </c>
      <c r="B708" s="7" t="s">
        <v>36</v>
      </c>
      <c r="C708" s="7" t="s">
        <v>37</v>
      </c>
      <c r="D708" s="7" t="s">
        <v>21</v>
      </c>
      <c r="E708" s="7" t="s">
        <v>16</v>
      </c>
      <c r="F708" s="7" t="s">
        <v>22</v>
      </c>
      <c r="G708" s="9">
        <v>43</v>
      </c>
      <c r="H708" s="13">
        <v>4</v>
      </c>
      <c r="I708" s="17">
        <v>8.6</v>
      </c>
      <c r="J708" s="9">
        <v>180.6</v>
      </c>
      <c r="K708" s="21">
        <v>43496</v>
      </c>
      <c r="L708" s="3">
        <v>0.8666666666666667</v>
      </c>
      <c r="M708" s="7" t="s">
        <v>18</v>
      </c>
      <c r="N708" s="19">
        <v>172</v>
      </c>
      <c r="O708" s="15">
        <v>4.7619047620000003</v>
      </c>
      <c r="P708" s="9">
        <v>8.6</v>
      </c>
      <c r="Q708" s="11">
        <v>7.6</v>
      </c>
    </row>
    <row r="709" spans="1:17" x14ac:dyDescent="0.25">
      <c r="A709" s="5" t="s">
        <v>737</v>
      </c>
      <c r="B709" s="7" t="s">
        <v>20</v>
      </c>
      <c r="C709" s="7" t="s">
        <v>1034</v>
      </c>
      <c r="D709" s="7" t="s">
        <v>15</v>
      </c>
      <c r="E709" s="7" t="s">
        <v>25</v>
      </c>
      <c r="F709" s="7" t="s">
        <v>38</v>
      </c>
      <c r="G709" s="9">
        <v>68.98</v>
      </c>
      <c r="H709" s="13">
        <v>1</v>
      </c>
      <c r="I709" s="17">
        <v>3.4489999999999998</v>
      </c>
      <c r="J709" s="9">
        <v>72.429000000000002</v>
      </c>
      <c r="K709" s="21">
        <v>43486</v>
      </c>
      <c r="L709" s="3">
        <v>0.84236111111111112</v>
      </c>
      <c r="M709" s="7" t="s">
        <v>23</v>
      </c>
      <c r="N709" s="19">
        <v>68.98</v>
      </c>
      <c r="O709" s="15">
        <v>4.7619047620000003</v>
      </c>
      <c r="P709" s="9">
        <v>3.4489999999999998</v>
      </c>
      <c r="Q709" s="11">
        <v>4.8</v>
      </c>
    </row>
    <row r="710" spans="1:17" x14ac:dyDescent="0.25">
      <c r="A710" s="5" t="s">
        <v>738</v>
      </c>
      <c r="B710" s="7" t="s">
        <v>20</v>
      </c>
      <c r="C710" s="7" t="s">
        <v>1034</v>
      </c>
      <c r="D710" s="7" t="s">
        <v>21</v>
      </c>
      <c r="E710" s="7" t="s">
        <v>25</v>
      </c>
      <c r="F710" s="7" t="s">
        <v>40</v>
      </c>
      <c r="G710" s="9">
        <v>15.62</v>
      </c>
      <c r="H710" s="13">
        <v>8</v>
      </c>
      <c r="I710" s="17">
        <v>6.2480000000000002</v>
      </c>
      <c r="J710" s="9">
        <v>131.208</v>
      </c>
      <c r="K710" s="21">
        <v>43485</v>
      </c>
      <c r="L710" s="3">
        <v>0.85902777777777772</v>
      </c>
      <c r="M710" s="7" t="s">
        <v>18</v>
      </c>
      <c r="N710" s="19">
        <v>124.96</v>
      </c>
      <c r="O710" s="15">
        <v>4.7619047620000003</v>
      </c>
      <c r="P710" s="9">
        <v>6.2480000000000002</v>
      </c>
      <c r="Q710" s="11">
        <v>9.1</v>
      </c>
    </row>
    <row r="711" spans="1:17" x14ac:dyDescent="0.25">
      <c r="A711" s="5" t="s">
        <v>739</v>
      </c>
      <c r="B711" s="7" t="s">
        <v>13</v>
      </c>
      <c r="C711" s="7" t="s">
        <v>14</v>
      </c>
      <c r="D711" s="7" t="s">
        <v>21</v>
      </c>
      <c r="E711" s="7" t="s">
        <v>25</v>
      </c>
      <c r="F711" s="7" t="s">
        <v>30</v>
      </c>
      <c r="G711" s="9">
        <v>25.7</v>
      </c>
      <c r="H711" s="13">
        <v>3</v>
      </c>
      <c r="I711" s="17">
        <v>3.855</v>
      </c>
      <c r="J711" s="9">
        <v>80.954999999999998</v>
      </c>
      <c r="K711" s="21">
        <v>43482</v>
      </c>
      <c r="L711" s="3">
        <v>0.74930555555555556</v>
      </c>
      <c r="M711" s="7" t="s">
        <v>18</v>
      </c>
      <c r="N711" s="19">
        <v>77.099999999999994</v>
      </c>
      <c r="O711" s="15">
        <v>4.7619047620000003</v>
      </c>
      <c r="P711" s="9">
        <v>3.855</v>
      </c>
      <c r="Q711" s="11">
        <v>6.1</v>
      </c>
    </row>
    <row r="712" spans="1:17" x14ac:dyDescent="0.25">
      <c r="A712" s="5" t="s">
        <v>740</v>
      </c>
      <c r="B712" s="7" t="s">
        <v>13</v>
      </c>
      <c r="C712" s="7" t="s">
        <v>14</v>
      </c>
      <c r="D712" s="7" t="s">
        <v>15</v>
      </c>
      <c r="E712" s="7" t="s">
        <v>25</v>
      </c>
      <c r="F712" s="7" t="s">
        <v>38</v>
      </c>
      <c r="G712" s="9">
        <v>80.62</v>
      </c>
      <c r="H712" s="13">
        <v>6</v>
      </c>
      <c r="I712" s="17">
        <v>24.186</v>
      </c>
      <c r="J712" s="9">
        <v>507.90600000000001</v>
      </c>
      <c r="K712" s="21">
        <v>43524</v>
      </c>
      <c r="L712" s="3">
        <v>0.84583333333333333</v>
      </c>
      <c r="M712" s="7" t="s">
        <v>23</v>
      </c>
      <c r="N712" s="19">
        <v>483.72</v>
      </c>
      <c r="O712" s="15">
        <v>4.7619047620000003</v>
      </c>
      <c r="P712" s="9">
        <v>24.186</v>
      </c>
      <c r="Q712" s="11">
        <v>9.1</v>
      </c>
    </row>
    <row r="713" spans="1:17" x14ac:dyDescent="0.25">
      <c r="A713" s="5" t="s">
        <v>741</v>
      </c>
      <c r="B713" s="7" t="s">
        <v>20</v>
      </c>
      <c r="C713" s="7" t="s">
        <v>1034</v>
      </c>
      <c r="D713" s="7" t="s">
        <v>15</v>
      </c>
      <c r="E713" s="7" t="s">
        <v>16</v>
      </c>
      <c r="F713" s="7" t="s">
        <v>26</v>
      </c>
      <c r="G713" s="9">
        <v>75.53</v>
      </c>
      <c r="H713" s="13">
        <v>4</v>
      </c>
      <c r="I713" s="17">
        <v>15.106</v>
      </c>
      <c r="J713" s="9">
        <v>317.226</v>
      </c>
      <c r="K713" s="21">
        <v>43543</v>
      </c>
      <c r="L713" s="3">
        <v>0.66111111111111109</v>
      </c>
      <c r="M713" s="7" t="s">
        <v>18</v>
      </c>
      <c r="N713" s="19">
        <v>302.12</v>
      </c>
      <c r="O713" s="15">
        <v>4.7619047620000003</v>
      </c>
      <c r="P713" s="9">
        <v>15.106</v>
      </c>
      <c r="Q713" s="11">
        <v>8.3000000000000007</v>
      </c>
    </row>
    <row r="714" spans="1:17" x14ac:dyDescent="0.25">
      <c r="A714" s="5" t="s">
        <v>742</v>
      </c>
      <c r="B714" s="7" t="s">
        <v>20</v>
      </c>
      <c r="C714" s="7" t="s">
        <v>1034</v>
      </c>
      <c r="D714" s="7" t="s">
        <v>21</v>
      </c>
      <c r="E714" s="7" t="s">
        <v>16</v>
      </c>
      <c r="F714" s="7" t="s">
        <v>22</v>
      </c>
      <c r="G714" s="9">
        <v>77.63</v>
      </c>
      <c r="H714" s="13">
        <v>9</v>
      </c>
      <c r="I714" s="17">
        <v>34.933500000000002</v>
      </c>
      <c r="J714" s="9">
        <v>733.60350000000005</v>
      </c>
      <c r="K714" s="21">
        <v>43515</v>
      </c>
      <c r="L714" s="3">
        <v>0.63472222222222219</v>
      </c>
      <c r="M714" s="7" t="s">
        <v>18</v>
      </c>
      <c r="N714" s="19">
        <v>698.67</v>
      </c>
      <c r="O714" s="15">
        <v>4.7619047620000003</v>
      </c>
      <c r="P714" s="9">
        <v>34.933500000000002</v>
      </c>
      <c r="Q714" s="11">
        <v>7.2</v>
      </c>
    </row>
    <row r="715" spans="1:17" x14ac:dyDescent="0.25">
      <c r="A715" s="5" t="s">
        <v>743</v>
      </c>
      <c r="B715" s="7" t="s">
        <v>20</v>
      </c>
      <c r="C715" s="7" t="s">
        <v>1034</v>
      </c>
      <c r="D715" s="7" t="s">
        <v>21</v>
      </c>
      <c r="E715" s="7" t="s">
        <v>16</v>
      </c>
      <c r="F715" s="7" t="s">
        <v>17</v>
      </c>
      <c r="G715" s="9">
        <v>13.85</v>
      </c>
      <c r="H715" s="13">
        <v>9</v>
      </c>
      <c r="I715" s="17">
        <v>6.2324999999999999</v>
      </c>
      <c r="J715" s="9">
        <v>130.88249999999999</v>
      </c>
      <c r="K715" s="21">
        <v>43500</v>
      </c>
      <c r="L715" s="3">
        <v>0.53472222222222221</v>
      </c>
      <c r="M715" s="7" t="s">
        <v>18</v>
      </c>
      <c r="N715" s="19">
        <v>124.65</v>
      </c>
      <c r="O715" s="15">
        <v>4.7619047620000003</v>
      </c>
      <c r="P715" s="9">
        <v>6.2324999999999999</v>
      </c>
      <c r="Q715" s="11">
        <v>6</v>
      </c>
    </row>
    <row r="716" spans="1:17" x14ac:dyDescent="0.25">
      <c r="A716" s="5" t="s">
        <v>744</v>
      </c>
      <c r="B716" s="7" t="s">
        <v>20</v>
      </c>
      <c r="C716" s="7" t="s">
        <v>1034</v>
      </c>
      <c r="D716" s="7" t="s">
        <v>15</v>
      </c>
      <c r="E716" s="7" t="s">
        <v>25</v>
      </c>
      <c r="F716" s="7" t="s">
        <v>40</v>
      </c>
      <c r="G716" s="9">
        <v>98.7</v>
      </c>
      <c r="H716" s="13">
        <v>8</v>
      </c>
      <c r="I716" s="17">
        <v>39.479999999999997</v>
      </c>
      <c r="J716" s="9">
        <v>829.08</v>
      </c>
      <c r="K716" s="21">
        <v>43496</v>
      </c>
      <c r="L716" s="3">
        <v>0.44166666666666665</v>
      </c>
      <c r="M716" s="7" t="s">
        <v>18</v>
      </c>
      <c r="N716" s="19">
        <v>789.6</v>
      </c>
      <c r="O716" s="15">
        <v>4.7619047620000003</v>
      </c>
      <c r="P716" s="9">
        <v>39.479999999999997</v>
      </c>
      <c r="Q716" s="11">
        <v>8.5</v>
      </c>
    </row>
    <row r="717" spans="1:17" x14ac:dyDescent="0.25">
      <c r="A717" s="5" t="s">
        <v>745</v>
      </c>
      <c r="B717" s="7" t="s">
        <v>13</v>
      </c>
      <c r="C717" s="7" t="s">
        <v>14</v>
      </c>
      <c r="D717" s="7" t="s">
        <v>21</v>
      </c>
      <c r="E717" s="7" t="s">
        <v>16</v>
      </c>
      <c r="F717" s="7" t="s">
        <v>17</v>
      </c>
      <c r="G717" s="9">
        <v>35.68</v>
      </c>
      <c r="H717" s="13">
        <v>5</v>
      </c>
      <c r="I717" s="17">
        <v>8.92</v>
      </c>
      <c r="J717" s="9">
        <v>187.32</v>
      </c>
      <c r="K717" s="21">
        <v>43502</v>
      </c>
      <c r="L717" s="3">
        <v>0.7729166666666667</v>
      </c>
      <c r="M717" s="7" t="s">
        <v>27</v>
      </c>
      <c r="N717" s="19">
        <v>178.4</v>
      </c>
      <c r="O717" s="15">
        <v>4.7619047620000003</v>
      </c>
      <c r="P717" s="9">
        <v>8.92</v>
      </c>
      <c r="Q717" s="11">
        <v>6.6</v>
      </c>
    </row>
    <row r="718" spans="1:17" x14ac:dyDescent="0.25">
      <c r="A718" s="5" t="s">
        <v>746</v>
      </c>
      <c r="B718" s="7" t="s">
        <v>13</v>
      </c>
      <c r="C718" s="7" t="s">
        <v>14</v>
      </c>
      <c r="D718" s="7" t="s">
        <v>15</v>
      </c>
      <c r="E718" s="7" t="s">
        <v>16</v>
      </c>
      <c r="F718" s="7" t="s">
        <v>40</v>
      </c>
      <c r="G718" s="9">
        <v>71.459999999999994</v>
      </c>
      <c r="H718" s="13">
        <v>7</v>
      </c>
      <c r="I718" s="17">
        <v>25.010999999999999</v>
      </c>
      <c r="J718" s="9">
        <v>525.23099999999999</v>
      </c>
      <c r="K718" s="21">
        <v>43552</v>
      </c>
      <c r="L718" s="3">
        <v>0.67083333333333328</v>
      </c>
      <c r="M718" s="7" t="s">
        <v>18</v>
      </c>
      <c r="N718" s="19">
        <v>500.22</v>
      </c>
      <c r="O718" s="15">
        <v>4.7619047620000003</v>
      </c>
      <c r="P718" s="9">
        <v>25.010999999999999</v>
      </c>
      <c r="Q718" s="11">
        <v>4.5</v>
      </c>
    </row>
    <row r="719" spans="1:17" x14ac:dyDescent="0.25">
      <c r="A719" s="5" t="s">
        <v>747</v>
      </c>
      <c r="B719" s="7" t="s">
        <v>13</v>
      </c>
      <c r="C719" s="7" t="s">
        <v>14</v>
      </c>
      <c r="D719" s="7" t="s">
        <v>15</v>
      </c>
      <c r="E719" s="7" t="s">
        <v>25</v>
      </c>
      <c r="F719" s="7" t="s">
        <v>22</v>
      </c>
      <c r="G719" s="9">
        <v>11.94</v>
      </c>
      <c r="H719" s="13">
        <v>3</v>
      </c>
      <c r="I719" s="17">
        <v>1.7909999999999999</v>
      </c>
      <c r="J719" s="9">
        <v>37.610999999999997</v>
      </c>
      <c r="K719" s="21">
        <v>43484</v>
      </c>
      <c r="L719" s="3">
        <v>0.53263888888888888</v>
      </c>
      <c r="M719" s="7" t="s">
        <v>27</v>
      </c>
      <c r="N719" s="19">
        <v>35.82</v>
      </c>
      <c r="O719" s="15">
        <v>4.7619047620000003</v>
      </c>
      <c r="P719" s="9">
        <v>1.7909999999999999</v>
      </c>
      <c r="Q719" s="11">
        <v>8.1</v>
      </c>
    </row>
    <row r="720" spans="1:17" x14ac:dyDescent="0.25">
      <c r="A720" s="5" t="s">
        <v>748</v>
      </c>
      <c r="B720" s="7" t="s">
        <v>13</v>
      </c>
      <c r="C720" s="7" t="s">
        <v>14</v>
      </c>
      <c r="D720" s="7" t="s">
        <v>21</v>
      </c>
      <c r="E720" s="7" t="s">
        <v>25</v>
      </c>
      <c r="F720" s="7" t="s">
        <v>40</v>
      </c>
      <c r="G720" s="9">
        <v>45.38</v>
      </c>
      <c r="H720" s="13">
        <v>3</v>
      </c>
      <c r="I720" s="17">
        <v>6.8070000000000004</v>
      </c>
      <c r="J720" s="9">
        <v>142.947</v>
      </c>
      <c r="K720" s="21">
        <v>43513</v>
      </c>
      <c r="L720" s="3">
        <v>0.56527777777777777</v>
      </c>
      <c r="M720" s="7" t="s">
        <v>27</v>
      </c>
      <c r="N720" s="19">
        <v>136.13999999999999</v>
      </c>
      <c r="O720" s="15">
        <v>4.7619047620000003</v>
      </c>
      <c r="P720" s="9">
        <v>6.8070000000000004</v>
      </c>
      <c r="Q720" s="11">
        <v>7.2</v>
      </c>
    </row>
    <row r="721" spans="1:17" x14ac:dyDescent="0.25">
      <c r="A721" s="5" t="s">
        <v>749</v>
      </c>
      <c r="B721" s="7" t="s">
        <v>36</v>
      </c>
      <c r="C721" s="7" t="s">
        <v>37</v>
      </c>
      <c r="D721" s="7" t="s">
        <v>15</v>
      </c>
      <c r="E721" s="7" t="s">
        <v>16</v>
      </c>
      <c r="F721" s="7" t="s">
        <v>40</v>
      </c>
      <c r="G721" s="9">
        <v>17.48</v>
      </c>
      <c r="H721" s="13">
        <v>6</v>
      </c>
      <c r="I721" s="17">
        <v>5.2439999999999998</v>
      </c>
      <c r="J721" s="9">
        <v>110.124</v>
      </c>
      <c r="K721" s="21">
        <v>43483</v>
      </c>
      <c r="L721" s="3">
        <v>0.62777777777777777</v>
      </c>
      <c r="M721" s="7" t="s">
        <v>27</v>
      </c>
      <c r="N721" s="19">
        <v>104.88</v>
      </c>
      <c r="O721" s="15">
        <v>4.7619047620000003</v>
      </c>
      <c r="P721" s="9">
        <v>5.2439999999999998</v>
      </c>
      <c r="Q721" s="11">
        <v>6.1</v>
      </c>
    </row>
    <row r="722" spans="1:17" x14ac:dyDescent="0.25">
      <c r="A722" s="5" t="s">
        <v>750</v>
      </c>
      <c r="B722" s="7" t="s">
        <v>36</v>
      </c>
      <c r="C722" s="7" t="s">
        <v>37</v>
      </c>
      <c r="D722" s="7" t="s">
        <v>21</v>
      </c>
      <c r="E722" s="7" t="s">
        <v>16</v>
      </c>
      <c r="F722" s="7" t="s">
        <v>40</v>
      </c>
      <c r="G722" s="9">
        <v>25.56</v>
      </c>
      <c r="H722" s="13">
        <v>7</v>
      </c>
      <c r="I722" s="17">
        <v>8.9459999999999997</v>
      </c>
      <c r="J722" s="9">
        <v>187.86600000000001</v>
      </c>
      <c r="K722" s="21">
        <v>43498</v>
      </c>
      <c r="L722" s="3">
        <v>0.86250000000000004</v>
      </c>
      <c r="M722" s="7" t="s">
        <v>23</v>
      </c>
      <c r="N722" s="19">
        <v>178.92</v>
      </c>
      <c r="O722" s="15">
        <v>4.7619047620000003</v>
      </c>
      <c r="P722" s="9">
        <v>8.9459999999999997</v>
      </c>
      <c r="Q722" s="11">
        <v>7.1</v>
      </c>
    </row>
    <row r="723" spans="1:17" x14ac:dyDescent="0.25">
      <c r="A723" s="5" t="s">
        <v>751</v>
      </c>
      <c r="B723" s="7" t="s">
        <v>20</v>
      </c>
      <c r="C723" s="7" t="s">
        <v>1034</v>
      </c>
      <c r="D723" s="7" t="s">
        <v>15</v>
      </c>
      <c r="E723" s="7" t="s">
        <v>16</v>
      </c>
      <c r="F723" s="7" t="s">
        <v>30</v>
      </c>
      <c r="G723" s="9">
        <v>90.63</v>
      </c>
      <c r="H723" s="13">
        <v>9</v>
      </c>
      <c r="I723" s="17">
        <v>40.783499999999997</v>
      </c>
      <c r="J723" s="9">
        <v>856.45349999999996</v>
      </c>
      <c r="K723" s="21">
        <v>43483</v>
      </c>
      <c r="L723" s="3">
        <v>0.64444444444444449</v>
      </c>
      <c r="M723" s="7" t="s">
        <v>23</v>
      </c>
      <c r="N723" s="19">
        <v>815.67</v>
      </c>
      <c r="O723" s="15">
        <v>4.7619047620000003</v>
      </c>
      <c r="P723" s="9">
        <v>40.783499999999997</v>
      </c>
      <c r="Q723" s="11">
        <v>5.0999999999999996</v>
      </c>
    </row>
    <row r="724" spans="1:17" x14ac:dyDescent="0.25">
      <c r="A724" s="5" t="s">
        <v>752</v>
      </c>
      <c r="B724" s="7" t="s">
        <v>36</v>
      </c>
      <c r="C724" s="7" t="s">
        <v>37</v>
      </c>
      <c r="D724" s="7" t="s">
        <v>21</v>
      </c>
      <c r="E724" s="7" t="s">
        <v>25</v>
      </c>
      <c r="F724" s="7" t="s">
        <v>26</v>
      </c>
      <c r="G724" s="9">
        <v>44.12</v>
      </c>
      <c r="H724" s="13">
        <v>3</v>
      </c>
      <c r="I724" s="17">
        <v>6.6180000000000003</v>
      </c>
      <c r="J724" s="9">
        <v>138.97800000000001</v>
      </c>
      <c r="K724" s="21">
        <v>43542</v>
      </c>
      <c r="L724" s="3">
        <v>0.57291666666666663</v>
      </c>
      <c r="M724" s="7" t="s">
        <v>27</v>
      </c>
      <c r="N724" s="19">
        <v>132.36000000000001</v>
      </c>
      <c r="O724" s="15">
        <v>4.7619047620000003</v>
      </c>
      <c r="P724" s="9">
        <v>6.6180000000000003</v>
      </c>
      <c r="Q724" s="11">
        <v>7.9</v>
      </c>
    </row>
    <row r="725" spans="1:17" x14ac:dyDescent="0.25">
      <c r="A725" s="5" t="s">
        <v>753</v>
      </c>
      <c r="B725" s="7" t="s">
        <v>20</v>
      </c>
      <c r="C725" s="7" t="s">
        <v>1034</v>
      </c>
      <c r="D725" s="7" t="s">
        <v>15</v>
      </c>
      <c r="E725" s="7" t="s">
        <v>16</v>
      </c>
      <c r="F725" s="7" t="s">
        <v>38</v>
      </c>
      <c r="G725" s="9">
        <v>36.770000000000003</v>
      </c>
      <c r="H725" s="13">
        <v>7</v>
      </c>
      <c r="I725" s="17">
        <v>12.8695</v>
      </c>
      <c r="J725" s="9">
        <v>270.2595</v>
      </c>
      <c r="K725" s="21">
        <v>43476</v>
      </c>
      <c r="L725" s="3">
        <v>0.84027777777777779</v>
      </c>
      <c r="M725" s="7" t="s">
        <v>23</v>
      </c>
      <c r="N725" s="19">
        <v>257.39</v>
      </c>
      <c r="O725" s="15">
        <v>4.7619047620000003</v>
      </c>
      <c r="P725" s="9">
        <v>12.8695</v>
      </c>
      <c r="Q725" s="11">
        <v>7.4</v>
      </c>
    </row>
    <row r="726" spans="1:17" x14ac:dyDescent="0.25">
      <c r="A726" s="5" t="s">
        <v>754</v>
      </c>
      <c r="B726" s="7" t="s">
        <v>36</v>
      </c>
      <c r="C726" s="7" t="s">
        <v>37</v>
      </c>
      <c r="D726" s="7" t="s">
        <v>15</v>
      </c>
      <c r="E726" s="7" t="s">
        <v>25</v>
      </c>
      <c r="F726" s="7" t="s">
        <v>38</v>
      </c>
      <c r="G726" s="9">
        <v>23.34</v>
      </c>
      <c r="H726" s="13">
        <v>4</v>
      </c>
      <c r="I726" s="17">
        <v>4.6680000000000001</v>
      </c>
      <c r="J726" s="9">
        <v>98.028000000000006</v>
      </c>
      <c r="K726" s="21">
        <v>43500</v>
      </c>
      <c r="L726" s="3">
        <v>0.78680555555555554</v>
      </c>
      <c r="M726" s="7" t="s">
        <v>18</v>
      </c>
      <c r="N726" s="19">
        <v>93.36</v>
      </c>
      <c r="O726" s="15">
        <v>4.7619047620000003</v>
      </c>
      <c r="P726" s="9">
        <v>4.6680000000000001</v>
      </c>
      <c r="Q726" s="11">
        <v>7.4</v>
      </c>
    </row>
    <row r="727" spans="1:17" x14ac:dyDescent="0.25">
      <c r="A727" s="5" t="s">
        <v>755</v>
      </c>
      <c r="B727" s="7" t="s">
        <v>20</v>
      </c>
      <c r="C727" s="7" t="s">
        <v>1034</v>
      </c>
      <c r="D727" s="7" t="s">
        <v>15</v>
      </c>
      <c r="E727" s="7" t="s">
        <v>16</v>
      </c>
      <c r="F727" s="7" t="s">
        <v>17</v>
      </c>
      <c r="G727" s="9">
        <v>28.5</v>
      </c>
      <c r="H727" s="13">
        <v>8</v>
      </c>
      <c r="I727" s="17">
        <v>11.4</v>
      </c>
      <c r="J727" s="9">
        <v>239.4</v>
      </c>
      <c r="K727" s="21">
        <v>43502</v>
      </c>
      <c r="L727" s="3">
        <v>0.6</v>
      </c>
      <c r="M727" s="7" t="s">
        <v>23</v>
      </c>
      <c r="N727" s="19">
        <v>228</v>
      </c>
      <c r="O727" s="15">
        <v>4.7619047620000003</v>
      </c>
      <c r="P727" s="9">
        <v>11.4</v>
      </c>
      <c r="Q727" s="11">
        <v>6.6</v>
      </c>
    </row>
    <row r="728" spans="1:17" x14ac:dyDescent="0.25">
      <c r="A728" s="5" t="s">
        <v>756</v>
      </c>
      <c r="B728" s="7" t="s">
        <v>20</v>
      </c>
      <c r="C728" s="7" t="s">
        <v>1034</v>
      </c>
      <c r="D728" s="7" t="s">
        <v>15</v>
      </c>
      <c r="E728" s="7" t="s">
        <v>25</v>
      </c>
      <c r="F728" s="7" t="s">
        <v>26</v>
      </c>
      <c r="G728" s="9">
        <v>55.57</v>
      </c>
      <c r="H728" s="13">
        <v>3</v>
      </c>
      <c r="I728" s="17">
        <v>8.3354999999999997</v>
      </c>
      <c r="J728" s="9">
        <v>175.0455</v>
      </c>
      <c r="K728" s="21">
        <v>43473</v>
      </c>
      <c r="L728" s="3">
        <v>0.48749999999999999</v>
      </c>
      <c r="M728" s="7" t="s">
        <v>27</v>
      </c>
      <c r="N728" s="19">
        <v>166.71</v>
      </c>
      <c r="O728" s="15">
        <v>4.7619047620000003</v>
      </c>
      <c r="P728" s="9">
        <v>8.3354999999999997</v>
      </c>
      <c r="Q728" s="11">
        <v>5.9</v>
      </c>
    </row>
    <row r="729" spans="1:17" x14ac:dyDescent="0.25">
      <c r="A729" s="5" t="s">
        <v>757</v>
      </c>
      <c r="B729" s="7" t="s">
        <v>36</v>
      </c>
      <c r="C729" s="7" t="s">
        <v>37</v>
      </c>
      <c r="D729" s="7" t="s">
        <v>21</v>
      </c>
      <c r="E729" s="7" t="s">
        <v>25</v>
      </c>
      <c r="F729" s="7" t="s">
        <v>30</v>
      </c>
      <c r="G729" s="9">
        <v>69.739999999999995</v>
      </c>
      <c r="H729" s="13">
        <v>10</v>
      </c>
      <c r="I729" s="17">
        <v>34.869999999999997</v>
      </c>
      <c r="J729" s="9">
        <v>732.27</v>
      </c>
      <c r="K729" s="21">
        <v>43529</v>
      </c>
      <c r="L729" s="3">
        <v>0.74236111111111114</v>
      </c>
      <c r="M729" s="7" t="s">
        <v>27</v>
      </c>
      <c r="N729" s="19">
        <v>697.4</v>
      </c>
      <c r="O729" s="15">
        <v>4.7619047620000003</v>
      </c>
      <c r="P729" s="9">
        <v>34.869999999999997</v>
      </c>
      <c r="Q729" s="11">
        <v>8.9</v>
      </c>
    </row>
    <row r="730" spans="1:17" x14ac:dyDescent="0.25">
      <c r="A730" s="5" t="s">
        <v>758</v>
      </c>
      <c r="B730" s="7" t="s">
        <v>20</v>
      </c>
      <c r="C730" s="7" t="s">
        <v>1034</v>
      </c>
      <c r="D730" s="7" t="s">
        <v>21</v>
      </c>
      <c r="E730" s="7" t="s">
        <v>25</v>
      </c>
      <c r="F730" s="7" t="s">
        <v>40</v>
      </c>
      <c r="G730" s="9">
        <v>97.26</v>
      </c>
      <c r="H730" s="13">
        <v>4</v>
      </c>
      <c r="I730" s="17">
        <v>19.452000000000002</v>
      </c>
      <c r="J730" s="9">
        <v>408.49200000000002</v>
      </c>
      <c r="K730" s="21">
        <v>43540</v>
      </c>
      <c r="L730" s="3">
        <v>0.6479166666666667</v>
      </c>
      <c r="M730" s="7" t="s">
        <v>18</v>
      </c>
      <c r="N730" s="19">
        <v>389.04</v>
      </c>
      <c r="O730" s="15">
        <v>4.7619047620000003</v>
      </c>
      <c r="P730" s="9">
        <v>19.452000000000002</v>
      </c>
      <c r="Q730" s="11">
        <v>6.8</v>
      </c>
    </row>
    <row r="731" spans="1:17" x14ac:dyDescent="0.25">
      <c r="A731" s="5" t="s">
        <v>759</v>
      </c>
      <c r="B731" s="7" t="s">
        <v>36</v>
      </c>
      <c r="C731" s="7" t="s">
        <v>37</v>
      </c>
      <c r="D731" s="7" t="s">
        <v>15</v>
      </c>
      <c r="E731" s="7" t="s">
        <v>16</v>
      </c>
      <c r="F731" s="7" t="s">
        <v>26</v>
      </c>
      <c r="G731" s="9">
        <v>52.18</v>
      </c>
      <c r="H731" s="13">
        <v>7</v>
      </c>
      <c r="I731" s="17">
        <v>18.263000000000002</v>
      </c>
      <c r="J731" s="9">
        <v>383.52300000000002</v>
      </c>
      <c r="K731" s="21">
        <v>43533</v>
      </c>
      <c r="L731" s="3">
        <v>0.45416666666666666</v>
      </c>
      <c r="M731" s="7" t="s">
        <v>23</v>
      </c>
      <c r="N731" s="19">
        <v>365.26</v>
      </c>
      <c r="O731" s="15">
        <v>4.7619047620000003</v>
      </c>
      <c r="P731" s="9">
        <v>18.263000000000002</v>
      </c>
      <c r="Q731" s="11">
        <v>9.3000000000000007</v>
      </c>
    </row>
    <row r="732" spans="1:17" x14ac:dyDescent="0.25">
      <c r="A732" s="5" t="s">
        <v>760</v>
      </c>
      <c r="B732" s="7" t="s">
        <v>13</v>
      </c>
      <c r="C732" s="7" t="s">
        <v>14</v>
      </c>
      <c r="D732" s="7" t="s">
        <v>15</v>
      </c>
      <c r="E732" s="7" t="s">
        <v>16</v>
      </c>
      <c r="F732" s="7" t="s">
        <v>40</v>
      </c>
      <c r="G732" s="9">
        <v>22.32</v>
      </c>
      <c r="H732" s="13">
        <v>4</v>
      </c>
      <c r="I732" s="17">
        <v>4.4640000000000004</v>
      </c>
      <c r="J732" s="9">
        <v>93.744</v>
      </c>
      <c r="K732" s="21">
        <v>43525</v>
      </c>
      <c r="L732" s="3">
        <v>0.68263888888888891</v>
      </c>
      <c r="M732" s="7" t="s">
        <v>27</v>
      </c>
      <c r="N732" s="19">
        <v>89.28</v>
      </c>
      <c r="O732" s="15">
        <v>4.7619047620000003</v>
      </c>
      <c r="P732" s="9">
        <v>4.4640000000000004</v>
      </c>
      <c r="Q732" s="11">
        <v>4.4000000000000004</v>
      </c>
    </row>
    <row r="733" spans="1:17" x14ac:dyDescent="0.25">
      <c r="A733" s="5" t="s">
        <v>761</v>
      </c>
      <c r="B733" s="7" t="s">
        <v>13</v>
      </c>
      <c r="C733" s="7" t="s">
        <v>14</v>
      </c>
      <c r="D733" s="7" t="s">
        <v>21</v>
      </c>
      <c r="E733" s="7" t="s">
        <v>25</v>
      </c>
      <c r="F733" s="7" t="s">
        <v>17</v>
      </c>
      <c r="G733" s="9">
        <v>56</v>
      </c>
      <c r="H733" s="13">
        <v>3</v>
      </c>
      <c r="I733" s="17">
        <v>8.4</v>
      </c>
      <c r="J733" s="9">
        <v>176.4</v>
      </c>
      <c r="K733" s="21">
        <v>43524</v>
      </c>
      <c r="L733" s="3">
        <v>0.81458333333333333</v>
      </c>
      <c r="M733" s="7" t="s">
        <v>18</v>
      </c>
      <c r="N733" s="19">
        <v>168</v>
      </c>
      <c r="O733" s="15">
        <v>4.7619047620000003</v>
      </c>
      <c r="P733" s="9">
        <v>8.4</v>
      </c>
      <c r="Q733" s="11">
        <v>4.8</v>
      </c>
    </row>
    <row r="734" spans="1:17" x14ac:dyDescent="0.25">
      <c r="A734" s="5" t="s">
        <v>762</v>
      </c>
      <c r="B734" s="7" t="s">
        <v>13</v>
      </c>
      <c r="C734" s="7" t="s">
        <v>14</v>
      </c>
      <c r="D734" s="7" t="s">
        <v>15</v>
      </c>
      <c r="E734" s="7" t="s">
        <v>25</v>
      </c>
      <c r="F734" s="7" t="s">
        <v>40</v>
      </c>
      <c r="G734" s="9">
        <v>19.7</v>
      </c>
      <c r="H734" s="13">
        <v>1</v>
      </c>
      <c r="I734" s="17">
        <v>0.98499999999999999</v>
      </c>
      <c r="J734" s="9">
        <v>20.684999999999999</v>
      </c>
      <c r="K734" s="21">
        <v>43504</v>
      </c>
      <c r="L734" s="3">
        <v>0.48541666666666666</v>
      </c>
      <c r="M734" s="7" t="s">
        <v>18</v>
      </c>
      <c r="N734" s="19">
        <v>19.7</v>
      </c>
      <c r="O734" s="15">
        <v>4.7619047620000003</v>
      </c>
      <c r="P734" s="9">
        <v>0.98499999999999999</v>
      </c>
      <c r="Q734" s="11">
        <v>9.5</v>
      </c>
    </row>
    <row r="735" spans="1:17" x14ac:dyDescent="0.25">
      <c r="A735" s="5" t="s">
        <v>763</v>
      </c>
      <c r="B735" s="7" t="s">
        <v>36</v>
      </c>
      <c r="C735" s="7" t="s">
        <v>37</v>
      </c>
      <c r="D735" s="7" t="s">
        <v>21</v>
      </c>
      <c r="E735" s="7" t="s">
        <v>25</v>
      </c>
      <c r="F735" s="7" t="s">
        <v>22</v>
      </c>
      <c r="G735" s="9">
        <v>75.88</v>
      </c>
      <c r="H735" s="13">
        <v>7</v>
      </c>
      <c r="I735" s="17">
        <v>26.558</v>
      </c>
      <c r="J735" s="9">
        <v>557.71799999999996</v>
      </c>
      <c r="K735" s="21">
        <v>43489</v>
      </c>
      <c r="L735" s="3">
        <v>0.44305555555555554</v>
      </c>
      <c r="M735" s="7" t="s">
        <v>18</v>
      </c>
      <c r="N735" s="19">
        <v>531.16</v>
      </c>
      <c r="O735" s="15">
        <v>4.7619047620000003</v>
      </c>
      <c r="P735" s="9">
        <v>26.558</v>
      </c>
      <c r="Q735" s="11">
        <v>8.9</v>
      </c>
    </row>
    <row r="736" spans="1:17" x14ac:dyDescent="0.25">
      <c r="A736" s="5" t="s">
        <v>764</v>
      </c>
      <c r="B736" s="7" t="s">
        <v>36</v>
      </c>
      <c r="C736" s="7" t="s">
        <v>37</v>
      </c>
      <c r="D736" s="7" t="s">
        <v>15</v>
      </c>
      <c r="E736" s="7" t="s">
        <v>25</v>
      </c>
      <c r="F736" s="7" t="s">
        <v>38</v>
      </c>
      <c r="G736" s="9">
        <v>53.72</v>
      </c>
      <c r="H736" s="13">
        <v>1</v>
      </c>
      <c r="I736" s="17">
        <v>2.6859999999999999</v>
      </c>
      <c r="J736" s="9">
        <v>56.405999999999999</v>
      </c>
      <c r="K736" s="21">
        <v>43525</v>
      </c>
      <c r="L736" s="3">
        <v>0.8354166666666667</v>
      </c>
      <c r="M736" s="7" t="s">
        <v>18</v>
      </c>
      <c r="N736" s="19">
        <v>53.72</v>
      </c>
      <c r="O736" s="15">
        <v>4.7619047620000003</v>
      </c>
      <c r="P736" s="9">
        <v>2.6859999999999999</v>
      </c>
      <c r="Q736" s="11">
        <v>6.4</v>
      </c>
    </row>
    <row r="737" spans="1:17" x14ac:dyDescent="0.25">
      <c r="A737" s="5" t="s">
        <v>765</v>
      </c>
      <c r="B737" s="7" t="s">
        <v>20</v>
      </c>
      <c r="C737" s="7" t="s">
        <v>1034</v>
      </c>
      <c r="D737" s="7" t="s">
        <v>15</v>
      </c>
      <c r="E737" s="7" t="s">
        <v>25</v>
      </c>
      <c r="F737" s="7" t="s">
        <v>17</v>
      </c>
      <c r="G737" s="9">
        <v>81.95</v>
      </c>
      <c r="H737" s="13">
        <v>10</v>
      </c>
      <c r="I737" s="17">
        <v>40.975000000000001</v>
      </c>
      <c r="J737" s="9">
        <v>860.47500000000002</v>
      </c>
      <c r="K737" s="21">
        <v>43534</v>
      </c>
      <c r="L737" s="3">
        <v>0.52708333333333335</v>
      </c>
      <c r="M737" s="7" t="s">
        <v>27</v>
      </c>
      <c r="N737" s="19">
        <v>819.5</v>
      </c>
      <c r="O737" s="15">
        <v>4.7619047620000003</v>
      </c>
      <c r="P737" s="9">
        <v>40.975000000000001</v>
      </c>
      <c r="Q737" s="11">
        <v>6</v>
      </c>
    </row>
    <row r="738" spans="1:17" x14ac:dyDescent="0.25">
      <c r="A738" s="5" t="s">
        <v>766</v>
      </c>
      <c r="B738" s="7" t="s">
        <v>20</v>
      </c>
      <c r="C738" s="7" t="s">
        <v>1034</v>
      </c>
      <c r="D738" s="7" t="s">
        <v>15</v>
      </c>
      <c r="E738" s="7" t="s">
        <v>16</v>
      </c>
      <c r="F738" s="7" t="s">
        <v>26</v>
      </c>
      <c r="G738" s="9">
        <v>81.2</v>
      </c>
      <c r="H738" s="13">
        <v>7</v>
      </c>
      <c r="I738" s="17">
        <v>28.42</v>
      </c>
      <c r="J738" s="9">
        <v>596.82000000000005</v>
      </c>
      <c r="K738" s="21">
        <v>43547</v>
      </c>
      <c r="L738" s="3">
        <v>0.66597222222222219</v>
      </c>
      <c r="M738" s="7" t="s">
        <v>27</v>
      </c>
      <c r="N738" s="19">
        <v>568.4</v>
      </c>
      <c r="O738" s="15">
        <v>4.7619047620000003</v>
      </c>
      <c r="P738" s="9">
        <v>28.42</v>
      </c>
      <c r="Q738" s="11">
        <v>8.1</v>
      </c>
    </row>
    <row r="739" spans="1:17" x14ac:dyDescent="0.25">
      <c r="A739" s="5" t="s">
        <v>767</v>
      </c>
      <c r="B739" s="7" t="s">
        <v>20</v>
      </c>
      <c r="C739" s="7" t="s">
        <v>1034</v>
      </c>
      <c r="D739" s="7" t="s">
        <v>21</v>
      </c>
      <c r="E739" s="7" t="s">
        <v>25</v>
      </c>
      <c r="F739" s="7" t="s">
        <v>22</v>
      </c>
      <c r="G739" s="9">
        <v>58.76</v>
      </c>
      <c r="H739" s="13">
        <v>10</v>
      </c>
      <c r="I739" s="17">
        <v>29.38</v>
      </c>
      <c r="J739" s="9">
        <v>616.98</v>
      </c>
      <c r="K739" s="21">
        <v>43494</v>
      </c>
      <c r="L739" s="3">
        <v>0.60138888888888886</v>
      </c>
      <c r="M739" s="7" t="s">
        <v>18</v>
      </c>
      <c r="N739" s="19">
        <v>587.6</v>
      </c>
      <c r="O739" s="15">
        <v>4.7619047620000003</v>
      </c>
      <c r="P739" s="9">
        <v>29.38</v>
      </c>
      <c r="Q739" s="11">
        <v>9</v>
      </c>
    </row>
    <row r="740" spans="1:17" x14ac:dyDescent="0.25">
      <c r="A740" s="5" t="s">
        <v>768</v>
      </c>
      <c r="B740" s="7" t="s">
        <v>36</v>
      </c>
      <c r="C740" s="7" t="s">
        <v>37</v>
      </c>
      <c r="D740" s="7" t="s">
        <v>15</v>
      </c>
      <c r="E740" s="7" t="s">
        <v>25</v>
      </c>
      <c r="F740" s="7" t="s">
        <v>22</v>
      </c>
      <c r="G740" s="9">
        <v>91.56</v>
      </c>
      <c r="H740" s="13">
        <v>8</v>
      </c>
      <c r="I740" s="17">
        <v>36.624000000000002</v>
      </c>
      <c r="J740" s="9">
        <v>769.10400000000004</v>
      </c>
      <c r="K740" s="21">
        <v>43477</v>
      </c>
      <c r="L740" s="3">
        <v>0.76527777777777772</v>
      </c>
      <c r="M740" s="7" t="s">
        <v>18</v>
      </c>
      <c r="N740" s="19">
        <v>732.48</v>
      </c>
      <c r="O740" s="15">
        <v>4.7619047620000003</v>
      </c>
      <c r="P740" s="9">
        <v>36.624000000000002</v>
      </c>
      <c r="Q740" s="11">
        <v>6</v>
      </c>
    </row>
    <row r="741" spans="1:17" x14ac:dyDescent="0.25">
      <c r="A741" s="5" t="s">
        <v>769</v>
      </c>
      <c r="B741" s="7" t="s">
        <v>13</v>
      </c>
      <c r="C741" s="7" t="s">
        <v>14</v>
      </c>
      <c r="D741" s="7" t="s">
        <v>21</v>
      </c>
      <c r="E741" s="7" t="s">
        <v>25</v>
      </c>
      <c r="F741" s="7" t="s">
        <v>26</v>
      </c>
      <c r="G741" s="9">
        <v>93.96</v>
      </c>
      <c r="H741" s="13">
        <v>9</v>
      </c>
      <c r="I741" s="17">
        <v>42.281999999999996</v>
      </c>
      <c r="J741" s="9">
        <v>887.92200000000003</v>
      </c>
      <c r="K741" s="21">
        <v>43544</v>
      </c>
      <c r="L741" s="3">
        <v>0.48055555555555557</v>
      </c>
      <c r="M741" s="7" t="s">
        <v>23</v>
      </c>
      <c r="N741" s="19">
        <v>845.64</v>
      </c>
      <c r="O741" s="15">
        <v>4.7619047620000003</v>
      </c>
      <c r="P741" s="9">
        <v>42.281999999999996</v>
      </c>
      <c r="Q741" s="11">
        <v>9.8000000000000007</v>
      </c>
    </row>
    <row r="742" spans="1:17" x14ac:dyDescent="0.25">
      <c r="A742" s="5" t="s">
        <v>770</v>
      </c>
      <c r="B742" s="7" t="s">
        <v>20</v>
      </c>
      <c r="C742" s="7" t="s">
        <v>1034</v>
      </c>
      <c r="D742" s="7" t="s">
        <v>21</v>
      </c>
      <c r="E742" s="7" t="s">
        <v>25</v>
      </c>
      <c r="F742" s="7" t="s">
        <v>26</v>
      </c>
      <c r="G742" s="9">
        <v>55.61</v>
      </c>
      <c r="H742" s="13">
        <v>7</v>
      </c>
      <c r="I742" s="17">
        <v>19.4635</v>
      </c>
      <c r="J742" s="9">
        <v>408.73349999999999</v>
      </c>
      <c r="K742" s="21">
        <v>43547</v>
      </c>
      <c r="L742" s="3">
        <v>0.52847222222222223</v>
      </c>
      <c r="M742" s="7" t="s">
        <v>23</v>
      </c>
      <c r="N742" s="19">
        <v>389.27</v>
      </c>
      <c r="O742" s="15">
        <v>4.7619047620000003</v>
      </c>
      <c r="P742" s="9">
        <v>19.4635</v>
      </c>
      <c r="Q742" s="11">
        <v>8.5</v>
      </c>
    </row>
    <row r="743" spans="1:17" x14ac:dyDescent="0.25">
      <c r="A743" s="5" t="s">
        <v>771</v>
      </c>
      <c r="B743" s="7" t="s">
        <v>20</v>
      </c>
      <c r="C743" s="7" t="s">
        <v>1034</v>
      </c>
      <c r="D743" s="7" t="s">
        <v>21</v>
      </c>
      <c r="E743" s="7" t="s">
        <v>25</v>
      </c>
      <c r="F743" s="7" t="s">
        <v>38</v>
      </c>
      <c r="G743" s="9">
        <v>84.83</v>
      </c>
      <c r="H743" s="13">
        <v>1</v>
      </c>
      <c r="I743" s="17">
        <v>4.2415000000000003</v>
      </c>
      <c r="J743" s="9">
        <v>89.0715</v>
      </c>
      <c r="K743" s="21">
        <v>43479</v>
      </c>
      <c r="L743" s="3">
        <v>0.63888888888888884</v>
      </c>
      <c r="M743" s="7" t="s">
        <v>18</v>
      </c>
      <c r="N743" s="19">
        <v>84.83</v>
      </c>
      <c r="O743" s="15">
        <v>4.7619047620000003</v>
      </c>
      <c r="P743" s="9">
        <v>4.2415000000000003</v>
      </c>
      <c r="Q743" s="11">
        <v>8.8000000000000007</v>
      </c>
    </row>
    <row r="744" spans="1:17" x14ac:dyDescent="0.25">
      <c r="A744" s="5" t="s">
        <v>772</v>
      </c>
      <c r="B744" s="7" t="s">
        <v>13</v>
      </c>
      <c r="C744" s="7" t="s">
        <v>14</v>
      </c>
      <c r="D744" s="7" t="s">
        <v>15</v>
      </c>
      <c r="E744" s="7" t="s">
        <v>16</v>
      </c>
      <c r="F744" s="7" t="s">
        <v>30</v>
      </c>
      <c r="G744" s="9">
        <v>71.63</v>
      </c>
      <c r="H744" s="13">
        <v>2</v>
      </c>
      <c r="I744" s="17">
        <v>7.1630000000000003</v>
      </c>
      <c r="J744" s="9">
        <v>150.423</v>
      </c>
      <c r="K744" s="21">
        <v>43508</v>
      </c>
      <c r="L744" s="3">
        <v>0.60624999999999996</v>
      </c>
      <c r="M744" s="7" t="s">
        <v>18</v>
      </c>
      <c r="N744" s="19">
        <v>143.26</v>
      </c>
      <c r="O744" s="15">
        <v>4.7619047620000003</v>
      </c>
      <c r="P744" s="9">
        <v>7.1630000000000003</v>
      </c>
      <c r="Q744" s="11">
        <v>8.8000000000000007</v>
      </c>
    </row>
    <row r="745" spans="1:17" x14ac:dyDescent="0.25">
      <c r="A745" s="5" t="s">
        <v>773</v>
      </c>
      <c r="B745" s="7" t="s">
        <v>13</v>
      </c>
      <c r="C745" s="7" t="s">
        <v>14</v>
      </c>
      <c r="D745" s="7" t="s">
        <v>15</v>
      </c>
      <c r="E745" s="7" t="s">
        <v>25</v>
      </c>
      <c r="F745" s="7" t="s">
        <v>26</v>
      </c>
      <c r="G745" s="9">
        <v>37.69</v>
      </c>
      <c r="H745" s="13">
        <v>2</v>
      </c>
      <c r="I745" s="17">
        <v>3.7690000000000001</v>
      </c>
      <c r="J745" s="9">
        <v>79.149000000000001</v>
      </c>
      <c r="K745" s="21">
        <v>43516</v>
      </c>
      <c r="L745" s="3">
        <v>0.64513888888888893</v>
      </c>
      <c r="M745" s="7" t="s">
        <v>18</v>
      </c>
      <c r="N745" s="19">
        <v>75.38</v>
      </c>
      <c r="O745" s="15">
        <v>4.7619047620000003</v>
      </c>
      <c r="P745" s="9">
        <v>3.7690000000000001</v>
      </c>
      <c r="Q745" s="11">
        <v>9.5</v>
      </c>
    </row>
    <row r="746" spans="1:17" x14ac:dyDescent="0.25">
      <c r="A746" s="5" t="s">
        <v>774</v>
      </c>
      <c r="B746" s="7" t="s">
        <v>20</v>
      </c>
      <c r="C746" s="7" t="s">
        <v>1034</v>
      </c>
      <c r="D746" s="7" t="s">
        <v>15</v>
      </c>
      <c r="E746" s="7" t="s">
        <v>16</v>
      </c>
      <c r="F746" s="7" t="s">
        <v>30</v>
      </c>
      <c r="G746" s="9">
        <v>31.67</v>
      </c>
      <c r="H746" s="13">
        <v>8</v>
      </c>
      <c r="I746" s="17">
        <v>12.667999999999999</v>
      </c>
      <c r="J746" s="9">
        <v>266.02800000000002</v>
      </c>
      <c r="K746" s="21">
        <v>43467</v>
      </c>
      <c r="L746" s="3">
        <v>0.67986111111111114</v>
      </c>
      <c r="M746" s="7" t="s">
        <v>27</v>
      </c>
      <c r="N746" s="19">
        <v>253.36</v>
      </c>
      <c r="O746" s="15">
        <v>4.7619047620000003</v>
      </c>
      <c r="P746" s="9">
        <v>12.667999999999999</v>
      </c>
      <c r="Q746" s="11">
        <v>5.6</v>
      </c>
    </row>
    <row r="747" spans="1:17" x14ac:dyDescent="0.25">
      <c r="A747" s="5" t="s">
        <v>775</v>
      </c>
      <c r="B747" s="7" t="s">
        <v>20</v>
      </c>
      <c r="C747" s="7" t="s">
        <v>1034</v>
      </c>
      <c r="D747" s="7" t="s">
        <v>15</v>
      </c>
      <c r="E747" s="7" t="s">
        <v>16</v>
      </c>
      <c r="F747" s="7" t="s">
        <v>38</v>
      </c>
      <c r="G747" s="9">
        <v>38.42</v>
      </c>
      <c r="H747" s="13">
        <v>1</v>
      </c>
      <c r="I747" s="17">
        <v>1.921</v>
      </c>
      <c r="J747" s="9">
        <v>40.341000000000001</v>
      </c>
      <c r="K747" s="21">
        <v>43498</v>
      </c>
      <c r="L747" s="3">
        <v>0.68958333333333333</v>
      </c>
      <c r="M747" s="7" t="s">
        <v>23</v>
      </c>
      <c r="N747" s="19">
        <v>38.42</v>
      </c>
      <c r="O747" s="15">
        <v>4.7619047620000003</v>
      </c>
      <c r="P747" s="9">
        <v>1.921</v>
      </c>
      <c r="Q747" s="11">
        <v>8.6</v>
      </c>
    </row>
    <row r="748" spans="1:17" x14ac:dyDescent="0.25">
      <c r="A748" s="5" t="s">
        <v>776</v>
      </c>
      <c r="B748" s="7" t="s">
        <v>36</v>
      </c>
      <c r="C748" s="7" t="s">
        <v>37</v>
      </c>
      <c r="D748" s="7" t="s">
        <v>15</v>
      </c>
      <c r="E748" s="7" t="s">
        <v>25</v>
      </c>
      <c r="F748" s="7" t="s">
        <v>40</v>
      </c>
      <c r="G748" s="9">
        <v>65.23</v>
      </c>
      <c r="H748" s="13">
        <v>10</v>
      </c>
      <c r="I748" s="17">
        <v>32.615000000000002</v>
      </c>
      <c r="J748" s="9">
        <v>684.91499999999996</v>
      </c>
      <c r="K748" s="21">
        <v>43473</v>
      </c>
      <c r="L748" s="3">
        <v>0.79652777777777772</v>
      </c>
      <c r="M748" s="7" t="s">
        <v>27</v>
      </c>
      <c r="N748" s="19">
        <v>652.29999999999995</v>
      </c>
      <c r="O748" s="15">
        <v>4.7619047620000003</v>
      </c>
      <c r="P748" s="9">
        <v>32.615000000000002</v>
      </c>
      <c r="Q748" s="11">
        <v>5.2</v>
      </c>
    </row>
    <row r="749" spans="1:17" x14ac:dyDescent="0.25">
      <c r="A749" s="5" t="s">
        <v>777</v>
      </c>
      <c r="B749" s="7" t="s">
        <v>20</v>
      </c>
      <c r="C749" s="7" t="s">
        <v>1034</v>
      </c>
      <c r="D749" s="7" t="s">
        <v>15</v>
      </c>
      <c r="E749" s="7" t="s">
        <v>16</v>
      </c>
      <c r="F749" s="7" t="s">
        <v>26</v>
      </c>
      <c r="G749" s="9">
        <v>10.53</v>
      </c>
      <c r="H749" s="13">
        <v>5</v>
      </c>
      <c r="I749" s="17">
        <v>2.6324999999999998</v>
      </c>
      <c r="J749" s="9">
        <v>55.282499999999999</v>
      </c>
      <c r="K749" s="21">
        <v>43495</v>
      </c>
      <c r="L749" s="3">
        <v>0.61319444444444449</v>
      </c>
      <c r="M749" s="7" t="s">
        <v>27</v>
      </c>
      <c r="N749" s="19">
        <v>52.65</v>
      </c>
      <c r="O749" s="15">
        <v>4.7619047620000003</v>
      </c>
      <c r="P749" s="9">
        <v>2.6324999999999998</v>
      </c>
      <c r="Q749" s="11">
        <v>5.8</v>
      </c>
    </row>
    <row r="750" spans="1:17" x14ac:dyDescent="0.25">
      <c r="A750" s="5" t="s">
        <v>778</v>
      </c>
      <c r="B750" s="7" t="s">
        <v>36</v>
      </c>
      <c r="C750" s="7" t="s">
        <v>37</v>
      </c>
      <c r="D750" s="7" t="s">
        <v>15</v>
      </c>
      <c r="E750" s="7" t="s">
        <v>16</v>
      </c>
      <c r="F750" s="7" t="s">
        <v>26</v>
      </c>
      <c r="G750" s="9">
        <v>12.29</v>
      </c>
      <c r="H750" s="13">
        <v>9</v>
      </c>
      <c r="I750" s="17">
        <v>5.5305</v>
      </c>
      <c r="J750" s="9">
        <v>116.1405</v>
      </c>
      <c r="K750" s="21">
        <v>43550</v>
      </c>
      <c r="L750" s="3">
        <v>0.81111111111111112</v>
      </c>
      <c r="M750" s="7" t="s">
        <v>27</v>
      </c>
      <c r="N750" s="19">
        <v>110.61</v>
      </c>
      <c r="O750" s="15">
        <v>4.7619047620000003</v>
      </c>
      <c r="P750" s="9">
        <v>5.5305</v>
      </c>
      <c r="Q750" s="11">
        <v>8</v>
      </c>
    </row>
    <row r="751" spans="1:17" x14ac:dyDescent="0.25">
      <c r="A751" s="5" t="s">
        <v>779</v>
      </c>
      <c r="B751" s="7" t="s">
        <v>20</v>
      </c>
      <c r="C751" s="7" t="s">
        <v>1034</v>
      </c>
      <c r="D751" s="7" t="s">
        <v>15</v>
      </c>
      <c r="E751" s="7" t="s">
        <v>25</v>
      </c>
      <c r="F751" s="7" t="s">
        <v>17</v>
      </c>
      <c r="G751" s="9">
        <v>81.23</v>
      </c>
      <c r="H751" s="13">
        <v>7</v>
      </c>
      <c r="I751" s="17">
        <v>28.430499999999999</v>
      </c>
      <c r="J751" s="9">
        <v>597.04049999999995</v>
      </c>
      <c r="K751" s="21">
        <v>43480</v>
      </c>
      <c r="L751" s="3">
        <v>0.86388888888888893</v>
      </c>
      <c r="M751" s="7" t="s">
        <v>23</v>
      </c>
      <c r="N751" s="19">
        <v>568.61</v>
      </c>
      <c r="O751" s="15">
        <v>4.7619047620000003</v>
      </c>
      <c r="P751" s="9">
        <v>28.430499999999999</v>
      </c>
      <c r="Q751" s="11">
        <v>9</v>
      </c>
    </row>
    <row r="752" spans="1:17" x14ac:dyDescent="0.25">
      <c r="A752" s="5" t="s">
        <v>780</v>
      </c>
      <c r="B752" s="7" t="s">
        <v>36</v>
      </c>
      <c r="C752" s="7" t="s">
        <v>37</v>
      </c>
      <c r="D752" s="7" t="s">
        <v>15</v>
      </c>
      <c r="E752" s="7" t="s">
        <v>16</v>
      </c>
      <c r="F752" s="7" t="s">
        <v>40</v>
      </c>
      <c r="G752" s="9">
        <v>22.32</v>
      </c>
      <c r="H752" s="13">
        <v>4</v>
      </c>
      <c r="I752" s="17">
        <v>4.4640000000000004</v>
      </c>
      <c r="J752" s="9">
        <v>93.744</v>
      </c>
      <c r="K752" s="21">
        <v>43538</v>
      </c>
      <c r="L752" s="3">
        <v>0.46944444444444444</v>
      </c>
      <c r="M752" s="7" t="s">
        <v>18</v>
      </c>
      <c r="N752" s="19">
        <v>89.28</v>
      </c>
      <c r="O752" s="15">
        <v>4.7619047620000003</v>
      </c>
      <c r="P752" s="9">
        <v>4.4640000000000004</v>
      </c>
      <c r="Q752" s="11">
        <v>4.0999999999999996</v>
      </c>
    </row>
    <row r="753" spans="1:17" x14ac:dyDescent="0.25">
      <c r="A753" s="5" t="s">
        <v>781</v>
      </c>
      <c r="B753" s="7" t="s">
        <v>13</v>
      </c>
      <c r="C753" s="7" t="s">
        <v>14</v>
      </c>
      <c r="D753" s="7" t="s">
        <v>21</v>
      </c>
      <c r="E753" s="7" t="s">
        <v>16</v>
      </c>
      <c r="F753" s="7" t="s">
        <v>38</v>
      </c>
      <c r="G753" s="9">
        <v>27.28</v>
      </c>
      <c r="H753" s="13">
        <v>5</v>
      </c>
      <c r="I753" s="17">
        <v>6.82</v>
      </c>
      <c r="J753" s="9">
        <v>143.22</v>
      </c>
      <c r="K753" s="21">
        <v>43499</v>
      </c>
      <c r="L753" s="3">
        <v>0.43819444444444444</v>
      </c>
      <c r="M753" s="7" t="s">
        <v>27</v>
      </c>
      <c r="N753" s="19">
        <v>136.4</v>
      </c>
      <c r="O753" s="15">
        <v>4.7619047620000003</v>
      </c>
      <c r="P753" s="9">
        <v>6.82</v>
      </c>
      <c r="Q753" s="11">
        <v>8.6</v>
      </c>
    </row>
    <row r="754" spans="1:17" x14ac:dyDescent="0.25">
      <c r="A754" s="5" t="s">
        <v>782</v>
      </c>
      <c r="B754" s="7" t="s">
        <v>13</v>
      </c>
      <c r="C754" s="7" t="s">
        <v>14</v>
      </c>
      <c r="D754" s="7" t="s">
        <v>15</v>
      </c>
      <c r="E754" s="7" t="s">
        <v>16</v>
      </c>
      <c r="F754" s="7" t="s">
        <v>22</v>
      </c>
      <c r="G754" s="9">
        <v>17.420000000000002</v>
      </c>
      <c r="H754" s="13">
        <v>10</v>
      </c>
      <c r="I754" s="17">
        <v>8.7100000000000009</v>
      </c>
      <c r="J754" s="9">
        <v>182.91</v>
      </c>
      <c r="K754" s="21">
        <v>43518</v>
      </c>
      <c r="L754" s="3">
        <v>0.52083333333333337</v>
      </c>
      <c r="M754" s="7" t="s">
        <v>18</v>
      </c>
      <c r="N754" s="19">
        <v>174.2</v>
      </c>
      <c r="O754" s="15">
        <v>4.7619047620000003</v>
      </c>
      <c r="P754" s="9">
        <v>8.7100000000000009</v>
      </c>
      <c r="Q754" s="11">
        <v>7</v>
      </c>
    </row>
    <row r="755" spans="1:17" x14ac:dyDescent="0.25">
      <c r="A755" s="5" t="s">
        <v>783</v>
      </c>
      <c r="B755" s="7" t="s">
        <v>36</v>
      </c>
      <c r="C755" s="7" t="s">
        <v>37</v>
      </c>
      <c r="D755" s="7" t="s">
        <v>21</v>
      </c>
      <c r="E755" s="7" t="s">
        <v>25</v>
      </c>
      <c r="F755" s="7" t="s">
        <v>26</v>
      </c>
      <c r="G755" s="9">
        <v>73.28</v>
      </c>
      <c r="H755" s="13">
        <v>5</v>
      </c>
      <c r="I755" s="17">
        <v>18.32</v>
      </c>
      <c r="J755" s="9">
        <v>384.72</v>
      </c>
      <c r="K755" s="21">
        <v>43489</v>
      </c>
      <c r="L755" s="3">
        <v>0.62847222222222221</v>
      </c>
      <c r="M755" s="7" t="s">
        <v>18</v>
      </c>
      <c r="N755" s="19">
        <v>366.4</v>
      </c>
      <c r="O755" s="15">
        <v>4.7619047620000003</v>
      </c>
      <c r="P755" s="9">
        <v>18.32</v>
      </c>
      <c r="Q755" s="11">
        <v>8.4</v>
      </c>
    </row>
    <row r="756" spans="1:17" x14ac:dyDescent="0.25">
      <c r="A756" s="5" t="s">
        <v>784</v>
      </c>
      <c r="B756" s="7" t="s">
        <v>20</v>
      </c>
      <c r="C756" s="7" t="s">
        <v>1034</v>
      </c>
      <c r="D756" s="7" t="s">
        <v>15</v>
      </c>
      <c r="E756" s="7" t="s">
        <v>16</v>
      </c>
      <c r="F756" s="7" t="s">
        <v>40</v>
      </c>
      <c r="G756" s="9">
        <v>84.87</v>
      </c>
      <c r="H756" s="13">
        <v>3</v>
      </c>
      <c r="I756" s="17">
        <v>12.730499999999999</v>
      </c>
      <c r="J756" s="9">
        <v>267.34050000000002</v>
      </c>
      <c r="K756" s="21">
        <v>43490</v>
      </c>
      <c r="L756" s="3">
        <v>0.77083333333333337</v>
      </c>
      <c r="M756" s="7" t="s">
        <v>18</v>
      </c>
      <c r="N756" s="19">
        <v>254.61</v>
      </c>
      <c r="O756" s="15">
        <v>4.7619047620000003</v>
      </c>
      <c r="P756" s="9">
        <v>12.730499999999999</v>
      </c>
      <c r="Q756" s="11">
        <v>7.4</v>
      </c>
    </row>
    <row r="757" spans="1:17" x14ac:dyDescent="0.25">
      <c r="A757" s="5" t="s">
        <v>785</v>
      </c>
      <c r="B757" s="7" t="s">
        <v>13</v>
      </c>
      <c r="C757" s="7" t="s">
        <v>14</v>
      </c>
      <c r="D757" s="7" t="s">
        <v>21</v>
      </c>
      <c r="E757" s="7" t="s">
        <v>16</v>
      </c>
      <c r="F757" s="7" t="s">
        <v>40</v>
      </c>
      <c r="G757" s="9">
        <v>97.29</v>
      </c>
      <c r="H757" s="13">
        <v>8</v>
      </c>
      <c r="I757" s="17">
        <v>38.915999999999997</v>
      </c>
      <c r="J757" s="9">
        <v>817.23599999999999</v>
      </c>
      <c r="K757" s="21">
        <v>43533</v>
      </c>
      <c r="L757" s="3">
        <v>0.5541666666666667</v>
      </c>
      <c r="M757" s="7" t="s">
        <v>27</v>
      </c>
      <c r="N757" s="19">
        <v>778.32</v>
      </c>
      <c r="O757" s="15">
        <v>4.7619047620000003</v>
      </c>
      <c r="P757" s="9">
        <v>38.915999999999997</v>
      </c>
      <c r="Q757" s="11">
        <v>6.2</v>
      </c>
    </row>
    <row r="758" spans="1:17" x14ac:dyDescent="0.25">
      <c r="A758" s="5" t="s">
        <v>786</v>
      </c>
      <c r="B758" s="7" t="s">
        <v>36</v>
      </c>
      <c r="C758" s="7" t="s">
        <v>37</v>
      </c>
      <c r="D758" s="7" t="s">
        <v>15</v>
      </c>
      <c r="E758" s="7" t="s">
        <v>16</v>
      </c>
      <c r="F758" s="7" t="s">
        <v>22</v>
      </c>
      <c r="G758" s="9">
        <v>35.74</v>
      </c>
      <c r="H758" s="13">
        <v>8</v>
      </c>
      <c r="I758" s="17">
        <v>14.295999999999999</v>
      </c>
      <c r="J758" s="9">
        <v>300.21600000000001</v>
      </c>
      <c r="K758" s="21">
        <v>43513</v>
      </c>
      <c r="L758" s="3">
        <v>0.64444444444444449</v>
      </c>
      <c r="M758" s="7" t="s">
        <v>18</v>
      </c>
      <c r="N758" s="19">
        <v>285.92</v>
      </c>
      <c r="O758" s="15">
        <v>4.7619047620000003</v>
      </c>
      <c r="P758" s="9">
        <v>14.295999999999999</v>
      </c>
      <c r="Q758" s="11">
        <v>4.9000000000000004</v>
      </c>
    </row>
    <row r="759" spans="1:17" x14ac:dyDescent="0.25">
      <c r="A759" s="5" t="s">
        <v>787</v>
      </c>
      <c r="B759" s="7" t="s">
        <v>13</v>
      </c>
      <c r="C759" s="7" t="s">
        <v>14</v>
      </c>
      <c r="D759" s="7" t="s">
        <v>21</v>
      </c>
      <c r="E759" s="7" t="s">
        <v>16</v>
      </c>
      <c r="F759" s="7" t="s">
        <v>26</v>
      </c>
      <c r="G759" s="9">
        <v>96.52</v>
      </c>
      <c r="H759" s="13">
        <v>6</v>
      </c>
      <c r="I759" s="17">
        <v>28.956</v>
      </c>
      <c r="J759" s="9">
        <v>608.07600000000002</v>
      </c>
      <c r="K759" s="21">
        <v>43476</v>
      </c>
      <c r="L759" s="3">
        <v>0.49444444444444446</v>
      </c>
      <c r="M759" s="7" t="s">
        <v>23</v>
      </c>
      <c r="N759" s="19">
        <v>579.12</v>
      </c>
      <c r="O759" s="15">
        <v>4.7619047620000003</v>
      </c>
      <c r="P759" s="9">
        <v>28.956</v>
      </c>
      <c r="Q759" s="11">
        <v>4.5</v>
      </c>
    </row>
    <row r="760" spans="1:17" x14ac:dyDescent="0.25">
      <c r="A760" s="5" t="s">
        <v>788</v>
      </c>
      <c r="B760" s="7" t="s">
        <v>13</v>
      </c>
      <c r="C760" s="7" t="s">
        <v>14</v>
      </c>
      <c r="D760" s="7" t="s">
        <v>15</v>
      </c>
      <c r="E760" s="7" t="s">
        <v>25</v>
      </c>
      <c r="F760" s="7" t="s">
        <v>38</v>
      </c>
      <c r="G760" s="9">
        <v>18.850000000000001</v>
      </c>
      <c r="H760" s="13">
        <v>10</v>
      </c>
      <c r="I760" s="17">
        <v>9.4250000000000007</v>
      </c>
      <c r="J760" s="9">
        <v>197.92500000000001</v>
      </c>
      <c r="K760" s="21">
        <v>43523</v>
      </c>
      <c r="L760" s="3">
        <v>0.76666666666666672</v>
      </c>
      <c r="M760" s="7" t="s">
        <v>18</v>
      </c>
      <c r="N760" s="19">
        <v>188.5</v>
      </c>
      <c r="O760" s="15">
        <v>4.7619047620000003</v>
      </c>
      <c r="P760" s="9">
        <v>9.4250000000000007</v>
      </c>
      <c r="Q760" s="11">
        <v>5.6</v>
      </c>
    </row>
    <row r="761" spans="1:17" x14ac:dyDescent="0.25">
      <c r="A761" s="5" t="s">
        <v>789</v>
      </c>
      <c r="B761" s="7" t="s">
        <v>13</v>
      </c>
      <c r="C761" s="7" t="s">
        <v>14</v>
      </c>
      <c r="D761" s="7" t="s">
        <v>21</v>
      </c>
      <c r="E761" s="7" t="s">
        <v>16</v>
      </c>
      <c r="F761" s="7" t="s">
        <v>38</v>
      </c>
      <c r="G761" s="9">
        <v>55.39</v>
      </c>
      <c r="H761" s="13">
        <v>4</v>
      </c>
      <c r="I761" s="17">
        <v>11.077999999999999</v>
      </c>
      <c r="J761" s="9">
        <v>232.63800000000001</v>
      </c>
      <c r="K761" s="21">
        <v>43549</v>
      </c>
      <c r="L761" s="3">
        <v>0.6381944444444444</v>
      </c>
      <c r="M761" s="7" t="s">
        <v>18</v>
      </c>
      <c r="N761" s="19">
        <v>221.56</v>
      </c>
      <c r="O761" s="15">
        <v>4.7619047620000003</v>
      </c>
      <c r="P761" s="9">
        <v>11.077999999999999</v>
      </c>
      <c r="Q761" s="11">
        <v>8</v>
      </c>
    </row>
    <row r="762" spans="1:17" x14ac:dyDescent="0.25">
      <c r="A762" s="5" t="s">
        <v>790</v>
      </c>
      <c r="B762" s="7" t="s">
        <v>36</v>
      </c>
      <c r="C762" s="7" t="s">
        <v>37</v>
      </c>
      <c r="D762" s="7" t="s">
        <v>15</v>
      </c>
      <c r="E762" s="7" t="s">
        <v>16</v>
      </c>
      <c r="F762" s="7" t="s">
        <v>38</v>
      </c>
      <c r="G762" s="9">
        <v>77.2</v>
      </c>
      <c r="H762" s="13">
        <v>10</v>
      </c>
      <c r="I762" s="17">
        <v>38.6</v>
      </c>
      <c r="J762" s="9">
        <v>810.6</v>
      </c>
      <c r="K762" s="21">
        <v>43507</v>
      </c>
      <c r="L762" s="3">
        <v>0.44305555555555554</v>
      </c>
      <c r="M762" s="7" t="s">
        <v>27</v>
      </c>
      <c r="N762" s="19">
        <v>772</v>
      </c>
      <c r="O762" s="15">
        <v>4.7619047620000003</v>
      </c>
      <c r="P762" s="9">
        <v>38.6</v>
      </c>
      <c r="Q762" s="11">
        <v>5.6</v>
      </c>
    </row>
    <row r="763" spans="1:17" x14ac:dyDescent="0.25">
      <c r="A763" s="5" t="s">
        <v>791</v>
      </c>
      <c r="B763" s="7" t="s">
        <v>36</v>
      </c>
      <c r="C763" s="7" t="s">
        <v>37</v>
      </c>
      <c r="D763" s="7" t="s">
        <v>21</v>
      </c>
      <c r="E763" s="7" t="s">
        <v>25</v>
      </c>
      <c r="F763" s="7" t="s">
        <v>22</v>
      </c>
      <c r="G763" s="9">
        <v>72.13</v>
      </c>
      <c r="H763" s="13">
        <v>10</v>
      </c>
      <c r="I763" s="17">
        <v>36.064999999999998</v>
      </c>
      <c r="J763" s="9">
        <v>757.36500000000001</v>
      </c>
      <c r="K763" s="21">
        <v>43496</v>
      </c>
      <c r="L763" s="3">
        <v>0.6333333333333333</v>
      </c>
      <c r="M763" s="7" t="s">
        <v>27</v>
      </c>
      <c r="N763" s="19">
        <v>721.3</v>
      </c>
      <c r="O763" s="15">
        <v>4.7619047620000003</v>
      </c>
      <c r="P763" s="9">
        <v>36.064999999999998</v>
      </c>
      <c r="Q763" s="11">
        <v>4.2</v>
      </c>
    </row>
    <row r="764" spans="1:17" x14ac:dyDescent="0.25">
      <c r="A764" s="5" t="s">
        <v>792</v>
      </c>
      <c r="B764" s="7" t="s">
        <v>13</v>
      </c>
      <c r="C764" s="7" t="s">
        <v>14</v>
      </c>
      <c r="D764" s="7" t="s">
        <v>15</v>
      </c>
      <c r="E764" s="7" t="s">
        <v>16</v>
      </c>
      <c r="F764" s="7" t="s">
        <v>40</v>
      </c>
      <c r="G764" s="9">
        <v>63.88</v>
      </c>
      <c r="H764" s="13">
        <v>8</v>
      </c>
      <c r="I764" s="17">
        <v>25.552</v>
      </c>
      <c r="J764" s="9">
        <v>536.59199999999998</v>
      </c>
      <c r="K764" s="21">
        <v>43485</v>
      </c>
      <c r="L764" s="3">
        <v>0.7416666666666667</v>
      </c>
      <c r="M764" s="7" t="s">
        <v>18</v>
      </c>
      <c r="N764" s="19">
        <v>511.04</v>
      </c>
      <c r="O764" s="15">
        <v>4.7619047620000003</v>
      </c>
      <c r="P764" s="9">
        <v>25.552</v>
      </c>
      <c r="Q764" s="11">
        <v>9.9</v>
      </c>
    </row>
    <row r="765" spans="1:17" x14ac:dyDescent="0.25">
      <c r="A765" s="5" t="s">
        <v>793</v>
      </c>
      <c r="B765" s="7" t="s">
        <v>13</v>
      </c>
      <c r="C765" s="7" t="s">
        <v>14</v>
      </c>
      <c r="D765" s="7" t="s">
        <v>15</v>
      </c>
      <c r="E765" s="7" t="s">
        <v>16</v>
      </c>
      <c r="F765" s="7" t="s">
        <v>17</v>
      </c>
      <c r="G765" s="9">
        <v>10.69</v>
      </c>
      <c r="H765" s="13">
        <v>5</v>
      </c>
      <c r="I765" s="17">
        <v>2.6724999999999999</v>
      </c>
      <c r="J765" s="9">
        <v>56.122500000000002</v>
      </c>
      <c r="K765" s="21">
        <v>43550</v>
      </c>
      <c r="L765" s="3">
        <v>0.46319444444444446</v>
      </c>
      <c r="M765" s="7" t="s">
        <v>18</v>
      </c>
      <c r="N765" s="19">
        <v>53.45</v>
      </c>
      <c r="O765" s="15">
        <v>4.7619047620000003</v>
      </c>
      <c r="P765" s="9">
        <v>2.6724999999999999</v>
      </c>
      <c r="Q765" s="11">
        <v>7.6</v>
      </c>
    </row>
    <row r="766" spans="1:17" x14ac:dyDescent="0.25">
      <c r="A766" s="5" t="s">
        <v>794</v>
      </c>
      <c r="B766" s="7" t="s">
        <v>13</v>
      </c>
      <c r="C766" s="7" t="s">
        <v>14</v>
      </c>
      <c r="D766" s="7" t="s">
        <v>15</v>
      </c>
      <c r="E766" s="7" t="s">
        <v>25</v>
      </c>
      <c r="F766" s="7" t="s">
        <v>17</v>
      </c>
      <c r="G766" s="9">
        <v>55.5</v>
      </c>
      <c r="H766" s="13">
        <v>4</v>
      </c>
      <c r="I766" s="17">
        <v>11.1</v>
      </c>
      <c r="J766" s="9">
        <v>233.1</v>
      </c>
      <c r="K766" s="21">
        <v>43485</v>
      </c>
      <c r="L766" s="3">
        <v>0.65833333333333333</v>
      </c>
      <c r="M766" s="7" t="s">
        <v>27</v>
      </c>
      <c r="N766" s="19">
        <v>222</v>
      </c>
      <c r="O766" s="15">
        <v>4.7619047620000003</v>
      </c>
      <c r="P766" s="9">
        <v>11.1</v>
      </c>
      <c r="Q766" s="11">
        <v>6.6</v>
      </c>
    </row>
    <row r="767" spans="1:17" x14ac:dyDescent="0.25">
      <c r="A767" s="5" t="s">
        <v>795</v>
      </c>
      <c r="B767" s="7" t="s">
        <v>36</v>
      </c>
      <c r="C767" s="7" t="s">
        <v>37</v>
      </c>
      <c r="D767" s="7" t="s">
        <v>21</v>
      </c>
      <c r="E767" s="7" t="s">
        <v>16</v>
      </c>
      <c r="F767" s="7" t="s">
        <v>26</v>
      </c>
      <c r="G767" s="9">
        <v>95.46</v>
      </c>
      <c r="H767" s="13">
        <v>8</v>
      </c>
      <c r="I767" s="17">
        <v>38.183999999999997</v>
      </c>
      <c r="J767" s="9">
        <v>801.86400000000003</v>
      </c>
      <c r="K767" s="21">
        <v>43529</v>
      </c>
      <c r="L767" s="3">
        <v>0.81944444444444442</v>
      </c>
      <c r="M767" s="7" t="s">
        <v>18</v>
      </c>
      <c r="N767" s="19">
        <v>763.68</v>
      </c>
      <c r="O767" s="15">
        <v>4.7619047620000003</v>
      </c>
      <c r="P767" s="9">
        <v>38.183999999999997</v>
      </c>
      <c r="Q767" s="11">
        <v>4.7</v>
      </c>
    </row>
    <row r="768" spans="1:17" x14ac:dyDescent="0.25">
      <c r="A768" s="5" t="s">
        <v>796</v>
      </c>
      <c r="B768" s="7" t="s">
        <v>20</v>
      </c>
      <c r="C768" s="7" t="s">
        <v>1034</v>
      </c>
      <c r="D768" s="7" t="s">
        <v>21</v>
      </c>
      <c r="E768" s="7" t="s">
        <v>16</v>
      </c>
      <c r="F768" s="7" t="s">
        <v>40</v>
      </c>
      <c r="G768" s="9">
        <v>76.06</v>
      </c>
      <c r="H768" s="13">
        <v>3</v>
      </c>
      <c r="I768" s="17">
        <v>11.409000000000001</v>
      </c>
      <c r="J768" s="9">
        <v>239.589</v>
      </c>
      <c r="K768" s="21">
        <v>43470</v>
      </c>
      <c r="L768" s="3">
        <v>0.85416666666666663</v>
      </c>
      <c r="M768" s="7" t="s">
        <v>27</v>
      </c>
      <c r="N768" s="19">
        <v>228.18</v>
      </c>
      <c r="O768" s="15">
        <v>4.7619047620000003</v>
      </c>
      <c r="P768" s="9">
        <v>11.409000000000001</v>
      </c>
      <c r="Q768" s="11">
        <v>9.8000000000000007</v>
      </c>
    </row>
    <row r="769" spans="1:17" x14ac:dyDescent="0.25">
      <c r="A769" s="5" t="s">
        <v>797</v>
      </c>
      <c r="B769" s="7" t="s">
        <v>36</v>
      </c>
      <c r="C769" s="7" t="s">
        <v>37</v>
      </c>
      <c r="D769" s="7" t="s">
        <v>21</v>
      </c>
      <c r="E769" s="7" t="s">
        <v>25</v>
      </c>
      <c r="F769" s="7" t="s">
        <v>30</v>
      </c>
      <c r="G769" s="9">
        <v>13.69</v>
      </c>
      <c r="H769" s="13">
        <v>6</v>
      </c>
      <c r="I769" s="17">
        <v>4.1070000000000002</v>
      </c>
      <c r="J769" s="9">
        <v>86.247</v>
      </c>
      <c r="K769" s="21">
        <v>43509</v>
      </c>
      <c r="L769" s="3">
        <v>0.58263888888888893</v>
      </c>
      <c r="M769" s="7" t="s">
        <v>23</v>
      </c>
      <c r="N769" s="19">
        <v>82.14</v>
      </c>
      <c r="O769" s="15">
        <v>4.7619047620000003</v>
      </c>
      <c r="P769" s="9">
        <v>4.1070000000000002</v>
      </c>
      <c r="Q769" s="11">
        <v>6.3</v>
      </c>
    </row>
    <row r="770" spans="1:17" x14ac:dyDescent="0.25">
      <c r="A770" s="5" t="s">
        <v>798</v>
      </c>
      <c r="B770" s="7" t="s">
        <v>36</v>
      </c>
      <c r="C770" s="7" t="s">
        <v>37</v>
      </c>
      <c r="D770" s="7" t="s">
        <v>21</v>
      </c>
      <c r="E770" s="7" t="s">
        <v>16</v>
      </c>
      <c r="F770" s="7" t="s">
        <v>22</v>
      </c>
      <c r="G770" s="9">
        <v>95.64</v>
      </c>
      <c r="H770" s="13">
        <v>4</v>
      </c>
      <c r="I770" s="17">
        <v>19.128</v>
      </c>
      <c r="J770" s="9">
        <v>401.68799999999999</v>
      </c>
      <c r="K770" s="21">
        <v>43540</v>
      </c>
      <c r="L770" s="3">
        <v>0.78541666666666665</v>
      </c>
      <c r="M770" s="7" t="s">
        <v>23</v>
      </c>
      <c r="N770" s="19">
        <v>382.56</v>
      </c>
      <c r="O770" s="15">
        <v>4.7619047620000003</v>
      </c>
      <c r="P770" s="9">
        <v>19.128</v>
      </c>
      <c r="Q770" s="11">
        <v>7.9</v>
      </c>
    </row>
    <row r="771" spans="1:17" x14ac:dyDescent="0.25">
      <c r="A771" s="5" t="s">
        <v>799</v>
      </c>
      <c r="B771" s="7" t="s">
        <v>13</v>
      </c>
      <c r="C771" s="7" t="s">
        <v>14</v>
      </c>
      <c r="D771" s="7" t="s">
        <v>21</v>
      </c>
      <c r="E771" s="7" t="s">
        <v>16</v>
      </c>
      <c r="F771" s="7" t="s">
        <v>26</v>
      </c>
      <c r="G771" s="9">
        <v>11.43</v>
      </c>
      <c r="H771" s="13">
        <v>6</v>
      </c>
      <c r="I771" s="17">
        <v>3.4289999999999998</v>
      </c>
      <c r="J771" s="9">
        <v>72.009</v>
      </c>
      <c r="K771" s="21">
        <v>43480</v>
      </c>
      <c r="L771" s="3">
        <v>0.72499999999999998</v>
      </c>
      <c r="M771" s="7" t="s">
        <v>23</v>
      </c>
      <c r="N771" s="19">
        <v>68.58</v>
      </c>
      <c r="O771" s="15">
        <v>4.7619047620000003</v>
      </c>
      <c r="P771" s="9">
        <v>3.4289999999999998</v>
      </c>
      <c r="Q771" s="11">
        <v>7.7</v>
      </c>
    </row>
    <row r="772" spans="1:17" x14ac:dyDescent="0.25">
      <c r="A772" s="5" t="s">
        <v>800</v>
      </c>
      <c r="B772" s="7" t="s">
        <v>36</v>
      </c>
      <c r="C772" s="7" t="s">
        <v>37</v>
      </c>
      <c r="D772" s="7" t="s">
        <v>15</v>
      </c>
      <c r="E772" s="7" t="s">
        <v>16</v>
      </c>
      <c r="F772" s="7" t="s">
        <v>30</v>
      </c>
      <c r="G772" s="9">
        <v>95.54</v>
      </c>
      <c r="H772" s="13">
        <v>4</v>
      </c>
      <c r="I772" s="17">
        <v>19.108000000000001</v>
      </c>
      <c r="J772" s="9">
        <v>401.26799999999997</v>
      </c>
      <c r="K772" s="21">
        <v>43522</v>
      </c>
      <c r="L772" s="3">
        <v>0.49861111111111112</v>
      </c>
      <c r="M772" s="7" t="s">
        <v>18</v>
      </c>
      <c r="N772" s="19">
        <v>382.16</v>
      </c>
      <c r="O772" s="15">
        <v>4.7619047620000003</v>
      </c>
      <c r="P772" s="9">
        <v>19.108000000000001</v>
      </c>
      <c r="Q772" s="11">
        <v>4.5</v>
      </c>
    </row>
    <row r="773" spans="1:17" x14ac:dyDescent="0.25">
      <c r="A773" s="5" t="s">
        <v>801</v>
      </c>
      <c r="B773" s="7" t="s">
        <v>20</v>
      </c>
      <c r="C773" s="7" t="s">
        <v>1034</v>
      </c>
      <c r="D773" s="7" t="s">
        <v>15</v>
      </c>
      <c r="E773" s="7" t="s">
        <v>16</v>
      </c>
      <c r="F773" s="7" t="s">
        <v>17</v>
      </c>
      <c r="G773" s="9">
        <v>85.87</v>
      </c>
      <c r="H773" s="13">
        <v>7</v>
      </c>
      <c r="I773" s="17">
        <v>30.054500000000001</v>
      </c>
      <c r="J773" s="9">
        <v>631.14449999999999</v>
      </c>
      <c r="K773" s="21">
        <v>43523</v>
      </c>
      <c r="L773" s="3">
        <v>0.79236111111111107</v>
      </c>
      <c r="M773" s="7" t="s">
        <v>27</v>
      </c>
      <c r="N773" s="19">
        <v>601.09</v>
      </c>
      <c r="O773" s="15">
        <v>4.7619047620000003</v>
      </c>
      <c r="P773" s="9">
        <v>30.054500000000001</v>
      </c>
      <c r="Q773" s="11">
        <v>8</v>
      </c>
    </row>
    <row r="774" spans="1:17" x14ac:dyDescent="0.25">
      <c r="A774" s="5" t="s">
        <v>802</v>
      </c>
      <c r="B774" s="7" t="s">
        <v>20</v>
      </c>
      <c r="C774" s="7" t="s">
        <v>1034</v>
      </c>
      <c r="D774" s="7" t="s">
        <v>15</v>
      </c>
      <c r="E774" s="7" t="s">
        <v>16</v>
      </c>
      <c r="F774" s="7" t="s">
        <v>30</v>
      </c>
      <c r="G774" s="9">
        <v>67.989999999999995</v>
      </c>
      <c r="H774" s="13">
        <v>7</v>
      </c>
      <c r="I774" s="17">
        <v>23.796500000000002</v>
      </c>
      <c r="J774" s="9">
        <v>499.72649999999999</v>
      </c>
      <c r="K774" s="21">
        <v>43513</v>
      </c>
      <c r="L774" s="3">
        <v>0.70138888888888884</v>
      </c>
      <c r="M774" s="7" t="s">
        <v>18</v>
      </c>
      <c r="N774" s="19">
        <v>475.93</v>
      </c>
      <c r="O774" s="15">
        <v>4.7619047620000003</v>
      </c>
      <c r="P774" s="9">
        <v>23.796500000000002</v>
      </c>
      <c r="Q774" s="11">
        <v>5.7</v>
      </c>
    </row>
    <row r="775" spans="1:17" x14ac:dyDescent="0.25">
      <c r="A775" s="5" t="s">
        <v>803</v>
      </c>
      <c r="B775" s="7" t="s">
        <v>20</v>
      </c>
      <c r="C775" s="7" t="s">
        <v>1034</v>
      </c>
      <c r="D775" s="7" t="s">
        <v>21</v>
      </c>
      <c r="E775" s="7" t="s">
        <v>16</v>
      </c>
      <c r="F775" s="7" t="s">
        <v>38</v>
      </c>
      <c r="G775" s="9">
        <v>52.42</v>
      </c>
      <c r="H775" s="13">
        <v>1</v>
      </c>
      <c r="I775" s="17">
        <v>2.621</v>
      </c>
      <c r="J775" s="9">
        <v>55.040999999999997</v>
      </c>
      <c r="K775" s="21">
        <v>43502</v>
      </c>
      <c r="L775" s="3">
        <v>0.43194444444444446</v>
      </c>
      <c r="M775" s="7" t="s">
        <v>27</v>
      </c>
      <c r="N775" s="19">
        <v>52.42</v>
      </c>
      <c r="O775" s="15">
        <v>4.7619047620000003</v>
      </c>
      <c r="P775" s="9">
        <v>2.621</v>
      </c>
      <c r="Q775" s="11">
        <v>6.3</v>
      </c>
    </row>
    <row r="776" spans="1:17" x14ac:dyDescent="0.25">
      <c r="A776" s="5" t="s">
        <v>804</v>
      </c>
      <c r="B776" s="7" t="s">
        <v>20</v>
      </c>
      <c r="C776" s="7" t="s">
        <v>1034</v>
      </c>
      <c r="D776" s="7" t="s">
        <v>15</v>
      </c>
      <c r="E776" s="7" t="s">
        <v>25</v>
      </c>
      <c r="F776" s="7" t="s">
        <v>38</v>
      </c>
      <c r="G776" s="9">
        <v>65.650000000000006</v>
      </c>
      <c r="H776" s="13">
        <v>2</v>
      </c>
      <c r="I776" s="17">
        <v>6.5650000000000004</v>
      </c>
      <c r="J776" s="9">
        <v>137.86500000000001</v>
      </c>
      <c r="K776" s="21">
        <v>43482</v>
      </c>
      <c r="L776" s="3">
        <v>0.69861111111111107</v>
      </c>
      <c r="M776" s="7" t="s">
        <v>23</v>
      </c>
      <c r="N776" s="19">
        <v>131.30000000000001</v>
      </c>
      <c r="O776" s="15">
        <v>4.7619047620000003</v>
      </c>
      <c r="P776" s="9">
        <v>6.5650000000000004</v>
      </c>
      <c r="Q776" s="11">
        <v>6</v>
      </c>
    </row>
    <row r="777" spans="1:17" x14ac:dyDescent="0.25">
      <c r="A777" s="5" t="s">
        <v>805</v>
      </c>
      <c r="B777" s="7" t="s">
        <v>36</v>
      </c>
      <c r="C777" s="7" t="s">
        <v>37</v>
      </c>
      <c r="D777" s="7" t="s">
        <v>21</v>
      </c>
      <c r="E777" s="7" t="s">
        <v>16</v>
      </c>
      <c r="F777" s="7" t="s">
        <v>38</v>
      </c>
      <c r="G777" s="9">
        <v>28.86</v>
      </c>
      <c r="H777" s="13">
        <v>5</v>
      </c>
      <c r="I777" s="17">
        <v>7.2149999999999999</v>
      </c>
      <c r="J777" s="9">
        <v>151.51499999999999</v>
      </c>
      <c r="K777" s="21">
        <v>43487</v>
      </c>
      <c r="L777" s="3">
        <v>0.75555555555555554</v>
      </c>
      <c r="M777" s="7" t="s">
        <v>27</v>
      </c>
      <c r="N777" s="19">
        <v>144.30000000000001</v>
      </c>
      <c r="O777" s="15">
        <v>4.7619047620000003</v>
      </c>
      <c r="P777" s="9">
        <v>7.2149999999999999</v>
      </c>
      <c r="Q777" s="11">
        <v>8</v>
      </c>
    </row>
    <row r="778" spans="1:17" x14ac:dyDescent="0.25">
      <c r="A778" s="5" t="s">
        <v>806</v>
      </c>
      <c r="B778" s="7" t="s">
        <v>20</v>
      </c>
      <c r="C778" s="7" t="s">
        <v>1034</v>
      </c>
      <c r="D778" s="7" t="s">
        <v>15</v>
      </c>
      <c r="E778" s="7" t="s">
        <v>25</v>
      </c>
      <c r="F778" s="7" t="s">
        <v>17</v>
      </c>
      <c r="G778" s="9">
        <v>65.31</v>
      </c>
      <c r="H778" s="13">
        <v>7</v>
      </c>
      <c r="I778" s="17">
        <v>22.858499999999999</v>
      </c>
      <c r="J778" s="9">
        <v>480.02850000000001</v>
      </c>
      <c r="K778" s="21">
        <v>43529</v>
      </c>
      <c r="L778" s="3">
        <v>0.75138888888888888</v>
      </c>
      <c r="M778" s="7" t="s">
        <v>27</v>
      </c>
      <c r="N778" s="19">
        <v>457.17</v>
      </c>
      <c r="O778" s="15">
        <v>4.7619047620000003</v>
      </c>
      <c r="P778" s="9">
        <v>22.858499999999999</v>
      </c>
      <c r="Q778" s="11">
        <v>4.2</v>
      </c>
    </row>
    <row r="779" spans="1:17" x14ac:dyDescent="0.25">
      <c r="A779" s="5" t="s">
        <v>807</v>
      </c>
      <c r="B779" s="7" t="s">
        <v>36</v>
      </c>
      <c r="C779" s="7" t="s">
        <v>37</v>
      </c>
      <c r="D779" s="7" t="s">
        <v>21</v>
      </c>
      <c r="E779" s="7" t="s">
        <v>25</v>
      </c>
      <c r="F779" s="7" t="s">
        <v>30</v>
      </c>
      <c r="G779" s="9">
        <v>93.38</v>
      </c>
      <c r="H779" s="13">
        <v>1</v>
      </c>
      <c r="I779" s="17">
        <v>4.6689999999999996</v>
      </c>
      <c r="J779" s="9">
        <v>98.049000000000007</v>
      </c>
      <c r="K779" s="21">
        <v>43468</v>
      </c>
      <c r="L779" s="3">
        <v>0.54652777777777772</v>
      </c>
      <c r="M779" s="7" t="s">
        <v>23</v>
      </c>
      <c r="N779" s="19">
        <v>93.38</v>
      </c>
      <c r="O779" s="15">
        <v>4.7619047620000003</v>
      </c>
      <c r="P779" s="9">
        <v>4.6689999999999996</v>
      </c>
      <c r="Q779" s="11">
        <v>9.6</v>
      </c>
    </row>
    <row r="780" spans="1:17" x14ac:dyDescent="0.25">
      <c r="A780" s="5" t="s">
        <v>808</v>
      </c>
      <c r="B780" s="7" t="s">
        <v>20</v>
      </c>
      <c r="C780" s="7" t="s">
        <v>1034</v>
      </c>
      <c r="D780" s="7" t="s">
        <v>15</v>
      </c>
      <c r="E780" s="7" t="s">
        <v>25</v>
      </c>
      <c r="F780" s="7" t="s">
        <v>30</v>
      </c>
      <c r="G780" s="9">
        <v>25.25</v>
      </c>
      <c r="H780" s="13">
        <v>5</v>
      </c>
      <c r="I780" s="17">
        <v>6.3125</v>
      </c>
      <c r="J780" s="9">
        <v>132.5625</v>
      </c>
      <c r="K780" s="21">
        <v>43544</v>
      </c>
      <c r="L780" s="3">
        <v>0.74444444444444446</v>
      </c>
      <c r="M780" s="7" t="s">
        <v>23</v>
      </c>
      <c r="N780" s="19">
        <v>126.25</v>
      </c>
      <c r="O780" s="15">
        <v>4.7619047620000003</v>
      </c>
      <c r="P780" s="9">
        <v>6.3125</v>
      </c>
      <c r="Q780" s="11">
        <v>6.1</v>
      </c>
    </row>
    <row r="781" spans="1:17" x14ac:dyDescent="0.25">
      <c r="A781" s="5" t="s">
        <v>809</v>
      </c>
      <c r="B781" s="7" t="s">
        <v>36</v>
      </c>
      <c r="C781" s="7" t="s">
        <v>37</v>
      </c>
      <c r="D781" s="7" t="s">
        <v>15</v>
      </c>
      <c r="E781" s="7" t="s">
        <v>25</v>
      </c>
      <c r="F781" s="7" t="s">
        <v>22</v>
      </c>
      <c r="G781" s="9">
        <v>87.87</v>
      </c>
      <c r="H781" s="13">
        <v>9</v>
      </c>
      <c r="I781" s="17">
        <v>39.541499999999999</v>
      </c>
      <c r="J781" s="9">
        <v>830.37149999999997</v>
      </c>
      <c r="K781" s="21">
        <v>43496</v>
      </c>
      <c r="L781" s="3">
        <v>0.85555555555555551</v>
      </c>
      <c r="M781" s="7" t="s">
        <v>18</v>
      </c>
      <c r="N781" s="19">
        <v>790.83</v>
      </c>
      <c r="O781" s="15">
        <v>4.7619047620000003</v>
      </c>
      <c r="P781" s="9">
        <v>39.541499999999999</v>
      </c>
      <c r="Q781" s="11">
        <v>5.6</v>
      </c>
    </row>
    <row r="782" spans="1:17" x14ac:dyDescent="0.25">
      <c r="A782" s="5" t="s">
        <v>810</v>
      </c>
      <c r="B782" s="7" t="s">
        <v>20</v>
      </c>
      <c r="C782" s="7" t="s">
        <v>1034</v>
      </c>
      <c r="D782" s="7" t="s">
        <v>21</v>
      </c>
      <c r="E782" s="7" t="s">
        <v>25</v>
      </c>
      <c r="F782" s="7" t="s">
        <v>17</v>
      </c>
      <c r="G782" s="9">
        <v>21.8</v>
      </c>
      <c r="H782" s="13">
        <v>8</v>
      </c>
      <c r="I782" s="17">
        <v>8.7200000000000006</v>
      </c>
      <c r="J782" s="9">
        <v>183.12</v>
      </c>
      <c r="K782" s="21">
        <v>43515</v>
      </c>
      <c r="L782" s="3">
        <v>0.80833333333333335</v>
      </c>
      <c r="M782" s="7" t="s">
        <v>23</v>
      </c>
      <c r="N782" s="19">
        <v>174.4</v>
      </c>
      <c r="O782" s="15">
        <v>4.7619047620000003</v>
      </c>
      <c r="P782" s="9">
        <v>8.7200000000000006</v>
      </c>
      <c r="Q782" s="11">
        <v>8.3000000000000007</v>
      </c>
    </row>
    <row r="783" spans="1:17" x14ac:dyDescent="0.25">
      <c r="A783" s="5" t="s">
        <v>811</v>
      </c>
      <c r="B783" s="7" t="s">
        <v>13</v>
      </c>
      <c r="C783" s="7" t="s">
        <v>14</v>
      </c>
      <c r="D783" s="7" t="s">
        <v>21</v>
      </c>
      <c r="E783" s="7" t="s">
        <v>16</v>
      </c>
      <c r="F783" s="7" t="s">
        <v>30</v>
      </c>
      <c r="G783" s="9">
        <v>94.76</v>
      </c>
      <c r="H783" s="13">
        <v>4</v>
      </c>
      <c r="I783" s="17">
        <v>18.952000000000002</v>
      </c>
      <c r="J783" s="9">
        <v>397.99200000000002</v>
      </c>
      <c r="K783" s="21">
        <v>43507</v>
      </c>
      <c r="L783" s="3">
        <v>0.67083333333333328</v>
      </c>
      <c r="M783" s="7" t="s">
        <v>18</v>
      </c>
      <c r="N783" s="19">
        <v>379.04</v>
      </c>
      <c r="O783" s="15">
        <v>4.7619047620000003</v>
      </c>
      <c r="P783" s="9">
        <v>18.952000000000002</v>
      </c>
      <c r="Q783" s="11">
        <v>7.8</v>
      </c>
    </row>
    <row r="784" spans="1:17" x14ac:dyDescent="0.25">
      <c r="A784" s="5" t="s">
        <v>812</v>
      </c>
      <c r="B784" s="7" t="s">
        <v>13</v>
      </c>
      <c r="C784" s="7" t="s">
        <v>14</v>
      </c>
      <c r="D784" s="7" t="s">
        <v>15</v>
      </c>
      <c r="E784" s="7" t="s">
        <v>16</v>
      </c>
      <c r="F784" s="7" t="s">
        <v>40</v>
      </c>
      <c r="G784" s="9">
        <v>30.62</v>
      </c>
      <c r="H784" s="13">
        <v>1</v>
      </c>
      <c r="I784" s="17">
        <v>1.5309999999999999</v>
      </c>
      <c r="J784" s="9">
        <v>32.151000000000003</v>
      </c>
      <c r="K784" s="21">
        <v>43501</v>
      </c>
      <c r="L784" s="3">
        <v>0.59305555555555556</v>
      </c>
      <c r="M784" s="7" t="s">
        <v>27</v>
      </c>
      <c r="N784" s="19">
        <v>30.62</v>
      </c>
      <c r="O784" s="15">
        <v>4.7619047620000003</v>
      </c>
      <c r="P784" s="9">
        <v>1.5309999999999999</v>
      </c>
      <c r="Q784" s="11">
        <v>4.0999999999999996</v>
      </c>
    </row>
    <row r="785" spans="1:17" x14ac:dyDescent="0.25">
      <c r="A785" s="5" t="s">
        <v>813</v>
      </c>
      <c r="B785" s="7" t="s">
        <v>20</v>
      </c>
      <c r="C785" s="7" t="s">
        <v>1034</v>
      </c>
      <c r="D785" s="7" t="s">
        <v>21</v>
      </c>
      <c r="E785" s="7" t="s">
        <v>16</v>
      </c>
      <c r="F785" s="7" t="s">
        <v>26</v>
      </c>
      <c r="G785" s="9">
        <v>44.01</v>
      </c>
      <c r="H785" s="13">
        <v>8</v>
      </c>
      <c r="I785" s="17">
        <v>17.603999999999999</v>
      </c>
      <c r="J785" s="9">
        <v>369.68400000000003</v>
      </c>
      <c r="K785" s="21">
        <v>43527</v>
      </c>
      <c r="L785" s="3">
        <v>0.73333333333333328</v>
      </c>
      <c r="M785" s="7" t="s">
        <v>23</v>
      </c>
      <c r="N785" s="19">
        <v>352.08</v>
      </c>
      <c r="O785" s="15">
        <v>4.7619047620000003</v>
      </c>
      <c r="P785" s="9">
        <v>17.603999999999999</v>
      </c>
      <c r="Q785" s="11">
        <v>8.8000000000000007</v>
      </c>
    </row>
    <row r="786" spans="1:17" x14ac:dyDescent="0.25">
      <c r="A786" s="5" t="s">
        <v>814</v>
      </c>
      <c r="B786" s="7" t="s">
        <v>20</v>
      </c>
      <c r="C786" s="7" t="s">
        <v>1034</v>
      </c>
      <c r="D786" s="7" t="s">
        <v>15</v>
      </c>
      <c r="E786" s="7" t="s">
        <v>16</v>
      </c>
      <c r="F786" s="7" t="s">
        <v>17</v>
      </c>
      <c r="G786" s="9">
        <v>10.16</v>
      </c>
      <c r="H786" s="13">
        <v>5</v>
      </c>
      <c r="I786" s="17">
        <v>2.54</v>
      </c>
      <c r="J786" s="9">
        <v>53.34</v>
      </c>
      <c r="K786" s="21">
        <v>43520</v>
      </c>
      <c r="L786" s="3">
        <v>0.54722222222222228</v>
      </c>
      <c r="M786" s="7" t="s">
        <v>18</v>
      </c>
      <c r="N786" s="19">
        <v>50.8</v>
      </c>
      <c r="O786" s="15">
        <v>4.7619047620000003</v>
      </c>
      <c r="P786" s="9">
        <v>2.54</v>
      </c>
      <c r="Q786" s="11">
        <v>4.0999999999999996</v>
      </c>
    </row>
    <row r="787" spans="1:17" x14ac:dyDescent="0.25">
      <c r="A787" s="5" t="s">
        <v>815</v>
      </c>
      <c r="B787" s="7" t="s">
        <v>13</v>
      </c>
      <c r="C787" s="7" t="s">
        <v>14</v>
      </c>
      <c r="D787" s="7" t="s">
        <v>21</v>
      </c>
      <c r="E787" s="7" t="s">
        <v>25</v>
      </c>
      <c r="F787" s="7" t="s">
        <v>22</v>
      </c>
      <c r="G787" s="9">
        <v>74.58</v>
      </c>
      <c r="H787" s="13">
        <v>7</v>
      </c>
      <c r="I787" s="17">
        <v>26.103000000000002</v>
      </c>
      <c r="J787" s="9">
        <v>548.16300000000001</v>
      </c>
      <c r="K787" s="21">
        <v>43500</v>
      </c>
      <c r="L787" s="3">
        <v>0.67291666666666672</v>
      </c>
      <c r="M787" s="7" t="s">
        <v>27</v>
      </c>
      <c r="N787" s="19">
        <v>522.05999999999995</v>
      </c>
      <c r="O787" s="15">
        <v>4.7619047620000003</v>
      </c>
      <c r="P787" s="9">
        <v>26.103000000000002</v>
      </c>
      <c r="Q787" s="11">
        <v>9</v>
      </c>
    </row>
    <row r="788" spans="1:17" x14ac:dyDescent="0.25">
      <c r="A788" s="5" t="s">
        <v>816</v>
      </c>
      <c r="B788" s="7" t="s">
        <v>20</v>
      </c>
      <c r="C788" s="7" t="s">
        <v>1034</v>
      </c>
      <c r="D788" s="7" t="s">
        <v>21</v>
      </c>
      <c r="E788" s="7" t="s">
        <v>25</v>
      </c>
      <c r="F788" s="7" t="s">
        <v>22</v>
      </c>
      <c r="G788" s="9">
        <v>71.89</v>
      </c>
      <c r="H788" s="13">
        <v>8</v>
      </c>
      <c r="I788" s="17">
        <v>28.756</v>
      </c>
      <c r="J788" s="9">
        <v>603.87599999999998</v>
      </c>
      <c r="K788" s="21">
        <v>43515</v>
      </c>
      <c r="L788" s="3">
        <v>0.48125000000000001</v>
      </c>
      <c r="M788" s="7" t="s">
        <v>18</v>
      </c>
      <c r="N788" s="19">
        <v>575.12</v>
      </c>
      <c r="O788" s="15">
        <v>4.7619047620000003</v>
      </c>
      <c r="P788" s="9">
        <v>28.756</v>
      </c>
      <c r="Q788" s="11">
        <v>5.5</v>
      </c>
    </row>
    <row r="789" spans="1:17" x14ac:dyDescent="0.25">
      <c r="A789" s="5" t="s">
        <v>817</v>
      </c>
      <c r="B789" s="7" t="s">
        <v>20</v>
      </c>
      <c r="C789" s="7" t="s">
        <v>1034</v>
      </c>
      <c r="D789" s="7" t="s">
        <v>21</v>
      </c>
      <c r="E789" s="7" t="s">
        <v>16</v>
      </c>
      <c r="F789" s="7" t="s">
        <v>17</v>
      </c>
      <c r="G789" s="9">
        <v>10.99</v>
      </c>
      <c r="H789" s="13">
        <v>5</v>
      </c>
      <c r="I789" s="17">
        <v>2.7475000000000001</v>
      </c>
      <c r="J789" s="9">
        <v>57.697499999999998</v>
      </c>
      <c r="K789" s="21">
        <v>43488</v>
      </c>
      <c r="L789" s="3">
        <v>0.42916666666666664</v>
      </c>
      <c r="M789" s="7" t="s">
        <v>27</v>
      </c>
      <c r="N789" s="19">
        <v>54.95</v>
      </c>
      <c r="O789" s="15">
        <v>4.7619047620000003</v>
      </c>
      <c r="P789" s="9">
        <v>2.7475000000000001</v>
      </c>
      <c r="Q789" s="11">
        <v>9.3000000000000007</v>
      </c>
    </row>
    <row r="790" spans="1:17" x14ac:dyDescent="0.25">
      <c r="A790" s="5" t="s">
        <v>818</v>
      </c>
      <c r="B790" s="7" t="s">
        <v>20</v>
      </c>
      <c r="C790" s="7" t="s">
        <v>1034</v>
      </c>
      <c r="D790" s="7" t="s">
        <v>15</v>
      </c>
      <c r="E790" s="7" t="s">
        <v>25</v>
      </c>
      <c r="F790" s="7" t="s">
        <v>17</v>
      </c>
      <c r="G790" s="9">
        <v>60.47</v>
      </c>
      <c r="H790" s="13">
        <v>3</v>
      </c>
      <c r="I790" s="17">
        <v>9.0704999999999991</v>
      </c>
      <c r="J790" s="9">
        <v>190.48050000000001</v>
      </c>
      <c r="K790" s="21">
        <v>43479</v>
      </c>
      <c r="L790" s="3">
        <v>0.4548611111111111</v>
      </c>
      <c r="M790" s="7" t="s">
        <v>27</v>
      </c>
      <c r="N790" s="19">
        <v>181.41</v>
      </c>
      <c r="O790" s="15">
        <v>4.7619047620000003</v>
      </c>
      <c r="P790" s="9">
        <v>9.0704999999999991</v>
      </c>
      <c r="Q790" s="11">
        <v>5.6</v>
      </c>
    </row>
    <row r="791" spans="1:17" x14ac:dyDescent="0.25">
      <c r="A791" s="5" t="s">
        <v>819</v>
      </c>
      <c r="B791" s="7" t="s">
        <v>13</v>
      </c>
      <c r="C791" s="7" t="s">
        <v>14</v>
      </c>
      <c r="D791" s="7" t="s">
        <v>21</v>
      </c>
      <c r="E791" s="7" t="s">
        <v>25</v>
      </c>
      <c r="F791" s="7" t="s">
        <v>30</v>
      </c>
      <c r="G791" s="9">
        <v>58.91</v>
      </c>
      <c r="H791" s="13">
        <v>7</v>
      </c>
      <c r="I791" s="17">
        <v>20.618500000000001</v>
      </c>
      <c r="J791" s="9">
        <v>432.98849999999999</v>
      </c>
      <c r="K791" s="21">
        <v>43482</v>
      </c>
      <c r="L791" s="3">
        <v>0.63541666666666663</v>
      </c>
      <c r="M791" s="7" t="s">
        <v>18</v>
      </c>
      <c r="N791" s="19">
        <v>412.37</v>
      </c>
      <c r="O791" s="15">
        <v>4.7619047620000003</v>
      </c>
      <c r="P791" s="9">
        <v>20.618500000000001</v>
      </c>
      <c r="Q791" s="11">
        <v>9.6999999999999993</v>
      </c>
    </row>
    <row r="792" spans="1:17" x14ac:dyDescent="0.25">
      <c r="A792" s="5" t="s">
        <v>820</v>
      </c>
      <c r="B792" s="7" t="s">
        <v>13</v>
      </c>
      <c r="C792" s="7" t="s">
        <v>14</v>
      </c>
      <c r="D792" s="7" t="s">
        <v>21</v>
      </c>
      <c r="E792" s="7" t="s">
        <v>25</v>
      </c>
      <c r="F792" s="7" t="s">
        <v>40</v>
      </c>
      <c r="G792" s="9">
        <v>46.41</v>
      </c>
      <c r="H792" s="13">
        <v>1</v>
      </c>
      <c r="I792" s="17">
        <v>2.3205</v>
      </c>
      <c r="J792" s="9">
        <v>48.730499999999999</v>
      </c>
      <c r="K792" s="21">
        <v>43527</v>
      </c>
      <c r="L792" s="3">
        <v>0.83750000000000002</v>
      </c>
      <c r="M792" s="7" t="s">
        <v>27</v>
      </c>
      <c r="N792" s="19">
        <v>46.41</v>
      </c>
      <c r="O792" s="15">
        <v>4.7619047620000003</v>
      </c>
      <c r="P792" s="9">
        <v>2.3205</v>
      </c>
      <c r="Q792" s="11">
        <v>4</v>
      </c>
    </row>
    <row r="793" spans="1:17" x14ac:dyDescent="0.25">
      <c r="A793" s="5" t="s">
        <v>821</v>
      </c>
      <c r="B793" s="7" t="s">
        <v>20</v>
      </c>
      <c r="C793" s="7" t="s">
        <v>1034</v>
      </c>
      <c r="D793" s="7" t="s">
        <v>15</v>
      </c>
      <c r="E793" s="7" t="s">
        <v>25</v>
      </c>
      <c r="F793" s="7" t="s">
        <v>17</v>
      </c>
      <c r="G793" s="9">
        <v>68.55</v>
      </c>
      <c r="H793" s="13">
        <v>4</v>
      </c>
      <c r="I793" s="17">
        <v>13.71</v>
      </c>
      <c r="J793" s="9">
        <v>287.91000000000003</v>
      </c>
      <c r="K793" s="21">
        <v>43511</v>
      </c>
      <c r="L793" s="3">
        <v>0.84791666666666665</v>
      </c>
      <c r="M793" s="7" t="s">
        <v>27</v>
      </c>
      <c r="N793" s="19">
        <v>274.2</v>
      </c>
      <c r="O793" s="15">
        <v>4.7619047620000003</v>
      </c>
      <c r="P793" s="9">
        <v>13.71</v>
      </c>
      <c r="Q793" s="11">
        <v>9.1999999999999993</v>
      </c>
    </row>
    <row r="794" spans="1:17" x14ac:dyDescent="0.25">
      <c r="A794" s="5" t="s">
        <v>822</v>
      </c>
      <c r="B794" s="7" t="s">
        <v>36</v>
      </c>
      <c r="C794" s="7" t="s">
        <v>37</v>
      </c>
      <c r="D794" s="7" t="s">
        <v>21</v>
      </c>
      <c r="E794" s="7" t="s">
        <v>16</v>
      </c>
      <c r="F794" s="7" t="s">
        <v>26</v>
      </c>
      <c r="G794" s="9">
        <v>97.37</v>
      </c>
      <c r="H794" s="13">
        <v>10</v>
      </c>
      <c r="I794" s="17">
        <v>48.685000000000002</v>
      </c>
      <c r="J794" s="9">
        <v>1022.385</v>
      </c>
      <c r="K794" s="21">
        <v>43480</v>
      </c>
      <c r="L794" s="3">
        <v>0.57499999999999996</v>
      </c>
      <c r="M794" s="7" t="s">
        <v>27</v>
      </c>
      <c r="N794" s="19">
        <v>973.7</v>
      </c>
      <c r="O794" s="15">
        <v>4.7619047620000003</v>
      </c>
      <c r="P794" s="9">
        <v>48.685000000000002</v>
      </c>
      <c r="Q794" s="11">
        <v>4.9000000000000004</v>
      </c>
    </row>
    <row r="795" spans="1:17" x14ac:dyDescent="0.25">
      <c r="A795" s="5" t="s">
        <v>823</v>
      </c>
      <c r="B795" s="7" t="s">
        <v>13</v>
      </c>
      <c r="C795" s="7" t="s">
        <v>14</v>
      </c>
      <c r="D795" s="7" t="s">
        <v>15</v>
      </c>
      <c r="E795" s="7" t="s">
        <v>25</v>
      </c>
      <c r="F795" s="7" t="s">
        <v>22</v>
      </c>
      <c r="G795" s="9">
        <v>92.6</v>
      </c>
      <c r="H795" s="13">
        <v>7</v>
      </c>
      <c r="I795" s="17">
        <v>32.409999999999997</v>
      </c>
      <c r="J795" s="9">
        <v>680.61</v>
      </c>
      <c r="K795" s="21">
        <v>43523</v>
      </c>
      <c r="L795" s="3">
        <v>0.53611111111111109</v>
      </c>
      <c r="M795" s="7" t="s">
        <v>27</v>
      </c>
      <c r="N795" s="19">
        <v>648.20000000000005</v>
      </c>
      <c r="O795" s="15">
        <v>4.7619047620000003</v>
      </c>
      <c r="P795" s="9">
        <v>32.409999999999997</v>
      </c>
      <c r="Q795" s="11">
        <v>9.3000000000000007</v>
      </c>
    </row>
    <row r="796" spans="1:17" x14ac:dyDescent="0.25">
      <c r="A796" s="5" t="s">
        <v>824</v>
      </c>
      <c r="B796" s="7" t="s">
        <v>13</v>
      </c>
      <c r="C796" s="7" t="s">
        <v>14</v>
      </c>
      <c r="D796" s="7" t="s">
        <v>21</v>
      </c>
      <c r="E796" s="7" t="s">
        <v>16</v>
      </c>
      <c r="F796" s="7" t="s">
        <v>22</v>
      </c>
      <c r="G796" s="9">
        <v>46.61</v>
      </c>
      <c r="H796" s="13">
        <v>2</v>
      </c>
      <c r="I796" s="17">
        <v>4.6609999999999996</v>
      </c>
      <c r="J796" s="9">
        <v>97.881</v>
      </c>
      <c r="K796" s="21">
        <v>43522</v>
      </c>
      <c r="L796" s="3">
        <v>0.51944444444444449</v>
      </c>
      <c r="M796" s="7" t="s">
        <v>27</v>
      </c>
      <c r="N796" s="19">
        <v>93.22</v>
      </c>
      <c r="O796" s="15">
        <v>4.7619047620000003</v>
      </c>
      <c r="P796" s="9">
        <v>4.6609999999999996</v>
      </c>
      <c r="Q796" s="11">
        <v>6.6</v>
      </c>
    </row>
    <row r="797" spans="1:17" x14ac:dyDescent="0.25">
      <c r="A797" s="5" t="s">
        <v>825</v>
      </c>
      <c r="B797" s="7" t="s">
        <v>36</v>
      </c>
      <c r="C797" s="7" t="s">
        <v>37</v>
      </c>
      <c r="D797" s="7" t="s">
        <v>21</v>
      </c>
      <c r="E797" s="7" t="s">
        <v>25</v>
      </c>
      <c r="F797" s="7" t="s">
        <v>40</v>
      </c>
      <c r="G797" s="9">
        <v>27.18</v>
      </c>
      <c r="H797" s="13">
        <v>2</v>
      </c>
      <c r="I797" s="17">
        <v>2.718</v>
      </c>
      <c r="J797" s="9">
        <v>57.078000000000003</v>
      </c>
      <c r="K797" s="21">
        <v>43539</v>
      </c>
      <c r="L797" s="3">
        <v>0.68472222222222223</v>
      </c>
      <c r="M797" s="7" t="s">
        <v>18</v>
      </c>
      <c r="N797" s="19">
        <v>54.36</v>
      </c>
      <c r="O797" s="15">
        <v>4.7619047620000003</v>
      </c>
      <c r="P797" s="9">
        <v>2.718</v>
      </c>
      <c r="Q797" s="11">
        <v>4.3</v>
      </c>
    </row>
    <row r="798" spans="1:17" x14ac:dyDescent="0.25">
      <c r="A798" s="5" t="s">
        <v>826</v>
      </c>
      <c r="B798" s="7" t="s">
        <v>20</v>
      </c>
      <c r="C798" s="7" t="s">
        <v>1034</v>
      </c>
      <c r="D798" s="7" t="s">
        <v>15</v>
      </c>
      <c r="E798" s="7" t="s">
        <v>16</v>
      </c>
      <c r="F798" s="7" t="s">
        <v>26</v>
      </c>
      <c r="G798" s="9">
        <v>60.87</v>
      </c>
      <c r="H798" s="13">
        <v>1</v>
      </c>
      <c r="I798" s="17">
        <v>3.0434999999999999</v>
      </c>
      <c r="J798" s="9">
        <v>63.913499999999999</v>
      </c>
      <c r="K798" s="21">
        <v>43489</v>
      </c>
      <c r="L798" s="3">
        <v>0.55833333333333335</v>
      </c>
      <c r="M798" s="7" t="s">
        <v>23</v>
      </c>
      <c r="N798" s="19">
        <v>60.87</v>
      </c>
      <c r="O798" s="15">
        <v>4.7619047620000003</v>
      </c>
      <c r="P798" s="9">
        <v>3.0434999999999999</v>
      </c>
      <c r="Q798" s="11">
        <v>5.5</v>
      </c>
    </row>
    <row r="799" spans="1:17" x14ac:dyDescent="0.25">
      <c r="A799" s="5" t="s">
        <v>827</v>
      </c>
      <c r="B799" s="7" t="s">
        <v>13</v>
      </c>
      <c r="C799" s="7" t="s">
        <v>14</v>
      </c>
      <c r="D799" s="7" t="s">
        <v>15</v>
      </c>
      <c r="E799" s="7" t="s">
        <v>16</v>
      </c>
      <c r="F799" s="7" t="s">
        <v>30</v>
      </c>
      <c r="G799" s="9">
        <v>24.49</v>
      </c>
      <c r="H799" s="13">
        <v>10</v>
      </c>
      <c r="I799" s="17">
        <v>12.244999999999999</v>
      </c>
      <c r="J799" s="9">
        <v>257.14499999999998</v>
      </c>
      <c r="K799" s="21">
        <v>43518</v>
      </c>
      <c r="L799" s="3">
        <v>0.63541666666666663</v>
      </c>
      <c r="M799" s="7" t="s">
        <v>23</v>
      </c>
      <c r="N799" s="19">
        <v>244.9</v>
      </c>
      <c r="O799" s="15">
        <v>4.7619047620000003</v>
      </c>
      <c r="P799" s="9">
        <v>12.244999999999999</v>
      </c>
      <c r="Q799" s="11">
        <v>8.1</v>
      </c>
    </row>
    <row r="800" spans="1:17" x14ac:dyDescent="0.25">
      <c r="A800" s="5" t="s">
        <v>828</v>
      </c>
      <c r="B800" s="7" t="s">
        <v>36</v>
      </c>
      <c r="C800" s="7" t="s">
        <v>37</v>
      </c>
      <c r="D800" s="7" t="s">
        <v>21</v>
      </c>
      <c r="E800" s="7" t="s">
        <v>25</v>
      </c>
      <c r="F800" s="7" t="s">
        <v>17</v>
      </c>
      <c r="G800" s="9">
        <v>92.78</v>
      </c>
      <c r="H800" s="13">
        <v>1</v>
      </c>
      <c r="I800" s="17">
        <v>4.6390000000000002</v>
      </c>
      <c r="J800" s="9">
        <v>97.418999999999997</v>
      </c>
      <c r="K800" s="21">
        <v>43539</v>
      </c>
      <c r="L800" s="3">
        <v>0.4513888888888889</v>
      </c>
      <c r="M800" s="7" t="s">
        <v>27</v>
      </c>
      <c r="N800" s="19">
        <v>92.78</v>
      </c>
      <c r="O800" s="15">
        <v>4.7619047620000003</v>
      </c>
      <c r="P800" s="9">
        <v>4.6390000000000002</v>
      </c>
      <c r="Q800" s="11">
        <v>9.8000000000000007</v>
      </c>
    </row>
    <row r="801" spans="1:17" x14ac:dyDescent="0.25">
      <c r="A801" s="5" t="s">
        <v>829</v>
      </c>
      <c r="B801" s="7" t="s">
        <v>20</v>
      </c>
      <c r="C801" s="7" t="s">
        <v>1034</v>
      </c>
      <c r="D801" s="7" t="s">
        <v>15</v>
      </c>
      <c r="E801" s="7" t="s">
        <v>25</v>
      </c>
      <c r="F801" s="7" t="s">
        <v>26</v>
      </c>
      <c r="G801" s="9">
        <v>86.69</v>
      </c>
      <c r="H801" s="13">
        <v>5</v>
      </c>
      <c r="I801" s="17">
        <v>21.672499999999999</v>
      </c>
      <c r="J801" s="9">
        <v>455.1225</v>
      </c>
      <c r="K801" s="21">
        <v>43507</v>
      </c>
      <c r="L801" s="3">
        <v>0.77638888888888891</v>
      </c>
      <c r="M801" s="7" t="s">
        <v>18</v>
      </c>
      <c r="N801" s="19">
        <v>433.45</v>
      </c>
      <c r="O801" s="15">
        <v>4.7619047620000003</v>
      </c>
      <c r="P801" s="9">
        <v>21.672499999999999</v>
      </c>
      <c r="Q801" s="11">
        <v>9.4</v>
      </c>
    </row>
    <row r="802" spans="1:17" x14ac:dyDescent="0.25">
      <c r="A802" s="5" t="s">
        <v>830</v>
      </c>
      <c r="B802" s="7" t="s">
        <v>36</v>
      </c>
      <c r="C802" s="7" t="s">
        <v>37</v>
      </c>
      <c r="D802" s="7" t="s">
        <v>21</v>
      </c>
      <c r="E802" s="7" t="s">
        <v>25</v>
      </c>
      <c r="F802" s="7" t="s">
        <v>30</v>
      </c>
      <c r="G802" s="9">
        <v>23.01</v>
      </c>
      <c r="H802" s="13">
        <v>6</v>
      </c>
      <c r="I802" s="17">
        <v>6.9029999999999996</v>
      </c>
      <c r="J802" s="9">
        <v>144.96299999999999</v>
      </c>
      <c r="K802" s="21">
        <v>43477</v>
      </c>
      <c r="L802" s="3">
        <v>0.69791666666666663</v>
      </c>
      <c r="M802" s="7" t="s">
        <v>18</v>
      </c>
      <c r="N802" s="19">
        <v>138.06</v>
      </c>
      <c r="O802" s="15">
        <v>4.7619047620000003</v>
      </c>
      <c r="P802" s="9">
        <v>6.9029999999999996</v>
      </c>
      <c r="Q802" s="11">
        <v>7.9</v>
      </c>
    </row>
    <row r="803" spans="1:17" x14ac:dyDescent="0.25">
      <c r="A803" s="5" t="s">
        <v>831</v>
      </c>
      <c r="B803" s="7" t="s">
        <v>20</v>
      </c>
      <c r="C803" s="7" t="s">
        <v>1034</v>
      </c>
      <c r="D803" s="7" t="s">
        <v>15</v>
      </c>
      <c r="E803" s="7" t="s">
        <v>16</v>
      </c>
      <c r="F803" s="7" t="s">
        <v>22</v>
      </c>
      <c r="G803" s="9">
        <v>30.2</v>
      </c>
      <c r="H803" s="13">
        <v>8</v>
      </c>
      <c r="I803" s="17">
        <v>12.08</v>
      </c>
      <c r="J803" s="9">
        <v>253.68</v>
      </c>
      <c r="K803" s="21">
        <v>43527</v>
      </c>
      <c r="L803" s="3">
        <v>0.8125</v>
      </c>
      <c r="M803" s="7" t="s">
        <v>18</v>
      </c>
      <c r="N803" s="19">
        <v>241.6</v>
      </c>
      <c r="O803" s="15">
        <v>4.7619047620000003</v>
      </c>
      <c r="P803" s="9">
        <v>12.08</v>
      </c>
      <c r="Q803" s="11">
        <v>5.0999999999999996</v>
      </c>
    </row>
    <row r="804" spans="1:17" x14ac:dyDescent="0.25">
      <c r="A804" s="5" t="s">
        <v>832</v>
      </c>
      <c r="B804" s="7" t="s">
        <v>20</v>
      </c>
      <c r="C804" s="7" t="s">
        <v>1034</v>
      </c>
      <c r="D804" s="7" t="s">
        <v>15</v>
      </c>
      <c r="E804" s="7" t="s">
        <v>25</v>
      </c>
      <c r="F804" s="7" t="s">
        <v>40</v>
      </c>
      <c r="G804" s="9">
        <v>67.39</v>
      </c>
      <c r="H804" s="13">
        <v>7</v>
      </c>
      <c r="I804" s="17">
        <v>23.586500000000001</v>
      </c>
      <c r="J804" s="9">
        <v>495.31650000000002</v>
      </c>
      <c r="K804" s="21">
        <v>43547</v>
      </c>
      <c r="L804" s="3">
        <v>0.55763888888888891</v>
      </c>
      <c r="M804" s="7" t="s">
        <v>18</v>
      </c>
      <c r="N804" s="19">
        <v>471.73</v>
      </c>
      <c r="O804" s="15">
        <v>4.7619047620000003</v>
      </c>
      <c r="P804" s="9">
        <v>23.586500000000001</v>
      </c>
      <c r="Q804" s="11">
        <v>6.9</v>
      </c>
    </row>
    <row r="805" spans="1:17" x14ac:dyDescent="0.25">
      <c r="A805" s="5" t="s">
        <v>833</v>
      </c>
      <c r="B805" s="7" t="s">
        <v>13</v>
      </c>
      <c r="C805" s="7" t="s">
        <v>14</v>
      </c>
      <c r="D805" s="7" t="s">
        <v>15</v>
      </c>
      <c r="E805" s="7" t="s">
        <v>16</v>
      </c>
      <c r="F805" s="7" t="s">
        <v>40</v>
      </c>
      <c r="G805" s="9">
        <v>48.96</v>
      </c>
      <c r="H805" s="13">
        <v>9</v>
      </c>
      <c r="I805" s="17">
        <v>22.032</v>
      </c>
      <c r="J805" s="9">
        <v>462.67200000000003</v>
      </c>
      <c r="K805" s="21">
        <v>43528</v>
      </c>
      <c r="L805" s="3">
        <v>0.47708333333333336</v>
      </c>
      <c r="M805" s="7" t="s">
        <v>23</v>
      </c>
      <c r="N805" s="19">
        <v>440.64</v>
      </c>
      <c r="O805" s="15">
        <v>4.7619047620000003</v>
      </c>
      <c r="P805" s="9">
        <v>22.032</v>
      </c>
      <c r="Q805" s="11">
        <v>8</v>
      </c>
    </row>
    <row r="806" spans="1:17" x14ac:dyDescent="0.25">
      <c r="A806" s="5" t="s">
        <v>834</v>
      </c>
      <c r="B806" s="7" t="s">
        <v>36</v>
      </c>
      <c r="C806" s="7" t="s">
        <v>37</v>
      </c>
      <c r="D806" s="7" t="s">
        <v>15</v>
      </c>
      <c r="E806" s="7" t="s">
        <v>16</v>
      </c>
      <c r="F806" s="7" t="s">
        <v>22</v>
      </c>
      <c r="G806" s="9">
        <v>75.59</v>
      </c>
      <c r="H806" s="13">
        <v>9</v>
      </c>
      <c r="I806" s="17">
        <v>34.015500000000003</v>
      </c>
      <c r="J806" s="9">
        <v>714.32550000000003</v>
      </c>
      <c r="K806" s="21">
        <v>43519</v>
      </c>
      <c r="L806" s="3">
        <v>0.46666666666666667</v>
      </c>
      <c r="M806" s="7" t="s">
        <v>23</v>
      </c>
      <c r="N806" s="19">
        <v>680.31</v>
      </c>
      <c r="O806" s="15">
        <v>4.7619047620000003</v>
      </c>
      <c r="P806" s="9">
        <v>34.015500000000003</v>
      </c>
      <c r="Q806" s="11">
        <v>8</v>
      </c>
    </row>
    <row r="807" spans="1:17" x14ac:dyDescent="0.25">
      <c r="A807" s="5" t="s">
        <v>835</v>
      </c>
      <c r="B807" s="7" t="s">
        <v>13</v>
      </c>
      <c r="C807" s="7" t="s">
        <v>14</v>
      </c>
      <c r="D807" s="7" t="s">
        <v>21</v>
      </c>
      <c r="E807" s="7" t="s">
        <v>16</v>
      </c>
      <c r="F807" s="7" t="s">
        <v>26</v>
      </c>
      <c r="G807" s="9">
        <v>77.47</v>
      </c>
      <c r="H807" s="13">
        <v>4</v>
      </c>
      <c r="I807" s="17">
        <v>15.494</v>
      </c>
      <c r="J807" s="9">
        <v>325.37400000000002</v>
      </c>
      <c r="K807" s="21">
        <v>43541</v>
      </c>
      <c r="L807" s="3">
        <v>0.69166666666666665</v>
      </c>
      <c r="M807" s="7" t="s">
        <v>23</v>
      </c>
      <c r="N807" s="19">
        <v>309.88</v>
      </c>
      <c r="O807" s="15">
        <v>4.7619047620000003</v>
      </c>
      <c r="P807" s="9">
        <v>15.494</v>
      </c>
      <c r="Q807" s="11">
        <v>4.2</v>
      </c>
    </row>
    <row r="808" spans="1:17" x14ac:dyDescent="0.25">
      <c r="A808" s="5" t="s">
        <v>836</v>
      </c>
      <c r="B808" s="7" t="s">
        <v>13</v>
      </c>
      <c r="C808" s="7" t="s">
        <v>14</v>
      </c>
      <c r="D808" s="7" t="s">
        <v>21</v>
      </c>
      <c r="E808" s="7" t="s">
        <v>16</v>
      </c>
      <c r="F808" s="7" t="s">
        <v>30</v>
      </c>
      <c r="G808" s="9">
        <v>93.18</v>
      </c>
      <c r="H808" s="13">
        <v>2</v>
      </c>
      <c r="I808" s="17">
        <v>9.3179999999999996</v>
      </c>
      <c r="J808" s="9">
        <v>195.678</v>
      </c>
      <c r="K808" s="21">
        <v>43481</v>
      </c>
      <c r="L808" s="3">
        <v>0.77847222222222223</v>
      </c>
      <c r="M808" s="7" t="s">
        <v>27</v>
      </c>
      <c r="N808" s="19">
        <v>186.36</v>
      </c>
      <c r="O808" s="15">
        <v>4.7619047620000003</v>
      </c>
      <c r="P808" s="9">
        <v>9.3179999999999996</v>
      </c>
      <c r="Q808" s="11">
        <v>8.5</v>
      </c>
    </row>
    <row r="809" spans="1:17" x14ac:dyDescent="0.25">
      <c r="A809" s="5" t="s">
        <v>837</v>
      </c>
      <c r="B809" s="7" t="s">
        <v>13</v>
      </c>
      <c r="C809" s="7" t="s">
        <v>14</v>
      </c>
      <c r="D809" s="7" t="s">
        <v>21</v>
      </c>
      <c r="E809" s="7" t="s">
        <v>16</v>
      </c>
      <c r="F809" s="7" t="s">
        <v>22</v>
      </c>
      <c r="G809" s="9">
        <v>50.23</v>
      </c>
      <c r="H809" s="13">
        <v>4</v>
      </c>
      <c r="I809" s="17">
        <v>10.045999999999999</v>
      </c>
      <c r="J809" s="9">
        <v>210.96600000000001</v>
      </c>
      <c r="K809" s="21">
        <v>43473</v>
      </c>
      <c r="L809" s="3">
        <v>0.71666666666666667</v>
      </c>
      <c r="M809" s="7" t="s">
        <v>23</v>
      </c>
      <c r="N809" s="19">
        <v>200.92</v>
      </c>
      <c r="O809" s="15">
        <v>4.7619047620000003</v>
      </c>
      <c r="P809" s="9">
        <v>10.045999999999999</v>
      </c>
      <c r="Q809" s="11">
        <v>9</v>
      </c>
    </row>
    <row r="810" spans="1:17" x14ac:dyDescent="0.25">
      <c r="A810" s="5" t="s">
        <v>838</v>
      </c>
      <c r="B810" s="7" t="s">
        <v>36</v>
      </c>
      <c r="C810" s="7" t="s">
        <v>37</v>
      </c>
      <c r="D810" s="7" t="s">
        <v>21</v>
      </c>
      <c r="E810" s="7" t="s">
        <v>16</v>
      </c>
      <c r="F810" s="7" t="s">
        <v>17</v>
      </c>
      <c r="G810" s="9">
        <v>17.75</v>
      </c>
      <c r="H810" s="13">
        <v>1</v>
      </c>
      <c r="I810" s="17">
        <v>0.88749999999999996</v>
      </c>
      <c r="J810" s="9">
        <v>18.637499999999999</v>
      </c>
      <c r="K810" s="21">
        <v>43479</v>
      </c>
      <c r="L810" s="3">
        <v>0.44305555555555554</v>
      </c>
      <c r="M810" s="7" t="s">
        <v>23</v>
      </c>
      <c r="N810" s="19">
        <v>17.75</v>
      </c>
      <c r="O810" s="15">
        <v>4.7619047620000003</v>
      </c>
      <c r="P810" s="9">
        <v>0.88749999999999996</v>
      </c>
      <c r="Q810" s="11">
        <v>8.6</v>
      </c>
    </row>
    <row r="811" spans="1:17" x14ac:dyDescent="0.25">
      <c r="A811" s="5" t="s">
        <v>839</v>
      </c>
      <c r="B811" s="7" t="s">
        <v>20</v>
      </c>
      <c r="C811" s="7" t="s">
        <v>1034</v>
      </c>
      <c r="D811" s="7" t="s">
        <v>21</v>
      </c>
      <c r="E811" s="7" t="s">
        <v>16</v>
      </c>
      <c r="F811" s="7" t="s">
        <v>40</v>
      </c>
      <c r="G811" s="9">
        <v>62.18</v>
      </c>
      <c r="H811" s="13">
        <v>10</v>
      </c>
      <c r="I811" s="17">
        <v>31.09</v>
      </c>
      <c r="J811" s="9">
        <v>652.89</v>
      </c>
      <c r="K811" s="21">
        <v>43496</v>
      </c>
      <c r="L811" s="3">
        <v>0.43958333333333333</v>
      </c>
      <c r="M811" s="7" t="s">
        <v>18</v>
      </c>
      <c r="N811" s="19">
        <v>621.79999999999995</v>
      </c>
      <c r="O811" s="15">
        <v>4.7619047620000003</v>
      </c>
      <c r="P811" s="9">
        <v>31.09</v>
      </c>
      <c r="Q811" s="11">
        <v>6</v>
      </c>
    </row>
    <row r="812" spans="1:17" x14ac:dyDescent="0.25">
      <c r="A812" s="5" t="s">
        <v>840</v>
      </c>
      <c r="B812" s="7" t="s">
        <v>36</v>
      </c>
      <c r="C812" s="7" t="s">
        <v>37</v>
      </c>
      <c r="D812" s="7" t="s">
        <v>21</v>
      </c>
      <c r="E812" s="7" t="s">
        <v>25</v>
      </c>
      <c r="F812" s="7" t="s">
        <v>17</v>
      </c>
      <c r="G812" s="9">
        <v>10.75</v>
      </c>
      <c r="H812" s="13">
        <v>8</v>
      </c>
      <c r="I812" s="17">
        <v>4.3</v>
      </c>
      <c r="J812" s="9">
        <v>90.3</v>
      </c>
      <c r="K812" s="21">
        <v>43539</v>
      </c>
      <c r="L812" s="3">
        <v>0.60972222222222228</v>
      </c>
      <c r="M812" s="7" t="s">
        <v>18</v>
      </c>
      <c r="N812" s="19">
        <v>86</v>
      </c>
      <c r="O812" s="15">
        <v>4.7619047620000003</v>
      </c>
      <c r="P812" s="9">
        <v>4.3</v>
      </c>
      <c r="Q812" s="11">
        <v>6.2</v>
      </c>
    </row>
    <row r="813" spans="1:17" x14ac:dyDescent="0.25">
      <c r="A813" s="5" t="s">
        <v>841</v>
      </c>
      <c r="B813" s="7" t="s">
        <v>13</v>
      </c>
      <c r="C813" s="7" t="s">
        <v>14</v>
      </c>
      <c r="D813" s="7" t="s">
        <v>21</v>
      </c>
      <c r="E813" s="7" t="s">
        <v>16</v>
      </c>
      <c r="F813" s="7" t="s">
        <v>22</v>
      </c>
      <c r="G813" s="9">
        <v>40.26</v>
      </c>
      <c r="H813" s="13">
        <v>10</v>
      </c>
      <c r="I813" s="17">
        <v>20.13</v>
      </c>
      <c r="J813" s="9">
        <v>422.73</v>
      </c>
      <c r="K813" s="21">
        <v>43520</v>
      </c>
      <c r="L813" s="3">
        <v>0.75416666666666665</v>
      </c>
      <c r="M813" s="7" t="s">
        <v>27</v>
      </c>
      <c r="N813" s="19">
        <v>402.6</v>
      </c>
      <c r="O813" s="15">
        <v>4.7619047620000003</v>
      </c>
      <c r="P813" s="9">
        <v>20.13</v>
      </c>
      <c r="Q813" s="11">
        <v>5</v>
      </c>
    </row>
    <row r="814" spans="1:17" x14ac:dyDescent="0.25">
      <c r="A814" s="5" t="s">
        <v>842</v>
      </c>
      <c r="B814" s="7" t="s">
        <v>20</v>
      </c>
      <c r="C814" s="7" t="s">
        <v>1034</v>
      </c>
      <c r="D814" s="7" t="s">
        <v>15</v>
      </c>
      <c r="E814" s="7" t="s">
        <v>16</v>
      </c>
      <c r="F814" s="7" t="s">
        <v>30</v>
      </c>
      <c r="G814" s="9">
        <v>64.97</v>
      </c>
      <c r="H814" s="13">
        <v>5</v>
      </c>
      <c r="I814" s="17">
        <v>16.2425</v>
      </c>
      <c r="J814" s="9">
        <v>341.09249999999997</v>
      </c>
      <c r="K814" s="21">
        <v>43504</v>
      </c>
      <c r="L814" s="3">
        <v>0.53611111111111109</v>
      </c>
      <c r="M814" s="7" t="s">
        <v>27</v>
      </c>
      <c r="N814" s="19">
        <v>324.85000000000002</v>
      </c>
      <c r="O814" s="15">
        <v>4.7619047620000003</v>
      </c>
      <c r="P814" s="9">
        <v>16.2425</v>
      </c>
      <c r="Q814" s="11">
        <v>6.5</v>
      </c>
    </row>
    <row r="815" spans="1:17" x14ac:dyDescent="0.25">
      <c r="A815" s="5" t="s">
        <v>843</v>
      </c>
      <c r="B815" s="7" t="s">
        <v>13</v>
      </c>
      <c r="C815" s="7" t="s">
        <v>14</v>
      </c>
      <c r="D815" s="7" t="s">
        <v>21</v>
      </c>
      <c r="E815" s="7" t="s">
        <v>25</v>
      </c>
      <c r="F815" s="7" t="s">
        <v>22</v>
      </c>
      <c r="G815" s="9">
        <v>95.15</v>
      </c>
      <c r="H815" s="13">
        <v>1</v>
      </c>
      <c r="I815" s="17">
        <v>4.7575000000000003</v>
      </c>
      <c r="J815" s="9">
        <v>99.907499999999999</v>
      </c>
      <c r="K815" s="21">
        <v>43546</v>
      </c>
      <c r="L815" s="3">
        <v>0.58333333333333337</v>
      </c>
      <c r="M815" s="7" t="s">
        <v>23</v>
      </c>
      <c r="N815" s="19">
        <v>95.15</v>
      </c>
      <c r="O815" s="15">
        <v>4.7619047620000003</v>
      </c>
      <c r="P815" s="9">
        <v>4.7575000000000003</v>
      </c>
      <c r="Q815" s="11">
        <v>6</v>
      </c>
    </row>
    <row r="816" spans="1:17" x14ac:dyDescent="0.25">
      <c r="A816" s="5" t="s">
        <v>844</v>
      </c>
      <c r="B816" s="7" t="s">
        <v>13</v>
      </c>
      <c r="C816" s="7" t="s">
        <v>14</v>
      </c>
      <c r="D816" s="7" t="s">
        <v>15</v>
      </c>
      <c r="E816" s="7" t="s">
        <v>16</v>
      </c>
      <c r="F816" s="7" t="s">
        <v>22</v>
      </c>
      <c r="G816" s="9">
        <v>48.62</v>
      </c>
      <c r="H816" s="13">
        <v>8</v>
      </c>
      <c r="I816" s="17">
        <v>19.448</v>
      </c>
      <c r="J816" s="9">
        <v>408.40800000000002</v>
      </c>
      <c r="K816" s="21">
        <v>43489</v>
      </c>
      <c r="L816" s="3">
        <v>0.45624999999999999</v>
      </c>
      <c r="M816" s="7" t="s">
        <v>23</v>
      </c>
      <c r="N816" s="19">
        <v>388.96</v>
      </c>
      <c r="O816" s="15">
        <v>4.7619047620000003</v>
      </c>
      <c r="P816" s="9">
        <v>19.448</v>
      </c>
      <c r="Q816" s="11">
        <v>5</v>
      </c>
    </row>
    <row r="817" spans="1:17" x14ac:dyDescent="0.25">
      <c r="A817" s="5" t="s">
        <v>845</v>
      </c>
      <c r="B817" s="7" t="s">
        <v>36</v>
      </c>
      <c r="C817" s="7" t="s">
        <v>37</v>
      </c>
      <c r="D817" s="7" t="s">
        <v>21</v>
      </c>
      <c r="E817" s="7" t="s">
        <v>16</v>
      </c>
      <c r="F817" s="7" t="s">
        <v>38</v>
      </c>
      <c r="G817" s="9">
        <v>53.21</v>
      </c>
      <c r="H817" s="13">
        <v>8</v>
      </c>
      <c r="I817" s="17">
        <v>21.283999999999999</v>
      </c>
      <c r="J817" s="9">
        <v>446.964</v>
      </c>
      <c r="K817" s="21">
        <v>43538</v>
      </c>
      <c r="L817" s="3">
        <v>0.69791666666666663</v>
      </c>
      <c r="M817" s="7" t="s">
        <v>18</v>
      </c>
      <c r="N817" s="19">
        <v>425.68</v>
      </c>
      <c r="O817" s="15">
        <v>4.7619047620000003</v>
      </c>
      <c r="P817" s="9">
        <v>21.283999999999999</v>
      </c>
      <c r="Q817" s="11">
        <v>5</v>
      </c>
    </row>
    <row r="818" spans="1:17" x14ac:dyDescent="0.25">
      <c r="A818" s="5" t="s">
        <v>846</v>
      </c>
      <c r="B818" s="7" t="s">
        <v>20</v>
      </c>
      <c r="C818" s="7" t="s">
        <v>1034</v>
      </c>
      <c r="D818" s="7" t="s">
        <v>21</v>
      </c>
      <c r="E818" s="7" t="s">
        <v>16</v>
      </c>
      <c r="F818" s="7" t="s">
        <v>40</v>
      </c>
      <c r="G818" s="9">
        <v>45.44</v>
      </c>
      <c r="H818" s="13">
        <v>7</v>
      </c>
      <c r="I818" s="17">
        <v>15.904</v>
      </c>
      <c r="J818" s="9">
        <v>333.98399999999998</v>
      </c>
      <c r="K818" s="21">
        <v>43488</v>
      </c>
      <c r="L818" s="3">
        <v>0.46875</v>
      </c>
      <c r="M818" s="7" t="s">
        <v>23</v>
      </c>
      <c r="N818" s="19">
        <v>318.08</v>
      </c>
      <c r="O818" s="15">
        <v>4.7619047620000003</v>
      </c>
      <c r="P818" s="9">
        <v>15.904</v>
      </c>
      <c r="Q818" s="11">
        <v>9.1999999999999993</v>
      </c>
    </row>
    <row r="819" spans="1:17" x14ac:dyDescent="0.25">
      <c r="A819" s="5" t="s">
        <v>847</v>
      </c>
      <c r="B819" s="7" t="s">
        <v>13</v>
      </c>
      <c r="C819" s="7" t="s">
        <v>14</v>
      </c>
      <c r="D819" s="7" t="s">
        <v>21</v>
      </c>
      <c r="E819" s="7" t="s">
        <v>25</v>
      </c>
      <c r="F819" s="7" t="s">
        <v>38</v>
      </c>
      <c r="G819" s="9">
        <v>33.880000000000003</v>
      </c>
      <c r="H819" s="13">
        <v>8</v>
      </c>
      <c r="I819" s="17">
        <v>13.552</v>
      </c>
      <c r="J819" s="9">
        <v>284.59199999999998</v>
      </c>
      <c r="K819" s="21">
        <v>43484</v>
      </c>
      <c r="L819" s="3">
        <v>0.85347222222222219</v>
      </c>
      <c r="M819" s="7" t="s">
        <v>18</v>
      </c>
      <c r="N819" s="19">
        <v>271.04000000000002</v>
      </c>
      <c r="O819" s="15">
        <v>4.7619047620000003</v>
      </c>
      <c r="P819" s="9">
        <v>13.552</v>
      </c>
      <c r="Q819" s="11">
        <v>9.6</v>
      </c>
    </row>
    <row r="820" spans="1:17" x14ac:dyDescent="0.25">
      <c r="A820" s="5" t="s">
        <v>848</v>
      </c>
      <c r="B820" s="7" t="s">
        <v>36</v>
      </c>
      <c r="C820" s="7" t="s">
        <v>37</v>
      </c>
      <c r="D820" s="7" t="s">
        <v>15</v>
      </c>
      <c r="E820" s="7" t="s">
        <v>25</v>
      </c>
      <c r="F820" s="7" t="s">
        <v>17</v>
      </c>
      <c r="G820" s="9">
        <v>96.16</v>
      </c>
      <c r="H820" s="13">
        <v>4</v>
      </c>
      <c r="I820" s="17">
        <v>19.231999999999999</v>
      </c>
      <c r="J820" s="9">
        <v>403.87200000000001</v>
      </c>
      <c r="K820" s="21">
        <v>43492</v>
      </c>
      <c r="L820" s="3">
        <v>0.8354166666666667</v>
      </c>
      <c r="M820" s="7" t="s">
        <v>27</v>
      </c>
      <c r="N820" s="19">
        <v>384.64</v>
      </c>
      <c r="O820" s="15">
        <v>4.7619047620000003</v>
      </c>
      <c r="P820" s="9">
        <v>19.231999999999999</v>
      </c>
      <c r="Q820" s="11">
        <v>8.4</v>
      </c>
    </row>
    <row r="821" spans="1:17" x14ac:dyDescent="0.25">
      <c r="A821" s="5" t="s">
        <v>849</v>
      </c>
      <c r="B821" s="7" t="s">
        <v>36</v>
      </c>
      <c r="C821" s="7" t="s">
        <v>37</v>
      </c>
      <c r="D821" s="7" t="s">
        <v>15</v>
      </c>
      <c r="E821" s="7" t="s">
        <v>25</v>
      </c>
      <c r="F821" s="7" t="s">
        <v>38</v>
      </c>
      <c r="G821" s="9">
        <v>47.16</v>
      </c>
      <c r="H821" s="13">
        <v>5</v>
      </c>
      <c r="I821" s="17">
        <v>11.79</v>
      </c>
      <c r="J821" s="9">
        <v>247.59</v>
      </c>
      <c r="K821" s="21">
        <v>43499</v>
      </c>
      <c r="L821" s="3">
        <v>0.60763888888888884</v>
      </c>
      <c r="M821" s="7" t="s">
        <v>27</v>
      </c>
      <c r="N821" s="19">
        <v>235.8</v>
      </c>
      <c r="O821" s="15">
        <v>4.7619047620000003</v>
      </c>
      <c r="P821" s="9">
        <v>11.79</v>
      </c>
      <c r="Q821" s="11">
        <v>6</v>
      </c>
    </row>
    <row r="822" spans="1:17" x14ac:dyDescent="0.25">
      <c r="A822" s="5" t="s">
        <v>850</v>
      </c>
      <c r="B822" s="7" t="s">
        <v>36</v>
      </c>
      <c r="C822" s="7" t="s">
        <v>37</v>
      </c>
      <c r="D822" s="7" t="s">
        <v>21</v>
      </c>
      <c r="E822" s="7" t="s">
        <v>25</v>
      </c>
      <c r="F822" s="7" t="s">
        <v>22</v>
      </c>
      <c r="G822" s="9">
        <v>52.89</v>
      </c>
      <c r="H822" s="13">
        <v>4</v>
      </c>
      <c r="I822" s="17">
        <v>10.577999999999999</v>
      </c>
      <c r="J822" s="9">
        <v>222.13800000000001</v>
      </c>
      <c r="K822" s="21">
        <v>43549</v>
      </c>
      <c r="L822" s="3">
        <v>0.68888888888888888</v>
      </c>
      <c r="M822" s="7" t="s">
        <v>18</v>
      </c>
      <c r="N822" s="19">
        <v>211.56</v>
      </c>
      <c r="O822" s="15">
        <v>4.7619047620000003</v>
      </c>
      <c r="P822" s="9">
        <v>10.577999999999999</v>
      </c>
      <c r="Q822" s="11">
        <v>6.7</v>
      </c>
    </row>
    <row r="823" spans="1:17" x14ac:dyDescent="0.25">
      <c r="A823" s="5" t="s">
        <v>851</v>
      </c>
      <c r="B823" s="7" t="s">
        <v>13</v>
      </c>
      <c r="C823" s="7" t="s">
        <v>14</v>
      </c>
      <c r="D823" s="7" t="s">
        <v>15</v>
      </c>
      <c r="E823" s="7" t="s">
        <v>16</v>
      </c>
      <c r="F823" s="7" t="s">
        <v>26</v>
      </c>
      <c r="G823" s="9">
        <v>47.68</v>
      </c>
      <c r="H823" s="13">
        <v>2</v>
      </c>
      <c r="I823" s="17">
        <v>4.7679999999999998</v>
      </c>
      <c r="J823" s="9">
        <v>100.128</v>
      </c>
      <c r="K823" s="21">
        <v>43520</v>
      </c>
      <c r="L823" s="3">
        <v>0.4236111111111111</v>
      </c>
      <c r="M823" s="7" t="s">
        <v>27</v>
      </c>
      <c r="N823" s="19">
        <v>95.36</v>
      </c>
      <c r="O823" s="15">
        <v>4.7619047620000003</v>
      </c>
      <c r="P823" s="9">
        <v>4.7679999999999998</v>
      </c>
      <c r="Q823" s="11">
        <v>4.0999999999999996</v>
      </c>
    </row>
    <row r="824" spans="1:17" x14ac:dyDescent="0.25">
      <c r="A824" s="5" t="s">
        <v>852</v>
      </c>
      <c r="B824" s="7" t="s">
        <v>20</v>
      </c>
      <c r="C824" s="7" t="s">
        <v>1034</v>
      </c>
      <c r="D824" s="7" t="s">
        <v>15</v>
      </c>
      <c r="E824" s="7" t="s">
        <v>25</v>
      </c>
      <c r="F824" s="7" t="s">
        <v>30</v>
      </c>
      <c r="G824" s="9">
        <v>10.17</v>
      </c>
      <c r="H824" s="13">
        <v>1</v>
      </c>
      <c r="I824" s="17">
        <v>0.50849999999999995</v>
      </c>
      <c r="J824" s="9">
        <v>10.6785</v>
      </c>
      <c r="K824" s="21">
        <v>43503</v>
      </c>
      <c r="L824" s="3">
        <v>0.59375</v>
      </c>
      <c r="M824" s="7" t="s">
        <v>23</v>
      </c>
      <c r="N824" s="19">
        <v>10.17</v>
      </c>
      <c r="O824" s="15">
        <v>4.7619047620000003</v>
      </c>
      <c r="P824" s="9">
        <v>0.50849999999999995</v>
      </c>
      <c r="Q824" s="11">
        <v>5.9</v>
      </c>
    </row>
    <row r="825" spans="1:17" x14ac:dyDescent="0.25">
      <c r="A825" s="5" t="s">
        <v>853</v>
      </c>
      <c r="B825" s="7" t="s">
        <v>13</v>
      </c>
      <c r="C825" s="7" t="s">
        <v>14</v>
      </c>
      <c r="D825" s="7" t="s">
        <v>21</v>
      </c>
      <c r="E825" s="7" t="s">
        <v>16</v>
      </c>
      <c r="F825" s="7" t="s">
        <v>17</v>
      </c>
      <c r="G825" s="9">
        <v>68.709999999999994</v>
      </c>
      <c r="H825" s="13">
        <v>3</v>
      </c>
      <c r="I825" s="17">
        <v>10.3065</v>
      </c>
      <c r="J825" s="9">
        <v>216.4365</v>
      </c>
      <c r="K825" s="21">
        <v>43528</v>
      </c>
      <c r="L825" s="3">
        <v>0.4201388888888889</v>
      </c>
      <c r="M825" s="7" t="s">
        <v>23</v>
      </c>
      <c r="N825" s="19">
        <v>206.13</v>
      </c>
      <c r="O825" s="15">
        <v>4.7619047620000003</v>
      </c>
      <c r="P825" s="9">
        <v>10.3065</v>
      </c>
      <c r="Q825" s="11">
        <v>8.6999999999999993</v>
      </c>
    </row>
    <row r="826" spans="1:17" x14ac:dyDescent="0.25">
      <c r="A826" s="5" t="s">
        <v>854</v>
      </c>
      <c r="B826" s="7" t="s">
        <v>36</v>
      </c>
      <c r="C826" s="7" t="s">
        <v>37</v>
      </c>
      <c r="D826" s="7" t="s">
        <v>15</v>
      </c>
      <c r="E826" s="7" t="s">
        <v>16</v>
      </c>
      <c r="F826" s="7" t="s">
        <v>30</v>
      </c>
      <c r="G826" s="9">
        <v>60.08</v>
      </c>
      <c r="H826" s="13">
        <v>7</v>
      </c>
      <c r="I826" s="17">
        <v>21.027999999999999</v>
      </c>
      <c r="J826" s="9">
        <v>441.58800000000002</v>
      </c>
      <c r="K826" s="21">
        <v>43510</v>
      </c>
      <c r="L826" s="3">
        <v>0.48333333333333334</v>
      </c>
      <c r="M826" s="7" t="s">
        <v>27</v>
      </c>
      <c r="N826" s="19">
        <v>420.56</v>
      </c>
      <c r="O826" s="15">
        <v>4.7619047620000003</v>
      </c>
      <c r="P826" s="9">
        <v>21.027999999999999</v>
      </c>
      <c r="Q826" s="11">
        <v>4.5</v>
      </c>
    </row>
    <row r="827" spans="1:17" x14ac:dyDescent="0.25">
      <c r="A827" s="5" t="s">
        <v>855</v>
      </c>
      <c r="B827" s="7" t="s">
        <v>13</v>
      </c>
      <c r="C827" s="7" t="s">
        <v>14</v>
      </c>
      <c r="D827" s="7" t="s">
        <v>15</v>
      </c>
      <c r="E827" s="7" t="s">
        <v>16</v>
      </c>
      <c r="F827" s="7" t="s">
        <v>30</v>
      </c>
      <c r="G827" s="9">
        <v>22.01</v>
      </c>
      <c r="H827" s="13">
        <v>4</v>
      </c>
      <c r="I827" s="17">
        <v>4.4020000000000001</v>
      </c>
      <c r="J827" s="9">
        <v>92.441999999999993</v>
      </c>
      <c r="K827" s="21">
        <v>43494</v>
      </c>
      <c r="L827" s="3">
        <v>0.76041666666666663</v>
      </c>
      <c r="M827" s="7" t="s">
        <v>27</v>
      </c>
      <c r="N827" s="19">
        <v>88.04</v>
      </c>
      <c r="O827" s="15">
        <v>4.7619047620000003</v>
      </c>
      <c r="P827" s="9">
        <v>4.4020000000000001</v>
      </c>
      <c r="Q827" s="11">
        <v>6.6</v>
      </c>
    </row>
    <row r="828" spans="1:17" x14ac:dyDescent="0.25">
      <c r="A828" s="5" t="s">
        <v>856</v>
      </c>
      <c r="B828" s="7" t="s">
        <v>36</v>
      </c>
      <c r="C828" s="7" t="s">
        <v>37</v>
      </c>
      <c r="D828" s="7" t="s">
        <v>15</v>
      </c>
      <c r="E828" s="7" t="s">
        <v>16</v>
      </c>
      <c r="F828" s="7" t="s">
        <v>17</v>
      </c>
      <c r="G828" s="9">
        <v>72.11</v>
      </c>
      <c r="H828" s="13">
        <v>9</v>
      </c>
      <c r="I828" s="17">
        <v>32.4495</v>
      </c>
      <c r="J828" s="9">
        <v>681.43949999999995</v>
      </c>
      <c r="K828" s="21">
        <v>43493</v>
      </c>
      <c r="L828" s="3">
        <v>0.57847222222222228</v>
      </c>
      <c r="M828" s="7" t="s">
        <v>27</v>
      </c>
      <c r="N828" s="19">
        <v>648.99</v>
      </c>
      <c r="O828" s="15">
        <v>4.7619047620000003</v>
      </c>
      <c r="P828" s="9">
        <v>32.4495</v>
      </c>
      <c r="Q828" s="11">
        <v>7.7</v>
      </c>
    </row>
    <row r="829" spans="1:17" x14ac:dyDescent="0.25">
      <c r="A829" s="5" t="s">
        <v>857</v>
      </c>
      <c r="B829" s="7" t="s">
        <v>13</v>
      </c>
      <c r="C829" s="7" t="s">
        <v>14</v>
      </c>
      <c r="D829" s="7" t="s">
        <v>15</v>
      </c>
      <c r="E829" s="7" t="s">
        <v>25</v>
      </c>
      <c r="F829" s="7" t="s">
        <v>40</v>
      </c>
      <c r="G829" s="9">
        <v>41.28</v>
      </c>
      <c r="H829" s="13">
        <v>3</v>
      </c>
      <c r="I829" s="17">
        <v>6.1920000000000002</v>
      </c>
      <c r="J829" s="9">
        <v>130.03200000000001</v>
      </c>
      <c r="K829" s="21">
        <v>43550</v>
      </c>
      <c r="L829" s="3">
        <v>0.77569444444444446</v>
      </c>
      <c r="M829" s="7" t="s">
        <v>27</v>
      </c>
      <c r="N829" s="19">
        <v>123.84</v>
      </c>
      <c r="O829" s="15">
        <v>4.7619047620000003</v>
      </c>
      <c r="P829" s="9">
        <v>6.1920000000000002</v>
      </c>
      <c r="Q829" s="11">
        <v>8.5</v>
      </c>
    </row>
    <row r="830" spans="1:17" x14ac:dyDescent="0.25">
      <c r="A830" s="5" t="s">
        <v>858</v>
      </c>
      <c r="B830" s="7" t="s">
        <v>20</v>
      </c>
      <c r="C830" s="7" t="s">
        <v>1034</v>
      </c>
      <c r="D830" s="7" t="s">
        <v>21</v>
      </c>
      <c r="E830" s="7" t="s">
        <v>25</v>
      </c>
      <c r="F830" s="7" t="s">
        <v>22</v>
      </c>
      <c r="G830" s="9">
        <v>64.95</v>
      </c>
      <c r="H830" s="13">
        <v>10</v>
      </c>
      <c r="I830" s="17">
        <v>32.475000000000001</v>
      </c>
      <c r="J830" s="9">
        <v>681.97500000000002</v>
      </c>
      <c r="K830" s="21">
        <v>43548</v>
      </c>
      <c r="L830" s="3">
        <v>0.76875000000000004</v>
      </c>
      <c r="M830" s="7" t="s">
        <v>23</v>
      </c>
      <c r="N830" s="19">
        <v>649.5</v>
      </c>
      <c r="O830" s="15">
        <v>4.7619047620000003</v>
      </c>
      <c r="P830" s="9">
        <v>32.475000000000001</v>
      </c>
      <c r="Q830" s="11">
        <v>5.2</v>
      </c>
    </row>
    <row r="831" spans="1:17" x14ac:dyDescent="0.25">
      <c r="A831" s="5" t="s">
        <v>859</v>
      </c>
      <c r="B831" s="7" t="s">
        <v>13</v>
      </c>
      <c r="C831" s="7" t="s">
        <v>14</v>
      </c>
      <c r="D831" s="7" t="s">
        <v>15</v>
      </c>
      <c r="E831" s="7" t="s">
        <v>16</v>
      </c>
      <c r="F831" s="7" t="s">
        <v>22</v>
      </c>
      <c r="G831" s="9">
        <v>74.22</v>
      </c>
      <c r="H831" s="13">
        <v>10</v>
      </c>
      <c r="I831" s="17">
        <v>37.11</v>
      </c>
      <c r="J831" s="9">
        <v>779.31</v>
      </c>
      <c r="K831" s="21">
        <v>43466</v>
      </c>
      <c r="L831" s="3">
        <v>0.61250000000000004</v>
      </c>
      <c r="M831" s="7" t="s">
        <v>27</v>
      </c>
      <c r="N831" s="19">
        <v>742.2</v>
      </c>
      <c r="O831" s="15">
        <v>4.7619047620000003</v>
      </c>
      <c r="P831" s="9">
        <v>37.11</v>
      </c>
      <c r="Q831" s="11">
        <v>4.3</v>
      </c>
    </row>
    <row r="832" spans="1:17" x14ac:dyDescent="0.25">
      <c r="A832" s="5" t="s">
        <v>860</v>
      </c>
      <c r="B832" s="7" t="s">
        <v>13</v>
      </c>
      <c r="C832" s="7" t="s">
        <v>14</v>
      </c>
      <c r="D832" s="7" t="s">
        <v>21</v>
      </c>
      <c r="E832" s="7" t="s">
        <v>25</v>
      </c>
      <c r="F832" s="7" t="s">
        <v>22</v>
      </c>
      <c r="G832" s="9">
        <v>10.56</v>
      </c>
      <c r="H832" s="13">
        <v>8</v>
      </c>
      <c r="I832" s="17">
        <v>4.2240000000000002</v>
      </c>
      <c r="J832" s="9">
        <v>88.703999999999994</v>
      </c>
      <c r="K832" s="21">
        <v>43489</v>
      </c>
      <c r="L832" s="3">
        <v>0.73819444444444449</v>
      </c>
      <c r="M832" s="7" t="s">
        <v>23</v>
      </c>
      <c r="N832" s="19">
        <v>84.48</v>
      </c>
      <c r="O832" s="15">
        <v>4.7619047620000003</v>
      </c>
      <c r="P832" s="9">
        <v>4.2240000000000002</v>
      </c>
      <c r="Q832" s="11">
        <v>7.6</v>
      </c>
    </row>
    <row r="833" spans="1:17" x14ac:dyDescent="0.25">
      <c r="A833" s="5" t="s">
        <v>861</v>
      </c>
      <c r="B833" s="7" t="s">
        <v>36</v>
      </c>
      <c r="C833" s="7" t="s">
        <v>37</v>
      </c>
      <c r="D833" s="7" t="s">
        <v>21</v>
      </c>
      <c r="E833" s="7" t="s">
        <v>25</v>
      </c>
      <c r="F833" s="7" t="s">
        <v>17</v>
      </c>
      <c r="G833" s="9">
        <v>62.57</v>
      </c>
      <c r="H833" s="13">
        <v>4</v>
      </c>
      <c r="I833" s="17">
        <v>12.513999999999999</v>
      </c>
      <c r="J833" s="9">
        <v>262.79399999999998</v>
      </c>
      <c r="K833" s="21">
        <v>43521</v>
      </c>
      <c r="L833" s="3">
        <v>0.77569444444444446</v>
      </c>
      <c r="M833" s="7" t="s">
        <v>23</v>
      </c>
      <c r="N833" s="19">
        <v>250.28</v>
      </c>
      <c r="O833" s="15">
        <v>4.7619047620000003</v>
      </c>
      <c r="P833" s="9">
        <v>12.513999999999999</v>
      </c>
      <c r="Q833" s="11">
        <v>9.5</v>
      </c>
    </row>
    <row r="834" spans="1:17" x14ac:dyDescent="0.25">
      <c r="A834" s="5" t="s">
        <v>862</v>
      </c>
      <c r="B834" s="7" t="s">
        <v>36</v>
      </c>
      <c r="C834" s="7" t="s">
        <v>37</v>
      </c>
      <c r="D834" s="7" t="s">
        <v>15</v>
      </c>
      <c r="E834" s="7" t="s">
        <v>16</v>
      </c>
      <c r="F834" s="7" t="s">
        <v>30</v>
      </c>
      <c r="G834" s="9">
        <v>11.85</v>
      </c>
      <c r="H834" s="13">
        <v>8</v>
      </c>
      <c r="I834" s="17">
        <v>4.74</v>
      </c>
      <c r="J834" s="9">
        <v>99.54</v>
      </c>
      <c r="K834" s="21">
        <v>43474</v>
      </c>
      <c r="L834" s="3">
        <v>0.69027777777777777</v>
      </c>
      <c r="M834" s="7" t="s">
        <v>23</v>
      </c>
      <c r="N834" s="19">
        <v>94.8</v>
      </c>
      <c r="O834" s="15">
        <v>4.7619047620000003</v>
      </c>
      <c r="P834" s="9">
        <v>4.74</v>
      </c>
      <c r="Q834" s="11">
        <v>4.0999999999999996</v>
      </c>
    </row>
    <row r="835" spans="1:17" x14ac:dyDescent="0.25">
      <c r="A835" s="5" t="s">
        <v>863</v>
      </c>
      <c r="B835" s="7" t="s">
        <v>13</v>
      </c>
      <c r="C835" s="7" t="s">
        <v>14</v>
      </c>
      <c r="D835" s="7" t="s">
        <v>15</v>
      </c>
      <c r="E835" s="7" t="s">
        <v>25</v>
      </c>
      <c r="F835" s="7" t="s">
        <v>17</v>
      </c>
      <c r="G835" s="9">
        <v>91.3</v>
      </c>
      <c r="H835" s="13">
        <v>1</v>
      </c>
      <c r="I835" s="17">
        <v>4.5650000000000004</v>
      </c>
      <c r="J835" s="9">
        <v>95.864999999999995</v>
      </c>
      <c r="K835" s="21">
        <v>43510</v>
      </c>
      <c r="L835" s="3">
        <v>0.61250000000000004</v>
      </c>
      <c r="M835" s="7" t="s">
        <v>18</v>
      </c>
      <c r="N835" s="19">
        <v>91.3</v>
      </c>
      <c r="O835" s="15">
        <v>4.7619047620000003</v>
      </c>
      <c r="P835" s="9">
        <v>4.5650000000000004</v>
      </c>
      <c r="Q835" s="11">
        <v>9.1999999999999993</v>
      </c>
    </row>
    <row r="836" spans="1:17" x14ac:dyDescent="0.25">
      <c r="A836" s="5" t="s">
        <v>864</v>
      </c>
      <c r="B836" s="7" t="s">
        <v>36</v>
      </c>
      <c r="C836" s="7" t="s">
        <v>37</v>
      </c>
      <c r="D836" s="7" t="s">
        <v>15</v>
      </c>
      <c r="E836" s="7" t="s">
        <v>16</v>
      </c>
      <c r="F836" s="7" t="s">
        <v>26</v>
      </c>
      <c r="G836" s="9">
        <v>40.729999999999997</v>
      </c>
      <c r="H836" s="13">
        <v>7</v>
      </c>
      <c r="I836" s="17">
        <v>14.2555</v>
      </c>
      <c r="J836" s="9">
        <v>299.3655</v>
      </c>
      <c r="K836" s="21">
        <v>43536</v>
      </c>
      <c r="L836" s="3">
        <v>0.45902777777777776</v>
      </c>
      <c r="M836" s="7" t="s">
        <v>18</v>
      </c>
      <c r="N836" s="19">
        <v>285.11</v>
      </c>
      <c r="O836" s="15">
        <v>4.7619047620000003</v>
      </c>
      <c r="P836" s="9">
        <v>14.2555</v>
      </c>
      <c r="Q836" s="11">
        <v>5.4</v>
      </c>
    </row>
    <row r="837" spans="1:17" x14ac:dyDescent="0.25">
      <c r="A837" s="5" t="s">
        <v>865</v>
      </c>
      <c r="B837" s="7" t="s">
        <v>13</v>
      </c>
      <c r="C837" s="7" t="s">
        <v>14</v>
      </c>
      <c r="D837" s="7" t="s">
        <v>21</v>
      </c>
      <c r="E837" s="7" t="s">
        <v>25</v>
      </c>
      <c r="F837" s="7" t="s">
        <v>40</v>
      </c>
      <c r="G837" s="9">
        <v>52.38</v>
      </c>
      <c r="H837" s="13">
        <v>1</v>
      </c>
      <c r="I837" s="17">
        <v>2.6190000000000002</v>
      </c>
      <c r="J837" s="9">
        <v>54.999000000000002</v>
      </c>
      <c r="K837" s="21">
        <v>43550</v>
      </c>
      <c r="L837" s="3">
        <v>0.82222222222222219</v>
      </c>
      <c r="M837" s="7" t="s">
        <v>23</v>
      </c>
      <c r="N837" s="19">
        <v>52.38</v>
      </c>
      <c r="O837" s="15">
        <v>4.7619047620000003</v>
      </c>
      <c r="P837" s="9">
        <v>2.6190000000000002</v>
      </c>
      <c r="Q837" s="11">
        <v>5.8</v>
      </c>
    </row>
    <row r="838" spans="1:17" x14ac:dyDescent="0.25">
      <c r="A838" s="5" t="s">
        <v>866</v>
      </c>
      <c r="B838" s="7" t="s">
        <v>13</v>
      </c>
      <c r="C838" s="7" t="s">
        <v>14</v>
      </c>
      <c r="D838" s="7" t="s">
        <v>15</v>
      </c>
      <c r="E838" s="7" t="s">
        <v>25</v>
      </c>
      <c r="F838" s="7" t="s">
        <v>40</v>
      </c>
      <c r="G838" s="9">
        <v>38.54</v>
      </c>
      <c r="H838" s="13">
        <v>5</v>
      </c>
      <c r="I838" s="17">
        <v>9.6349999999999998</v>
      </c>
      <c r="J838" s="9">
        <v>202.33500000000001</v>
      </c>
      <c r="K838" s="21">
        <v>43474</v>
      </c>
      <c r="L838" s="3">
        <v>0.56527777777777777</v>
      </c>
      <c r="M838" s="7" t="s">
        <v>18</v>
      </c>
      <c r="N838" s="19">
        <v>192.7</v>
      </c>
      <c r="O838" s="15">
        <v>4.7619047620000003</v>
      </c>
      <c r="P838" s="9">
        <v>9.6349999999999998</v>
      </c>
      <c r="Q838" s="11">
        <v>5.6</v>
      </c>
    </row>
    <row r="839" spans="1:17" x14ac:dyDescent="0.25">
      <c r="A839" s="5" t="s">
        <v>867</v>
      </c>
      <c r="B839" s="7" t="s">
        <v>36</v>
      </c>
      <c r="C839" s="7" t="s">
        <v>37</v>
      </c>
      <c r="D839" s="7" t="s">
        <v>21</v>
      </c>
      <c r="E839" s="7" t="s">
        <v>25</v>
      </c>
      <c r="F839" s="7" t="s">
        <v>30</v>
      </c>
      <c r="G839" s="9">
        <v>44.63</v>
      </c>
      <c r="H839" s="13">
        <v>6</v>
      </c>
      <c r="I839" s="17">
        <v>13.388999999999999</v>
      </c>
      <c r="J839" s="9">
        <v>281.16899999999998</v>
      </c>
      <c r="K839" s="21">
        <v>43467</v>
      </c>
      <c r="L839" s="3">
        <v>0.83888888888888891</v>
      </c>
      <c r="M839" s="7" t="s">
        <v>27</v>
      </c>
      <c r="N839" s="19">
        <v>267.77999999999997</v>
      </c>
      <c r="O839" s="15">
        <v>4.7619047620000003</v>
      </c>
      <c r="P839" s="9">
        <v>13.388999999999999</v>
      </c>
      <c r="Q839" s="11">
        <v>5.0999999999999996</v>
      </c>
    </row>
    <row r="840" spans="1:17" x14ac:dyDescent="0.25">
      <c r="A840" s="5" t="s">
        <v>868</v>
      </c>
      <c r="B840" s="7" t="s">
        <v>20</v>
      </c>
      <c r="C840" s="7" t="s">
        <v>1034</v>
      </c>
      <c r="D840" s="7" t="s">
        <v>21</v>
      </c>
      <c r="E840" s="7" t="s">
        <v>25</v>
      </c>
      <c r="F840" s="7" t="s">
        <v>22</v>
      </c>
      <c r="G840" s="9">
        <v>55.87</v>
      </c>
      <c r="H840" s="13">
        <v>10</v>
      </c>
      <c r="I840" s="17">
        <v>27.934999999999999</v>
      </c>
      <c r="J840" s="9">
        <v>586.63499999999999</v>
      </c>
      <c r="K840" s="21">
        <v>43480</v>
      </c>
      <c r="L840" s="3">
        <v>0.62569444444444444</v>
      </c>
      <c r="M840" s="7" t="s">
        <v>23</v>
      </c>
      <c r="N840" s="19">
        <v>558.70000000000005</v>
      </c>
      <c r="O840" s="15">
        <v>4.7619047620000003</v>
      </c>
      <c r="P840" s="9">
        <v>27.934999999999999</v>
      </c>
      <c r="Q840" s="11">
        <v>5.8</v>
      </c>
    </row>
    <row r="841" spans="1:17" x14ac:dyDescent="0.25">
      <c r="A841" s="5" t="s">
        <v>869</v>
      </c>
      <c r="B841" s="7" t="s">
        <v>20</v>
      </c>
      <c r="C841" s="7" t="s">
        <v>1034</v>
      </c>
      <c r="D841" s="7" t="s">
        <v>15</v>
      </c>
      <c r="E841" s="7" t="s">
        <v>16</v>
      </c>
      <c r="F841" s="7" t="s">
        <v>30</v>
      </c>
      <c r="G841" s="9">
        <v>29.22</v>
      </c>
      <c r="H841" s="13">
        <v>6</v>
      </c>
      <c r="I841" s="17">
        <v>8.766</v>
      </c>
      <c r="J841" s="9">
        <v>184.08600000000001</v>
      </c>
      <c r="K841" s="21">
        <v>43466</v>
      </c>
      <c r="L841" s="3">
        <v>0.4861111111111111</v>
      </c>
      <c r="M841" s="7" t="s">
        <v>18</v>
      </c>
      <c r="N841" s="19">
        <v>175.32</v>
      </c>
      <c r="O841" s="15">
        <v>4.7619047620000003</v>
      </c>
      <c r="P841" s="9">
        <v>8.766</v>
      </c>
      <c r="Q841" s="11">
        <v>5</v>
      </c>
    </row>
    <row r="842" spans="1:17" x14ac:dyDescent="0.25">
      <c r="A842" s="5" t="s">
        <v>870</v>
      </c>
      <c r="B842" s="7" t="s">
        <v>13</v>
      </c>
      <c r="C842" s="7" t="s">
        <v>14</v>
      </c>
      <c r="D842" s="7" t="s">
        <v>21</v>
      </c>
      <c r="E842" s="7" t="s">
        <v>25</v>
      </c>
      <c r="F842" s="7" t="s">
        <v>40</v>
      </c>
      <c r="G842" s="9">
        <v>51.94</v>
      </c>
      <c r="H842" s="13">
        <v>3</v>
      </c>
      <c r="I842" s="17">
        <v>7.7910000000000004</v>
      </c>
      <c r="J842" s="9">
        <v>163.61099999999999</v>
      </c>
      <c r="K842" s="21">
        <v>43511</v>
      </c>
      <c r="L842" s="3">
        <v>0.63958333333333328</v>
      </c>
      <c r="M842" s="7" t="s">
        <v>23</v>
      </c>
      <c r="N842" s="19">
        <v>155.82</v>
      </c>
      <c r="O842" s="15">
        <v>4.7619047620000003</v>
      </c>
      <c r="P842" s="9">
        <v>7.7910000000000004</v>
      </c>
      <c r="Q842" s="11">
        <v>7.9</v>
      </c>
    </row>
    <row r="843" spans="1:17" x14ac:dyDescent="0.25">
      <c r="A843" s="5" t="s">
        <v>871</v>
      </c>
      <c r="B843" s="7" t="s">
        <v>36</v>
      </c>
      <c r="C843" s="7" t="s">
        <v>37</v>
      </c>
      <c r="D843" s="7" t="s">
        <v>21</v>
      </c>
      <c r="E843" s="7" t="s">
        <v>25</v>
      </c>
      <c r="F843" s="7" t="s">
        <v>22</v>
      </c>
      <c r="G843" s="9">
        <v>60.3</v>
      </c>
      <c r="H843" s="13">
        <v>1</v>
      </c>
      <c r="I843" s="17">
        <v>3.0150000000000001</v>
      </c>
      <c r="J843" s="9">
        <v>63.314999999999998</v>
      </c>
      <c r="K843" s="21">
        <v>43524</v>
      </c>
      <c r="L843" s="3">
        <v>0.73472222222222228</v>
      </c>
      <c r="M843" s="7" t="s">
        <v>23</v>
      </c>
      <c r="N843" s="19">
        <v>60.3</v>
      </c>
      <c r="O843" s="15">
        <v>4.7619047620000003</v>
      </c>
      <c r="P843" s="9">
        <v>3.0150000000000001</v>
      </c>
      <c r="Q843" s="11">
        <v>6</v>
      </c>
    </row>
    <row r="844" spans="1:17" x14ac:dyDescent="0.25">
      <c r="A844" s="5" t="s">
        <v>872</v>
      </c>
      <c r="B844" s="7" t="s">
        <v>13</v>
      </c>
      <c r="C844" s="7" t="s">
        <v>14</v>
      </c>
      <c r="D844" s="7" t="s">
        <v>15</v>
      </c>
      <c r="E844" s="7" t="s">
        <v>16</v>
      </c>
      <c r="F844" s="7" t="s">
        <v>30</v>
      </c>
      <c r="G844" s="9">
        <v>39.47</v>
      </c>
      <c r="H844" s="13">
        <v>2</v>
      </c>
      <c r="I844" s="17">
        <v>3.9470000000000001</v>
      </c>
      <c r="J844" s="9">
        <v>82.887</v>
      </c>
      <c r="K844" s="21">
        <v>43526</v>
      </c>
      <c r="L844" s="3">
        <v>0.67777777777777781</v>
      </c>
      <c r="M844" s="7" t="s">
        <v>27</v>
      </c>
      <c r="N844" s="19">
        <v>78.94</v>
      </c>
      <c r="O844" s="15">
        <v>4.7619047620000003</v>
      </c>
      <c r="P844" s="9">
        <v>3.9470000000000001</v>
      </c>
      <c r="Q844" s="11">
        <v>5</v>
      </c>
    </row>
    <row r="845" spans="1:17" x14ac:dyDescent="0.25">
      <c r="A845" s="5" t="s">
        <v>873</v>
      </c>
      <c r="B845" s="7" t="s">
        <v>20</v>
      </c>
      <c r="C845" s="7" t="s">
        <v>1034</v>
      </c>
      <c r="D845" s="7" t="s">
        <v>15</v>
      </c>
      <c r="E845" s="7" t="s">
        <v>16</v>
      </c>
      <c r="F845" s="7" t="s">
        <v>38</v>
      </c>
      <c r="G845" s="9">
        <v>14.87</v>
      </c>
      <c r="H845" s="13">
        <v>2</v>
      </c>
      <c r="I845" s="17">
        <v>1.4870000000000001</v>
      </c>
      <c r="J845" s="9">
        <v>31.227</v>
      </c>
      <c r="K845" s="21">
        <v>43509</v>
      </c>
      <c r="L845" s="3">
        <v>0.76041666666666663</v>
      </c>
      <c r="M845" s="7" t="s">
        <v>27</v>
      </c>
      <c r="N845" s="19">
        <v>29.74</v>
      </c>
      <c r="O845" s="15">
        <v>4.7619047620000003</v>
      </c>
      <c r="P845" s="9">
        <v>1.4870000000000001</v>
      </c>
      <c r="Q845" s="11">
        <v>8.9</v>
      </c>
    </row>
    <row r="846" spans="1:17" x14ac:dyDescent="0.25">
      <c r="A846" s="5" t="s">
        <v>874</v>
      </c>
      <c r="B846" s="7" t="s">
        <v>13</v>
      </c>
      <c r="C846" s="7" t="s">
        <v>14</v>
      </c>
      <c r="D846" s="7" t="s">
        <v>21</v>
      </c>
      <c r="E846" s="7" t="s">
        <v>25</v>
      </c>
      <c r="F846" s="7" t="s">
        <v>40</v>
      </c>
      <c r="G846" s="9">
        <v>21.32</v>
      </c>
      <c r="H846" s="13">
        <v>1</v>
      </c>
      <c r="I846" s="17">
        <v>1.0660000000000001</v>
      </c>
      <c r="J846" s="9">
        <v>22.385999999999999</v>
      </c>
      <c r="K846" s="21">
        <v>43491</v>
      </c>
      <c r="L846" s="3">
        <v>0.52986111111111112</v>
      </c>
      <c r="M846" s="7" t="s">
        <v>23</v>
      </c>
      <c r="N846" s="19">
        <v>21.32</v>
      </c>
      <c r="O846" s="15">
        <v>4.7619047620000003</v>
      </c>
      <c r="P846" s="9">
        <v>1.0660000000000001</v>
      </c>
      <c r="Q846" s="11">
        <v>5.9</v>
      </c>
    </row>
    <row r="847" spans="1:17" x14ac:dyDescent="0.25">
      <c r="A847" s="5" t="s">
        <v>875</v>
      </c>
      <c r="B847" s="7" t="s">
        <v>13</v>
      </c>
      <c r="C847" s="7" t="s">
        <v>14</v>
      </c>
      <c r="D847" s="7" t="s">
        <v>15</v>
      </c>
      <c r="E847" s="7" t="s">
        <v>25</v>
      </c>
      <c r="F847" s="7" t="s">
        <v>22</v>
      </c>
      <c r="G847" s="9">
        <v>93.78</v>
      </c>
      <c r="H847" s="13">
        <v>3</v>
      </c>
      <c r="I847" s="17">
        <v>14.067</v>
      </c>
      <c r="J847" s="9">
        <v>295.40699999999998</v>
      </c>
      <c r="K847" s="21">
        <v>43495</v>
      </c>
      <c r="L847" s="3">
        <v>0.48055555555555557</v>
      </c>
      <c r="M847" s="7" t="s">
        <v>27</v>
      </c>
      <c r="N847" s="19">
        <v>281.33999999999997</v>
      </c>
      <c r="O847" s="15">
        <v>4.7619047620000003</v>
      </c>
      <c r="P847" s="9">
        <v>14.067</v>
      </c>
      <c r="Q847" s="11">
        <v>5.9</v>
      </c>
    </row>
    <row r="848" spans="1:17" x14ac:dyDescent="0.25">
      <c r="A848" s="5" t="s">
        <v>876</v>
      </c>
      <c r="B848" s="7" t="s">
        <v>13</v>
      </c>
      <c r="C848" s="7" t="s">
        <v>14</v>
      </c>
      <c r="D848" s="7" t="s">
        <v>15</v>
      </c>
      <c r="E848" s="7" t="s">
        <v>25</v>
      </c>
      <c r="F848" s="7" t="s">
        <v>22</v>
      </c>
      <c r="G848" s="9">
        <v>73.260000000000005</v>
      </c>
      <c r="H848" s="13">
        <v>1</v>
      </c>
      <c r="I848" s="17">
        <v>3.6629999999999998</v>
      </c>
      <c r="J848" s="9">
        <v>76.923000000000002</v>
      </c>
      <c r="K848" s="21">
        <v>43492</v>
      </c>
      <c r="L848" s="3">
        <v>0.75555555555555554</v>
      </c>
      <c r="M848" s="7" t="s">
        <v>18</v>
      </c>
      <c r="N848" s="19">
        <v>73.260000000000005</v>
      </c>
      <c r="O848" s="15">
        <v>4.7619047620000003</v>
      </c>
      <c r="P848" s="9">
        <v>3.6629999999999998</v>
      </c>
      <c r="Q848" s="11">
        <v>9.6999999999999993</v>
      </c>
    </row>
    <row r="849" spans="1:17" x14ac:dyDescent="0.25">
      <c r="A849" s="5" t="s">
        <v>877</v>
      </c>
      <c r="B849" s="7" t="s">
        <v>20</v>
      </c>
      <c r="C849" s="7" t="s">
        <v>1034</v>
      </c>
      <c r="D849" s="7" t="s">
        <v>21</v>
      </c>
      <c r="E849" s="7" t="s">
        <v>16</v>
      </c>
      <c r="F849" s="7" t="s">
        <v>30</v>
      </c>
      <c r="G849" s="9">
        <v>22.38</v>
      </c>
      <c r="H849" s="13">
        <v>1</v>
      </c>
      <c r="I849" s="17">
        <v>1.119</v>
      </c>
      <c r="J849" s="9">
        <v>23.498999999999999</v>
      </c>
      <c r="K849" s="21">
        <v>43495</v>
      </c>
      <c r="L849" s="3">
        <v>0.71388888888888891</v>
      </c>
      <c r="M849" s="7" t="s">
        <v>27</v>
      </c>
      <c r="N849" s="19">
        <v>22.38</v>
      </c>
      <c r="O849" s="15">
        <v>4.7619047620000003</v>
      </c>
      <c r="P849" s="9">
        <v>1.119</v>
      </c>
      <c r="Q849" s="11">
        <v>8.6</v>
      </c>
    </row>
    <row r="850" spans="1:17" x14ac:dyDescent="0.25">
      <c r="A850" s="5" t="s">
        <v>878</v>
      </c>
      <c r="B850" s="7" t="s">
        <v>20</v>
      </c>
      <c r="C850" s="7" t="s">
        <v>1034</v>
      </c>
      <c r="D850" s="7" t="s">
        <v>15</v>
      </c>
      <c r="E850" s="7" t="s">
        <v>16</v>
      </c>
      <c r="F850" s="7" t="s">
        <v>38</v>
      </c>
      <c r="G850" s="9">
        <v>72.88</v>
      </c>
      <c r="H850" s="13">
        <v>9</v>
      </c>
      <c r="I850" s="17">
        <v>32.795999999999999</v>
      </c>
      <c r="J850" s="9">
        <v>688.71600000000001</v>
      </c>
      <c r="K850" s="21">
        <v>43473</v>
      </c>
      <c r="L850" s="3">
        <v>0.81805555555555554</v>
      </c>
      <c r="M850" s="7" t="s">
        <v>23</v>
      </c>
      <c r="N850" s="19">
        <v>655.92</v>
      </c>
      <c r="O850" s="15">
        <v>4.7619047620000003</v>
      </c>
      <c r="P850" s="9">
        <v>32.795999999999999</v>
      </c>
      <c r="Q850" s="11">
        <v>4</v>
      </c>
    </row>
    <row r="851" spans="1:17" x14ac:dyDescent="0.25">
      <c r="A851" s="5" t="s">
        <v>879</v>
      </c>
      <c r="B851" s="7" t="s">
        <v>13</v>
      </c>
      <c r="C851" s="7" t="s">
        <v>14</v>
      </c>
      <c r="D851" s="7" t="s">
        <v>21</v>
      </c>
      <c r="E851" s="7" t="s">
        <v>16</v>
      </c>
      <c r="F851" s="7" t="s">
        <v>40</v>
      </c>
      <c r="G851" s="9">
        <v>99.1</v>
      </c>
      <c r="H851" s="13">
        <v>6</v>
      </c>
      <c r="I851" s="17">
        <v>29.73</v>
      </c>
      <c r="J851" s="9">
        <v>624.33000000000004</v>
      </c>
      <c r="K851" s="21">
        <v>43484</v>
      </c>
      <c r="L851" s="3">
        <v>0.5493055555555556</v>
      </c>
      <c r="M851" s="7" t="s">
        <v>23</v>
      </c>
      <c r="N851" s="19">
        <v>594.6</v>
      </c>
      <c r="O851" s="15">
        <v>4.7619047620000003</v>
      </c>
      <c r="P851" s="9">
        <v>29.73</v>
      </c>
      <c r="Q851" s="11">
        <v>4.2</v>
      </c>
    </row>
    <row r="852" spans="1:17" x14ac:dyDescent="0.25">
      <c r="A852" s="5" t="s">
        <v>880</v>
      </c>
      <c r="B852" s="7" t="s">
        <v>13</v>
      </c>
      <c r="C852" s="7" t="s">
        <v>14</v>
      </c>
      <c r="D852" s="7" t="s">
        <v>21</v>
      </c>
      <c r="E852" s="7" t="s">
        <v>25</v>
      </c>
      <c r="F852" s="7" t="s">
        <v>40</v>
      </c>
      <c r="G852" s="9">
        <v>74.099999999999994</v>
      </c>
      <c r="H852" s="13">
        <v>1</v>
      </c>
      <c r="I852" s="17">
        <v>3.7050000000000001</v>
      </c>
      <c r="J852" s="9">
        <v>77.805000000000007</v>
      </c>
      <c r="K852" s="21">
        <v>43490</v>
      </c>
      <c r="L852" s="3">
        <v>0.46180555555555558</v>
      </c>
      <c r="M852" s="7" t="s">
        <v>23</v>
      </c>
      <c r="N852" s="19">
        <v>74.099999999999994</v>
      </c>
      <c r="O852" s="15">
        <v>4.7619047620000003</v>
      </c>
      <c r="P852" s="9">
        <v>3.7050000000000001</v>
      </c>
      <c r="Q852" s="11">
        <v>9.1999999999999993</v>
      </c>
    </row>
    <row r="853" spans="1:17" x14ac:dyDescent="0.25">
      <c r="A853" s="5" t="s">
        <v>881</v>
      </c>
      <c r="B853" s="7" t="s">
        <v>13</v>
      </c>
      <c r="C853" s="7" t="s">
        <v>14</v>
      </c>
      <c r="D853" s="7" t="s">
        <v>21</v>
      </c>
      <c r="E853" s="7" t="s">
        <v>16</v>
      </c>
      <c r="F853" s="7" t="s">
        <v>40</v>
      </c>
      <c r="G853" s="9">
        <v>98.48</v>
      </c>
      <c r="H853" s="13">
        <v>2</v>
      </c>
      <c r="I853" s="17">
        <v>9.8480000000000008</v>
      </c>
      <c r="J853" s="9">
        <v>206.80799999999999</v>
      </c>
      <c r="K853" s="21">
        <v>43515</v>
      </c>
      <c r="L853" s="3">
        <v>0.42499999999999999</v>
      </c>
      <c r="M853" s="7" t="s">
        <v>18</v>
      </c>
      <c r="N853" s="19">
        <v>196.96</v>
      </c>
      <c r="O853" s="15">
        <v>4.7619047620000003</v>
      </c>
      <c r="P853" s="9">
        <v>9.8480000000000008</v>
      </c>
      <c r="Q853" s="11">
        <v>9.1999999999999993</v>
      </c>
    </row>
    <row r="854" spans="1:17" x14ac:dyDescent="0.25">
      <c r="A854" s="5" t="s">
        <v>882</v>
      </c>
      <c r="B854" s="7" t="s">
        <v>20</v>
      </c>
      <c r="C854" s="7" t="s">
        <v>1034</v>
      </c>
      <c r="D854" s="7" t="s">
        <v>21</v>
      </c>
      <c r="E854" s="7" t="s">
        <v>25</v>
      </c>
      <c r="F854" s="7" t="s">
        <v>17</v>
      </c>
      <c r="G854" s="9">
        <v>53.19</v>
      </c>
      <c r="H854" s="13">
        <v>7</v>
      </c>
      <c r="I854" s="17">
        <v>18.616499999999998</v>
      </c>
      <c r="J854" s="9">
        <v>390.94650000000001</v>
      </c>
      <c r="K854" s="21">
        <v>43479</v>
      </c>
      <c r="L854" s="3">
        <v>0.65416666666666667</v>
      </c>
      <c r="M854" s="7" t="s">
        <v>18</v>
      </c>
      <c r="N854" s="19">
        <v>372.33</v>
      </c>
      <c r="O854" s="15">
        <v>4.7619047620000003</v>
      </c>
      <c r="P854" s="9">
        <v>18.616499999999998</v>
      </c>
      <c r="Q854" s="11">
        <v>5</v>
      </c>
    </row>
    <row r="855" spans="1:17" x14ac:dyDescent="0.25">
      <c r="A855" s="5" t="s">
        <v>883</v>
      </c>
      <c r="B855" s="7" t="s">
        <v>36</v>
      </c>
      <c r="C855" s="7" t="s">
        <v>37</v>
      </c>
      <c r="D855" s="7" t="s">
        <v>21</v>
      </c>
      <c r="E855" s="7" t="s">
        <v>16</v>
      </c>
      <c r="F855" s="7" t="s">
        <v>22</v>
      </c>
      <c r="G855" s="9">
        <v>52.79</v>
      </c>
      <c r="H855" s="13">
        <v>10</v>
      </c>
      <c r="I855" s="17">
        <v>26.395</v>
      </c>
      <c r="J855" s="9">
        <v>554.29499999999996</v>
      </c>
      <c r="K855" s="21">
        <v>43521</v>
      </c>
      <c r="L855" s="3">
        <v>0.49861111111111112</v>
      </c>
      <c r="M855" s="7" t="s">
        <v>18</v>
      </c>
      <c r="N855" s="19">
        <v>527.9</v>
      </c>
      <c r="O855" s="15">
        <v>4.7619047620000003</v>
      </c>
      <c r="P855" s="9">
        <v>26.395</v>
      </c>
      <c r="Q855" s="11">
        <v>10</v>
      </c>
    </row>
    <row r="856" spans="1:17" x14ac:dyDescent="0.25">
      <c r="A856" s="5" t="s">
        <v>884</v>
      </c>
      <c r="B856" s="7" t="s">
        <v>13</v>
      </c>
      <c r="C856" s="7" t="s">
        <v>14</v>
      </c>
      <c r="D856" s="7" t="s">
        <v>15</v>
      </c>
      <c r="E856" s="7" t="s">
        <v>16</v>
      </c>
      <c r="F856" s="7" t="s">
        <v>17</v>
      </c>
      <c r="G856" s="9">
        <v>95.95</v>
      </c>
      <c r="H856" s="13">
        <v>5</v>
      </c>
      <c r="I856" s="17">
        <v>23.987500000000001</v>
      </c>
      <c r="J856" s="9">
        <v>503.73750000000001</v>
      </c>
      <c r="K856" s="21">
        <v>43488</v>
      </c>
      <c r="L856" s="3">
        <v>0.59791666666666665</v>
      </c>
      <c r="M856" s="7" t="s">
        <v>18</v>
      </c>
      <c r="N856" s="19">
        <v>479.75</v>
      </c>
      <c r="O856" s="15">
        <v>4.7619047620000003</v>
      </c>
      <c r="P856" s="9">
        <v>23.987500000000001</v>
      </c>
      <c r="Q856" s="11">
        <v>8.8000000000000007</v>
      </c>
    </row>
    <row r="857" spans="1:17" x14ac:dyDescent="0.25">
      <c r="A857" s="5" t="s">
        <v>885</v>
      </c>
      <c r="B857" s="7" t="s">
        <v>36</v>
      </c>
      <c r="C857" s="7" t="s">
        <v>37</v>
      </c>
      <c r="D857" s="7" t="s">
        <v>21</v>
      </c>
      <c r="E857" s="7" t="s">
        <v>16</v>
      </c>
      <c r="F857" s="7" t="s">
        <v>40</v>
      </c>
      <c r="G857" s="9">
        <v>36.51</v>
      </c>
      <c r="H857" s="13">
        <v>9</v>
      </c>
      <c r="I857" s="17">
        <v>16.429500000000001</v>
      </c>
      <c r="J857" s="9">
        <v>345.01949999999999</v>
      </c>
      <c r="K857" s="21">
        <v>43512</v>
      </c>
      <c r="L857" s="3">
        <v>0.45277777777777778</v>
      </c>
      <c r="M857" s="7" t="s">
        <v>23</v>
      </c>
      <c r="N857" s="19">
        <v>328.59</v>
      </c>
      <c r="O857" s="15">
        <v>4.7619047620000003</v>
      </c>
      <c r="P857" s="9">
        <v>16.429500000000001</v>
      </c>
      <c r="Q857" s="11">
        <v>4.2</v>
      </c>
    </row>
    <row r="858" spans="1:17" x14ac:dyDescent="0.25">
      <c r="A858" s="5" t="s">
        <v>886</v>
      </c>
      <c r="B858" s="7" t="s">
        <v>36</v>
      </c>
      <c r="C858" s="7" t="s">
        <v>37</v>
      </c>
      <c r="D858" s="7" t="s">
        <v>21</v>
      </c>
      <c r="E858" s="7" t="s">
        <v>25</v>
      </c>
      <c r="F858" s="7" t="s">
        <v>38</v>
      </c>
      <c r="G858" s="9">
        <v>21.12</v>
      </c>
      <c r="H858" s="13">
        <v>8</v>
      </c>
      <c r="I858" s="17">
        <v>8.4480000000000004</v>
      </c>
      <c r="J858" s="9">
        <v>177.40799999999999</v>
      </c>
      <c r="K858" s="21">
        <v>43466</v>
      </c>
      <c r="L858" s="3">
        <v>0.81319444444444444</v>
      </c>
      <c r="M858" s="7" t="s">
        <v>23</v>
      </c>
      <c r="N858" s="19">
        <v>168.96</v>
      </c>
      <c r="O858" s="15">
        <v>4.7619047620000003</v>
      </c>
      <c r="P858" s="9">
        <v>8.4480000000000004</v>
      </c>
      <c r="Q858" s="11">
        <v>6.3</v>
      </c>
    </row>
    <row r="859" spans="1:17" x14ac:dyDescent="0.25">
      <c r="A859" s="5" t="s">
        <v>887</v>
      </c>
      <c r="B859" s="7" t="s">
        <v>13</v>
      </c>
      <c r="C859" s="7" t="s">
        <v>14</v>
      </c>
      <c r="D859" s="7" t="s">
        <v>15</v>
      </c>
      <c r="E859" s="7" t="s">
        <v>16</v>
      </c>
      <c r="F859" s="7" t="s">
        <v>26</v>
      </c>
      <c r="G859" s="9">
        <v>28.31</v>
      </c>
      <c r="H859" s="13">
        <v>4</v>
      </c>
      <c r="I859" s="17">
        <v>5.6619999999999999</v>
      </c>
      <c r="J859" s="9">
        <v>118.902</v>
      </c>
      <c r="K859" s="21">
        <v>43531</v>
      </c>
      <c r="L859" s="3">
        <v>0.77430555555555558</v>
      </c>
      <c r="M859" s="7" t="s">
        <v>23</v>
      </c>
      <c r="N859" s="19">
        <v>113.24</v>
      </c>
      <c r="O859" s="15">
        <v>4.7619047620000003</v>
      </c>
      <c r="P859" s="9">
        <v>5.6619999999999999</v>
      </c>
      <c r="Q859" s="11">
        <v>8.1999999999999993</v>
      </c>
    </row>
    <row r="860" spans="1:17" x14ac:dyDescent="0.25">
      <c r="A860" s="5" t="s">
        <v>888</v>
      </c>
      <c r="B860" s="7" t="s">
        <v>36</v>
      </c>
      <c r="C860" s="7" t="s">
        <v>37</v>
      </c>
      <c r="D860" s="7" t="s">
        <v>21</v>
      </c>
      <c r="E860" s="7" t="s">
        <v>25</v>
      </c>
      <c r="F860" s="7" t="s">
        <v>17</v>
      </c>
      <c r="G860" s="9">
        <v>57.59</v>
      </c>
      <c r="H860" s="13">
        <v>6</v>
      </c>
      <c r="I860" s="17">
        <v>17.277000000000001</v>
      </c>
      <c r="J860" s="9">
        <v>362.81700000000001</v>
      </c>
      <c r="K860" s="21">
        <v>43511</v>
      </c>
      <c r="L860" s="3">
        <v>0.57708333333333328</v>
      </c>
      <c r="M860" s="7" t="s">
        <v>23</v>
      </c>
      <c r="N860" s="19">
        <v>345.54</v>
      </c>
      <c r="O860" s="15">
        <v>4.7619047620000003</v>
      </c>
      <c r="P860" s="9">
        <v>17.277000000000001</v>
      </c>
      <c r="Q860" s="11">
        <v>5.0999999999999996</v>
      </c>
    </row>
    <row r="861" spans="1:17" x14ac:dyDescent="0.25">
      <c r="A861" s="5" t="s">
        <v>889</v>
      </c>
      <c r="B861" s="7" t="s">
        <v>13</v>
      </c>
      <c r="C861" s="7" t="s">
        <v>14</v>
      </c>
      <c r="D861" s="7" t="s">
        <v>15</v>
      </c>
      <c r="E861" s="7" t="s">
        <v>16</v>
      </c>
      <c r="F861" s="7" t="s">
        <v>38</v>
      </c>
      <c r="G861" s="9">
        <v>47.63</v>
      </c>
      <c r="H861" s="13">
        <v>9</v>
      </c>
      <c r="I861" s="17">
        <v>21.433499999999999</v>
      </c>
      <c r="J861" s="9">
        <v>450.1035</v>
      </c>
      <c r="K861" s="21">
        <v>43488</v>
      </c>
      <c r="L861" s="3">
        <v>0.52430555555555558</v>
      </c>
      <c r="M861" s="7" t="s">
        <v>23</v>
      </c>
      <c r="N861" s="19">
        <v>428.67</v>
      </c>
      <c r="O861" s="15">
        <v>4.7619047620000003</v>
      </c>
      <c r="P861" s="9">
        <v>21.433499999999999</v>
      </c>
      <c r="Q861" s="11">
        <v>5</v>
      </c>
    </row>
    <row r="862" spans="1:17" x14ac:dyDescent="0.25">
      <c r="A862" s="5" t="s">
        <v>890</v>
      </c>
      <c r="B862" s="7" t="s">
        <v>20</v>
      </c>
      <c r="C862" s="7" t="s">
        <v>1034</v>
      </c>
      <c r="D862" s="7" t="s">
        <v>15</v>
      </c>
      <c r="E862" s="7" t="s">
        <v>16</v>
      </c>
      <c r="F862" s="7" t="s">
        <v>26</v>
      </c>
      <c r="G862" s="9">
        <v>86.27</v>
      </c>
      <c r="H862" s="13">
        <v>1</v>
      </c>
      <c r="I862" s="17">
        <v>4.3135000000000003</v>
      </c>
      <c r="J862" s="9">
        <v>90.583500000000001</v>
      </c>
      <c r="K862" s="21">
        <v>43516</v>
      </c>
      <c r="L862" s="3">
        <v>0.55833333333333335</v>
      </c>
      <c r="M862" s="7" t="s">
        <v>18</v>
      </c>
      <c r="N862" s="19">
        <v>86.27</v>
      </c>
      <c r="O862" s="15">
        <v>4.7619047620000003</v>
      </c>
      <c r="P862" s="9">
        <v>4.3135000000000003</v>
      </c>
      <c r="Q862" s="11">
        <v>7</v>
      </c>
    </row>
    <row r="863" spans="1:17" x14ac:dyDescent="0.25">
      <c r="A863" s="5" t="s">
        <v>891</v>
      </c>
      <c r="B863" s="7" t="s">
        <v>13</v>
      </c>
      <c r="C863" s="7" t="s">
        <v>14</v>
      </c>
      <c r="D863" s="7" t="s">
        <v>15</v>
      </c>
      <c r="E863" s="7" t="s">
        <v>25</v>
      </c>
      <c r="F863" s="7" t="s">
        <v>30</v>
      </c>
      <c r="G863" s="9">
        <v>12.76</v>
      </c>
      <c r="H863" s="13">
        <v>2</v>
      </c>
      <c r="I863" s="17">
        <v>1.276</v>
      </c>
      <c r="J863" s="9">
        <v>26.795999999999999</v>
      </c>
      <c r="K863" s="21">
        <v>43473</v>
      </c>
      <c r="L863" s="3">
        <v>0.75416666666666665</v>
      </c>
      <c r="M863" s="7" t="s">
        <v>18</v>
      </c>
      <c r="N863" s="19">
        <v>25.52</v>
      </c>
      <c r="O863" s="15">
        <v>4.7619047620000003</v>
      </c>
      <c r="P863" s="9">
        <v>1.276</v>
      </c>
      <c r="Q863" s="11">
        <v>7.8</v>
      </c>
    </row>
    <row r="864" spans="1:17" x14ac:dyDescent="0.25">
      <c r="A864" s="5" t="s">
        <v>892</v>
      </c>
      <c r="B864" s="7" t="s">
        <v>36</v>
      </c>
      <c r="C864" s="7" t="s">
        <v>37</v>
      </c>
      <c r="D864" s="7" t="s">
        <v>21</v>
      </c>
      <c r="E864" s="7" t="s">
        <v>16</v>
      </c>
      <c r="F864" s="7" t="s">
        <v>26</v>
      </c>
      <c r="G864" s="9">
        <v>11.28</v>
      </c>
      <c r="H864" s="13">
        <v>9</v>
      </c>
      <c r="I864" s="17">
        <v>5.0759999999999996</v>
      </c>
      <c r="J864" s="9">
        <v>106.596</v>
      </c>
      <c r="K864" s="21">
        <v>43541</v>
      </c>
      <c r="L864" s="3">
        <v>0.49652777777777779</v>
      </c>
      <c r="M864" s="7" t="s">
        <v>27</v>
      </c>
      <c r="N864" s="19">
        <v>101.52</v>
      </c>
      <c r="O864" s="15">
        <v>4.7619047620000003</v>
      </c>
      <c r="P864" s="9">
        <v>5.0759999999999996</v>
      </c>
      <c r="Q864" s="11">
        <v>4.3</v>
      </c>
    </row>
    <row r="865" spans="1:17" x14ac:dyDescent="0.25">
      <c r="A865" s="5" t="s">
        <v>893</v>
      </c>
      <c r="B865" s="7" t="s">
        <v>36</v>
      </c>
      <c r="C865" s="7" t="s">
        <v>37</v>
      </c>
      <c r="D865" s="7" t="s">
        <v>21</v>
      </c>
      <c r="E865" s="7" t="s">
        <v>16</v>
      </c>
      <c r="F865" s="7" t="s">
        <v>26</v>
      </c>
      <c r="G865" s="9">
        <v>51.07</v>
      </c>
      <c r="H865" s="13">
        <v>7</v>
      </c>
      <c r="I865" s="17">
        <v>17.874500000000001</v>
      </c>
      <c r="J865" s="9">
        <v>375.36450000000002</v>
      </c>
      <c r="K865" s="21">
        <v>43477</v>
      </c>
      <c r="L865" s="3">
        <v>0.48749999999999999</v>
      </c>
      <c r="M865" s="7" t="s">
        <v>23</v>
      </c>
      <c r="N865" s="19">
        <v>357.49</v>
      </c>
      <c r="O865" s="15">
        <v>4.7619047620000003</v>
      </c>
      <c r="P865" s="9">
        <v>17.874500000000001</v>
      </c>
      <c r="Q865" s="11">
        <v>7</v>
      </c>
    </row>
    <row r="866" spans="1:17" x14ac:dyDescent="0.25">
      <c r="A866" s="5" t="s">
        <v>894</v>
      </c>
      <c r="B866" s="7" t="s">
        <v>13</v>
      </c>
      <c r="C866" s="7" t="s">
        <v>14</v>
      </c>
      <c r="D866" s="7" t="s">
        <v>15</v>
      </c>
      <c r="E866" s="7" t="s">
        <v>16</v>
      </c>
      <c r="F866" s="7" t="s">
        <v>22</v>
      </c>
      <c r="G866" s="9">
        <v>79.59</v>
      </c>
      <c r="H866" s="13">
        <v>3</v>
      </c>
      <c r="I866" s="17">
        <v>11.938499999999999</v>
      </c>
      <c r="J866" s="9">
        <v>250.70849999999999</v>
      </c>
      <c r="K866" s="21">
        <v>43473</v>
      </c>
      <c r="L866" s="3">
        <v>0.60416666666666663</v>
      </c>
      <c r="M866" s="7" t="s">
        <v>23</v>
      </c>
      <c r="N866" s="19">
        <v>238.77</v>
      </c>
      <c r="O866" s="15">
        <v>4.7619047620000003</v>
      </c>
      <c r="P866" s="9">
        <v>11.938499999999999</v>
      </c>
      <c r="Q866" s="11">
        <v>6.6</v>
      </c>
    </row>
    <row r="867" spans="1:17" x14ac:dyDescent="0.25">
      <c r="A867" s="5" t="s">
        <v>895</v>
      </c>
      <c r="B867" s="7" t="s">
        <v>20</v>
      </c>
      <c r="C867" s="7" t="s">
        <v>1034</v>
      </c>
      <c r="D867" s="7" t="s">
        <v>15</v>
      </c>
      <c r="E867" s="7" t="s">
        <v>25</v>
      </c>
      <c r="F867" s="7" t="s">
        <v>17</v>
      </c>
      <c r="G867" s="9">
        <v>33.81</v>
      </c>
      <c r="H867" s="13">
        <v>3</v>
      </c>
      <c r="I867" s="17">
        <v>5.0715000000000003</v>
      </c>
      <c r="J867" s="9">
        <v>106.50149999999999</v>
      </c>
      <c r="K867" s="21">
        <v>43491</v>
      </c>
      <c r="L867" s="3">
        <v>0.63263888888888886</v>
      </c>
      <c r="M867" s="7" t="s">
        <v>18</v>
      </c>
      <c r="N867" s="19">
        <v>101.43</v>
      </c>
      <c r="O867" s="15">
        <v>4.7619047620000003</v>
      </c>
      <c r="P867" s="9">
        <v>5.0715000000000003</v>
      </c>
      <c r="Q867" s="11">
        <v>7.3</v>
      </c>
    </row>
    <row r="868" spans="1:17" x14ac:dyDescent="0.25">
      <c r="A868" s="5" t="s">
        <v>896</v>
      </c>
      <c r="B868" s="7" t="s">
        <v>36</v>
      </c>
      <c r="C868" s="7" t="s">
        <v>37</v>
      </c>
      <c r="D868" s="7" t="s">
        <v>15</v>
      </c>
      <c r="E868" s="7" t="s">
        <v>25</v>
      </c>
      <c r="F868" s="7" t="s">
        <v>30</v>
      </c>
      <c r="G868" s="9">
        <v>90.53</v>
      </c>
      <c r="H868" s="13">
        <v>8</v>
      </c>
      <c r="I868" s="17">
        <v>36.212000000000003</v>
      </c>
      <c r="J868" s="9">
        <v>760.452</v>
      </c>
      <c r="K868" s="21">
        <v>43539</v>
      </c>
      <c r="L868" s="3">
        <v>0.6166666666666667</v>
      </c>
      <c r="M868" s="7" t="s">
        <v>27</v>
      </c>
      <c r="N868" s="19">
        <v>724.24</v>
      </c>
      <c r="O868" s="15">
        <v>4.7619047620000003</v>
      </c>
      <c r="P868" s="9">
        <v>36.212000000000003</v>
      </c>
      <c r="Q868" s="11">
        <v>6.5</v>
      </c>
    </row>
    <row r="869" spans="1:17" x14ac:dyDescent="0.25">
      <c r="A869" s="5" t="s">
        <v>897</v>
      </c>
      <c r="B869" s="7" t="s">
        <v>20</v>
      </c>
      <c r="C869" s="7" t="s">
        <v>1034</v>
      </c>
      <c r="D869" s="7" t="s">
        <v>15</v>
      </c>
      <c r="E869" s="7" t="s">
        <v>16</v>
      </c>
      <c r="F869" s="7" t="s">
        <v>17</v>
      </c>
      <c r="G869" s="9">
        <v>62.82</v>
      </c>
      <c r="H869" s="13">
        <v>2</v>
      </c>
      <c r="I869" s="17">
        <v>6.282</v>
      </c>
      <c r="J869" s="9">
        <v>131.922</v>
      </c>
      <c r="K869" s="21">
        <v>43482</v>
      </c>
      <c r="L869" s="3">
        <v>0.52500000000000002</v>
      </c>
      <c r="M869" s="7" t="s">
        <v>18</v>
      </c>
      <c r="N869" s="19">
        <v>125.64</v>
      </c>
      <c r="O869" s="15">
        <v>4.7619047620000003</v>
      </c>
      <c r="P869" s="9">
        <v>6.282</v>
      </c>
      <c r="Q869" s="11">
        <v>4.9000000000000004</v>
      </c>
    </row>
    <row r="870" spans="1:17" x14ac:dyDescent="0.25">
      <c r="A870" s="5" t="s">
        <v>898</v>
      </c>
      <c r="B870" s="7" t="s">
        <v>20</v>
      </c>
      <c r="C870" s="7" t="s">
        <v>1034</v>
      </c>
      <c r="D870" s="7" t="s">
        <v>15</v>
      </c>
      <c r="E870" s="7" t="s">
        <v>25</v>
      </c>
      <c r="F870" s="7" t="s">
        <v>38</v>
      </c>
      <c r="G870" s="9">
        <v>24.31</v>
      </c>
      <c r="H870" s="13">
        <v>3</v>
      </c>
      <c r="I870" s="17">
        <v>3.6465000000000001</v>
      </c>
      <c r="J870" s="9">
        <v>76.576499999999996</v>
      </c>
      <c r="K870" s="21">
        <v>43473</v>
      </c>
      <c r="L870" s="3">
        <v>0.79791666666666672</v>
      </c>
      <c r="M870" s="7" t="s">
        <v>27</v>
      </c>
      <c r="N870" s="19">
        <v>72.930000000000007</v>
      </c>
      <c r="O870" s="15">
        <v>4.7619047620000003</v>
      </c>
      <c r="P870" s="9">
        <v>3.6465000000000001</v>
      </c>
      <c r="Q870" s="11">
        <v>4.3</v>
      </c>
    </row>
    <row r="871" spans="1:17" x14ac:dyDescent="0.25">
      <c r="A871" s="5" t="s">
        <v>899</v>
      </c>
      <c r="B871" s="7" t="s">
        <v>13</v>
      </c>
      <c r="C871" s="7" t="s">
        <v>14</v>
      </c>
      <c r="D871" s="7" t="s">
        <v>21</v>
      </c>
      <c r="E871" s="7" t="s">
        <v>25</v>
      </c>
      <c r="F871" s="7" t="s">
        <v>30</v>
      </c>
      <c r="G871" s="9">
        <v>64.59</v>
      </c>
      <c r="H871" s="13">
        <v>4</v>
      </c>
      <c r="I871" s="17">
        <v>12.917999999999999</v>
      </c>
      <c r="J871" s="9">
        <v>271.27800000000002</v>
      </c>
      <c r="K871" s="21">
        <v>43471</v>
      </c>
      <c r="L871" s="3">
        <v>0.56597222222222221</v>
      </c>
      <c r="M871" s="7" t="s">
        <v>18</v>
      </c>
      <c r="N871" s="19">
        <v>258.36</v>
      </c>
      <c r="O871" s="15">
        <v>4.7619047620000003</v>
      </c>
      <c r="P871" s="9">
        <v>12.917999999999999</v>
      </c>
      <c r="Q871" s="11">
        <v>9.3000000000000007</v>
      </c>
    </row>
    <row r="872" spans="1:17" x14ac:dyDescent="0.25">
      <c r="A872" s="5" t="s">
        <v>900</v>
      </c>
      <c r="B872" s="7" t="s">
        <v>13</v>
      </c>
      <c r="C872" s="7" t="s">
        <v>14</v>
      </c>
      <c r="D872" s="7" t="s">
        <v>15</v>
      </c>
      <c r="E872" s="7" t="s">
        <v>25</v>
      </c>
      <c r="F872" s="7" t="s">
        <v>38</v>
      </c>
      <c r="G872" s="9">
        <v>24.82</v>
      </c>
      <c r="H872" s="13">
        <v>7</v>
      </c>
      <c r="I872" s="17">
        <v>8.6869999999999994</v>
      </c>
      <c r="J872" s="9">
        <v>182.42699999999999</v>
      </c>
      <c r="K872" s="21">
        <v>43512</v>
      </c>
      <c r="L872" s="3">
        <v>0.43958333333333333</v>
      </c>
      <c r="M872" s="7" t="s">
        <v>27</v>
      </c>
      <c r="N872" s="19">
        <v>173.74</v>
      </c>
      <c r="O872" s="15">
        <v>4.7619047620000003</v>
      </c>
      <c r="P872" s="9">
        <v>8.6869999999999994</v>
      </c>
      <c r="Q872" s="11">
        <v>7.1</v>
      </c>
    </row>
    <row r="873" spans="1:17" x14ac:dyDescent="0.25">
      <c r="A873" s="5" t="s">
        <v>901</v>
      </c>
      <c r="B873" s="7" t="s">
        <v>20</v>
      </c>
      <c r="C873" s="7" t="s">
        <v>1034</v>
      </c>
      <c r="D873" s="7" t="s">
        <v>21</v>
      </c>
      <c r="E873" s="7" t="s">
        <v>25</v>
      </c>
      <c r="F873" s="7" t="s">
        <v>40</v>
      </c>
      <c r="G873" s="9">
        <v>56.5</v>
      </c>
      <c r="H873" s="13">
        <v>1</v>
      </c>
      <c r="I873" s="17">
        <v>2.8250000000000002</v>
      </c>
      <c r="J873" s="9">
        <v>59.325000000000003</v>
      </c>
      <c r="K873" s="21">
        <v>43537</v>
      </c>
      <c r="L873" s="3">
        <v>0.65625</v>
      </c>
      <c r="M873" s="7" t="s">
        <v>18</v>
      </c>
      <c r="N873" s="19">
        <v>56.5</v>
      </c>
      <c r="O873" s="15">
        <v>4.7619047620000003</v>
      </c>
      <c r="P873" s="9">
        <v>2.8250000000000002</v>
      </c>
      <c r="Q873" s="11">
        <v>9.6</v>
      </c>
    </row>
    <row r="874" spans="1:17" x14ac:dyDescent="0.25">
      <c r="A874" s="5" t="s">
        <v>902</v>
      </c>
      <c r="B874" s="7" t="s">
        <v>36</v>
      </c>
      <c r="C874" s="7" t="s">
        <v>37</v>
      </c>
      <c r="D874" s="7" t="s">
        <v>15</v>
      </c>
      <c r="E874" s="7" t="s">
        <v>16</v>
      </c>
      <c r="F874" s="7" t="s">
        <v>22</v>
      </c>
      <c r="G874" s="9">
        <v>21.43</v>
      </c>
      <c r="H874" s="13">
        <v>10</v>
      </c>
      <c r="I874" s="17">
        <v>10.715</v>
      </c>
      <c r="J874" s="9">
        <v>225.01499999999999</v>
      </c>
      <c r="K874" s="21">
        <v>43493</v>
      </c>
      <c r="L874" s="3">
        <v>0.49375000000000002</v>
      </c>
      <c r="M874" s="7" t="s">
        <v>23</v>
      </c>
      <c r="N874" s="19">
        <v>214.3</v>
      </c>
      <c r="O874" s="15">
        <v>4.7619047620000003</v>
      </c>
      <c r="P874" s="9">
        <v>10.715</v>
      </c>
      <c r="Q874" s="11">
        <v>6.2</v>
      </c>
    </row>
    <row r="875" spans="1:17" x14ac:dyDescent="0.25">
      <c r="A875" s="5" t="s">
        <v>903</v>
      </c>
      <c r="B875" s="7" t="s">
        <v>13</v>
      </c>
      <c r="C875" s="7" t="s">
        <v>14</v>
      </c>
      <c r="D875" s="7" t="s">
        <v>15</v>
      </c>
      <c r="E875" s="7" t="s">
        <v>25</v>
      </c>
      <c r="F875" s="7" t="s">
        <v>30</v>
      </c>
      <c r="G875" s="9">
        <v>89.06</v>
      </c>
      <c r="H875" s="13">
        <v>6</v>
      </c>
      <c r="I875" s="17">
        <v>26.718</v>
      </c>
      <c r="J875" s="9">
        <v>561.07799999999997</v>
      </c>
      <c r="K875" s="21">
        <v>43483</v>
      </c>
      <c r="L875" s="3">
        <v>0.72638888888888886</v>
      </c>
      <c r="M875" s="7" t="s">
        <v>23</v>
      </c>
      <c r="N875" s="19">
        <v>534.36</v>
      </c>
      <c r="O875" s="15">
        <v>4.7619047620000003</v>
      </c>
      <c r="P875" s="9">
        <v>26.718</v>
      </c>
      <c r="Q875" s="11">
        <v>9.9</v>
      </c>
    </row>
    <row r="876" spans="1:17" x14ac:dyDescent="0.25">
      <c r="A876" s="5" t="s">
        <v>904</v>
      </c>
      <c r="B876" s="7" t="s">
        <v>13</v>
      </c>
      <c r="C876" s="7" t="s">
        <v>14</v>
      </c>
      <c r="D876" s="7" t="s">
        <v>15</v>
      </c>
      <c r="E876" s="7" t="s">
        <v>25</v>
      </c>
      <c r="F876" s="7" t="s">
        <v>26</v>
      </c>
      <c r="G876" s="9">
        <v>23.29</v>
      </c>
      <c r="H876" s="13">
        <v>4</v>
      </c>
      <c r="I876" s="17">
        <v>4.6580000000000004</v>
      </c>
      <c r="J876" s="9">
        <v>97.817999999999998</v>
      </c>
      <c r="K876" s="21">
        <v>43543</v>
      </c>
      <c r="L876" s="3">
        <v>0.49444444444444446</v>
      </c>
      <c r="M876" s="7" t="s">
        <v>27</v>
      </c>
      <c r="N876" s="19">
        <v>93.16</v>
      </c>
      <c r="O876" s="15">
        <v>4.7619047620000003</v>
      </c>
      <c r="P876" s="9">
        <v>4.6580000000000004</v>
      </c>
      <c r="Q876" s="11">
        <v>5.9</v>
      </c>
    </row>
    <row r="877" spans="1:17" x14ac:dyDescent="0.25">
      <c r="A877" s="5" t="s">
        <v>905</v>
      </c>
      <c r="B877" s="7" t="s">
        <v>20</v>
      </c>
      <c r="C877" s="7" t="s">
        <v>1034</v>
      </c>
      <c r="D877" s="7" t="s">
        <v>21</v>
      </c>
      <c r="E877" s="7" t="s">
        <v>25</v>
      </c>
      <c r="F877" s="7" t="s">
        <v>26</v>
      </c>
      <c r="G877" s="9">
        <v>65.260000000000005</v>
      </c>
      <c r="H877" s="13">
        <v>8</v>
      </c>
      <c r="I877" s="17">
        <v>26.103999999999999</v>
      </c>
      <c r="J877" s="9">
        <v>548.18399999999997</v>
      </c>
      <c r="K877" s="21">
        <v>43539</v>
      </c>
      <c r="L877" s="3">
        <v>0.58611111111111114</v>
      </c>
      <c r="M877" s="7" t="s">
        <v>18</v>
      </c>
      <c r="N877" s="19">
        <v>522.08000000000004</v>
      </c>
      <c r="O877" s="15">
        <v>4.7619047620000003</v>
      </c>
      <c r="P877" s="9">
        <v>26.103999999999999</v>
      </c>
      <c r="Q877" s="11">
        <v>6.3</v>
      </c>
    </row>
    <row r="878" spans="1:17" x14ac:dyDescent="0.25">
      <c r="A878" s="5" t="s">
        <v>906</v>
      </c>
      <c r="B878" s="7" t="s">
        <v>20</v>
      </c>
      <c r="C878" s="7" t="s">
        <v>1034</v>
      </c>
      <c r="D878" s="7" t="s">
        <v>15</v>
      </c>
      <c r="E878" s="7" t="s">
        <v>25</v>
      </c>
      <c r="F878" s="7" t="s">
        <v>40</v>
      </c>
      <c r="G878" s="9">
        <v>52.35</v>
      </c>
      <c r="H878" s="13">
        <v>1</v>
      </c>
      <c r="I878" s="17">
        <v>2.6175000000000002</v>
      </c>
      <c r="J878" s="9">
        <v>54.967500000000001</v>
      </c>
      <c r="K878" s="21">
        <v>43508</v>
      </c>
      <c r="L878" s="3">
        <v>0.74236111111111114</v>
      </c>
      <c r="M878" s="7" t="s">
        <v>23</v>
      </c>
      <c r="N878" s="19">
        <v>52.35</v>
      </c>
      <c r="O878" s="15">
        <v>4.7619047620000003</v>
      </c>
      <c r="P878" s="9">
        <v>2.6175000000000002</v>
      </c>
      <c r="Q878" s="11">
        <v>4</v>
      </c>
    </row>
    <row r="879" spans="1:17" x14ac:dyDescent="0.25">
      <c r="A879" s="5" t="s">
        <v>907</v>
      </c>
      <c r="B879" s="7" t="s">
        <v>36</v>
      </c>
      <c r="C879" s="7" t="s">
        <v>37</v>
      </c>
      <c r="D879" s="7" t="s">
        <v>15</v>
      </c>
      <c r="E879" s="7" t="s">
        <v>25</v>
      </c>
      <c r="F879" s="7" t="s">
        <v>22</v>
      </c>
      <c r="G879" s="9">
        <v>39.75</v>
      </c>
      <c r="H879" s="13">
        <v>1</v>
      </c>
      <c r="I879" s="17">
        <v>1.9875</v>
      </c>
      <c r="J879" s="9">
        <v>41.737499999999997</v>
      </c>
      <c r="K879" s="21">
        <v>43521</v>
      </c>
      <c r="L879" s="3">
        <v>0.84652777777777777</v>
      </c>
      <c r="M879" s="7" t="s">
        <v>23</v>
      </c>
      <c r="N879" s="19">
        <v>39.75</v>
      </c>
      <c r="O879" s="15">
        <v>4.7619047620000003</v>
      </c>
      <c r="P879" s="9">
        <v>1.9875</v>
      </c>
      <c r="Q879" s="11">
        <v>6.1</v>
      </c>
    </row>
    <row r="880" spans="1:17" x14ac:dyDescent="0.25">
      <c r="A880" s="5" t="s">
        <v>908</v>
      </c>
      <c r="B880" s="7" t="s">
        <v>13</v>
      </c>
      <c r="C880" s="7" t="s">
        <v>14</v>
      </c>
      <c r="D880" s="7" t="s">
        <v>21</v>
      </c>
      <c r="E880" s="7" t="s">
        <v>16</v>
      </c>
      <c r="F880" s="7" t="s">
        <v>22</v>
      </c>
      <c r="G880" s="9">
        <v>90.02</v>
      </c>
      <c r="H880" s="13">
        <v>8</v>
      </c>
      <c r="I880" s="17">
        <v>36.008000000000003</v>
      </c>
      <c r="J880" s="9">
        <v>756.16800000000001</v>
      </c>
      <c r="K880" s="21">
        <v>43545</v>
      </c>
      <c r="L880" s="3">
        <v>0.67222222222222228</v>
      </c>
      <c r="M880" s="7" t="s">
        <v>27</v>
      </c>
      <c r="N880" s="19">
        <v>720.16</v>
      </c>
      <c r="O880" s="15">
        <v>4.7619047620000003</v>
      </c>
      <c r="P880" s="9">
        <v>36.008000000000003</v>
      </c>
      <c r="Q880" s="11">
        <v>4.5</v>
      </c>
    </row>
    <row r="881" spans="1:17" x14ac:dyDescent="0.25">
      <c r="A881" s="5" t="s">
        <v>909</v>
      </c>
      <c r="B881" s="7" t="s">
        <v>36</v>
      </c>
      <c r="C881" s="7" t="s">
        <v>37</v>
      </c>
      <c r="D881" s="7" t="s">
        <v>15</v>
      </c>
      <c r="E881" s="7" t="s">
        <v>16</v>
      </c>
      <c r="F881" s="7" t="s">
        <v>22</v>
      </c>
      <c r="G881" s="9">
        <v>12.1</v>
      </c>
      <c r="H881" s="13">
        <v>8</v>
      </c>
      <c r="I881" s="17">
        <v>4.84</v>
      </c>
      <c r="J881" s="9">
        <v>101.64</v>
      </c>
      <c r="K881" s="21">
        <v>43484</v>
      </c>
      <c r="L881" s="3">
        <v>0.4284722222222222</v>
      </c>
      <c r="M881" s="7" t="s">
        <v>18</v>
      </c>
      <c r="N881" s="19">
        <v>96.8</v>
      </c>
      <c r="O881" s="15">
        <v>4.7619047620000003</v>
      </c>
      <c r="P881" s="9">
        <v>4.84</v>
      </c>
      <c r="Q881" s="11">
        <v>8.6</v>
      </c>
    </row>
    <row r="882" spans="1:17" x14ac:dyDescent="0.25">
      <c r="A882" s="5" t="s">
        <v>910</v>
      </c>
      <c r="B882" s="7" t="s">
        <v>36</v>
      </c>
      <c r="C882" s="7" t="s">
        <v>37</v>
      </c>
      <c r="D882" s="7" t="s">
        <v>15</v>
      </c>
      <c r="E882" s="7" t="s">
        <v>16</v>
      </c>
      <c r="F882" s="7" t="s">
        <v>38</v>
      </c>
      <c r="G882" s="9">
        <v>33.21</v>
      </c>
      <c r="H882" s="13">
        <v>10</v>
      </c>
      <c r="I882" s="17">
        <v>16.605</v>
      </c>
      <c r="J882" s="9">
        <v>348.70499999999998</v>
      </c>
      <c r="K882" s="21">
        <v>43473</v>
      </c>
      <c r="L882" s="3">
        <v>0.60069444444444442</v>
      </c>
      <c r="M882" s="7" t="s">
        <v>18</v>
      </c>
      <c r="N882" s="19">
        <v>332.1</v>
      </c>
      <c r="O882" s="15">
        <v>4.7619047620000003</v>
      </c>
      <c r="P882" s="9">
        <v>16.605</v>
      </c>
      <c r="Q882" s="11">
        <v>6</v>
      </c>
    </row>
    <row r="883" spans="1:17" x14ac:dyDescent="0.25">
      <c r="A883" s="5" t="s">
        <v>911</v>
      </c>
      <c r="B883" s="7" t="s">
        <v>20</v>
      </c>
      <c r="C883" s="7" t="s">
        <v>1034</v>
      </c>
      <c r="D883" s="7" t="s">
        <v>15</v>
      </c>
      <c r="E883" s="7" t="s">
        <v>16</v>
      </c>
      <c r="F883" s="7" t="s">
        <v>40</v>
      </c>
      <c r="G883" s="9">
        <v>10.18</v>
      </c>
      <c r="H883" s="13">
        <v>8</v>
      </c>
      <c r="I883" s="17">
        <v>4.0720000000000001</v>
      </c>
      <c r="J883" s="9">
        <v>85.512</v>
      </c>
      <c r="K883" s="21">
        <v>43554</v>
      </c>
      <c r="L883" s="3">
        <v>0.53541666666666665</v>
      </c>
      <c r="M883" s="7" t="s">
        <v>27</v>
      </c>
      <c r="N883" s="19">
        <v>81.44</v>
      </c>
      <c r="O883" s="15">
        <v>4.7619047620000003</v>
      </c>
      <c r="P883" s="9">
        <v>4.0720000000000001</v>
      </c>
      <c r="Q883" s="11">
        <v>9.5</v>
      </c>
    </row>
    <row r="884" spans="1:17" x14ac:dyDescent="0.25">
      <c r="A884" s="5" t="s">
        <v>912</v>
      </c>
      <c r="B884" s="7" t="s">
        <v>36</v>
      </c>
      <c r="C884" s="7" t="s">
        <v>37</v>
      </c>
      <c r="D884" s="7" t="s">
        <v>15</v>
      </c>
      <c r="E884" s="7" t="s">
        <v>25</v>
      </c>
      <c r="F884" s="7" t="s">
        <v>30</v>
      </c>
      <c r="G884" s="9">
        <v>31.99</v>
      </c>
      <c r="H884" s="13">
        <v>10</v>
      </c>
      <c r="I884" s="17">
        <v>15.994999999999999</v>
      </c>
      <c r="J884" s="9">
        <v>335.89499999999998</v>
      </c>
      <c r="K884" s="21">
        <v>43516</v>
      </c>
      <c r="L884" s="3">
        <v>0.63749999999999996</v>
      </c>
      <c r="M884" s="7" t="s">
        <v>27</v>
      </c>
      <c r="N884" s="19">
        <v>319.89999999999998</v>
      </c>
      <c r="O884" s="15">
        <v>4.7619047620000003</v>
      </c>
      <c r="P884" s="9">
        <v>15.994999999999999</v>
      </c>
      <c r="Q884" s="11">
        <v>9.9</v>
      </c>
    </row>
    <row r="885" spans="1:17" x14ac:dyDescent="0.25">
      <c r="A885" s="5" t="s">
        <v>913</v>
      </c>
      <c r="B885" s="7" t="s">
        <v>13</v>
      </c>
      <c r="C885" s="7" t="s">
        <v>14</v>
      </c>
      <c r="D885" s="7" t="s">
        <v>15</v>
      </c>
      <c r="E885" s="7" t="s">
        <v>16</v>
      </c>
      <c r="F885" s="7" t="s">
        <v>26</v>
      </c>
      <c r="G885" s="9">
        <v>34.42</v>
      </c>
      <c r="H885" s="13">
        <v>6</v>
      </c>
      <c r="I885" s="17">
        <v>10.326000000000001</v>
      </c>
      <c r="J885" s="9">
        <v>216.846</v>
      </c>
      <c r="K885" s="21">
        <v>43554</v>
      </c>
      <c r="L885" s="3">
        <v>0.53125</v>
      </c>
      <c r="M885" s="7" t="s">
        <v>18</v>
      </c>
      <c r="N885" s="19">
        <v>206.52</v>
      </c>
      <c r="O885" s="15">
        <v>4.7619047620000003</v>
      </c>
      <c r="P885" s="9">
        <v>10.326000000000001</v>
      </c>
      <c r="Q885" s="11">
        <v>7.5</v>
      </c>
    </row>
    <row r="886" spans="1:17" x14ac:dyDescent="0.25">
      <c r="A886" s="5" t="s">
        <v>914</v>
      </c>
      <c r="B886" s="7" t="s">
        <v>13</v>
      </c>
      <c r="C886" s="7" t="s">
        <v>14</v>
      </c>
      <c r="D886" s="7" t="s">
        <v>15</v>
      </c>
      <c r="E886" s="7" t="s">
        <v>16</v>
      </c>
      <c r="F886" s="7" t="s">
        <v>38</v>
      </c>
      <c r="G886" s="9">
        <v>83.34</v>
      </c>
      <c r="H886" s="13">
        <v>2</v>
      </c>
      <c r="I886" s="17">
        <v>8.3339999999999996</v>
      </c>
      <c r="J886" s="9">
        <v>175.01400000000001</v>
      </c>
      <c r="K886" s="21">
        <v>43543</v>
      </c>
      <c r="L886" s="3">
        <v>0.56736111111111109</v>
      </c>
      <c r="M886" s="7" t="s">
        <v>23</v>
      </c>
      <c r="N886" s="19">
        <v>166.68</v>
      </c>
      <c r="O886" s="15">
        <v>4.7619047620000003</v>
      </c>
      <c r="P886" s="9">
        <v>8.3339999999999996</v>
      </c>
      <c r="Q886" s="11">
        <v>7.6</v>
      </c>
    </row>
    <row r="887" spans="1:17" x14ac:dyDescent="0.25">
      <c r="A887" s="5" t="s">
        <v>915</v>
      </c>
      <c r="B887" s="7" t="s">
        <v>13</v>
      </c>
      <c r="C887" s="7" t="s">
        <v>14</v>
      </c>
      <c r="D887" s="7" t="s">
        <v>21</v>
      </c>
      <c r="E887" s="7" t="s">
        <v>25</v>
      </c>
      <c r="F887" s="7" t="s">
        <v>30</v>
      </c>
      <c r="G887" s="9">
        <v>45.58</v>
      </c>
      <c r="H887" s="13">
        <v>7</v>
      </c>
      <c r="I887" s="17">
        <v>15.952999999999999</v>
      </c>
      <c r="J887" s="9">
        <v>335.01299999999998</v>
      </c>
      <c r="K887" s="21">
        <v>43478</v>
      </c>
      <c r="L887" s="3">
        <v>0.41875000000000001</v>
      </c>
      <c r="M887" s="7" t="s">
        <v>23</v>
      </c>
      <c r="N887" s="19">
        <v>319.06</v>
      </c>
      <c r="O887" s="15">
        <v>4.7619047620000003</v>
      </c>
      <c r="P887" s="9">
        <v>15.952999999999999</v>
      </c>
      <c r="Q887" s="11">
        <v>5</v>
      </c>
    </row>
    <row r="888" spans="1:17" x14ac:dyDescent="0.25">
      <c r="A888" s="5" t="s">
        <v>916</v>
      </c>
      <c r="B888" s="7" t="s">
        <v>13</v>
      </c>
      <c r="C888" s="7" t="s">
        <v>14</v>
      </c>
      <c r="D888" s="7" t="s">
        <v>15</v>
      </c>
      <c r="E888" s="7" t="s">
        <v>25</v>
      </c>
      <c r="F888" s="7" t="s">
        <v>38</v>
      </c>
      <c r="G888" s="9">
        <v>87.9</v>
      </c>
      <c r="H888" s="13">
        <v>1</v>
      </c>
      <c r="I888" s="17">
        <v>4.3949999999999996</v>
      </c>
      <c r="J888" s="9">
        <v>92.295000000000002</v>
      </c>
      <c r="K888" s="21">
        <v>43501</v>
      </c>
      <c r="L888" s="3">
        <v>0.8208333333333333</v>
      </c>
      <c r="M888" s="7" t="s">
        <v>18</v>
      </c>
      <c r="N888" s="19">
        <v>87.9</v>
      </c>
      <c r="O888" s="15">
        <v>4.7619047620000003</v>
      </c>
      <c r="P888" s="9">
        <v>4.3949999999999996</v>
      </c>
      <c r="Q888" s="11">
        <v>6.7</v>
      </c>
    </row>
    <row r="889" spans="1:17" x14ac:dyDescent="0.25">
      <c r="A889" s="5" t="s">
        <v>917</v>
      </c>
      <c r="B889" s="7" t="s">
        <v>13</v>
      </c>
      <c r="C889" s="7" t="s">
        <v>14</v>
      </c>
      <c r="D889" s="7" t="s">
        <v>15</v>
      </c>
      <c r="E889" s="7" t="s">
        <v>16</v>
      </c>
      <c r="F889" s="7" t="s">
        <v>22</v>
      </c>
      <c r="G889" s="9">
        <v>73.47</v>
      </c>
      <c r="H889" s="13">
        <v>10</v>
      </c>
      <c r="I889" s="17">
        <v>36.734999999999999</v>
      </c>
      <c r="J889" s="9">
        <v>771.43499999999995</v>
      </c>
      <c r="K889" s="21">
        <v>43547</v>
      </c>
      <c r="L889" s="3">
        <v>0.55138888888888893</v>
      </c>
      <c r="M889" s="7" t="s">
        <v>18</v>
      </c>
      <c r="N889" s="19">
        <v>734.7</v>
      </c>
      <c r="O889" s="15">
        <v>4.7619047620000003</v>
      </c>
      <c r="P889" s="9">
        <v>36.734999999999999</v>
      </c>
      <c r="Q889" s="11">
        <v>9.5</v>
      </c>
    </row>
    <row r="890" spans="1:17" x14ac:dyDescent="0.25">
      <c r="A890" s="5" t="s">
        <v>918</v>
      </c>
      <c r="B890" s="7" t="s">
        <v>20</v>
      </c>
      <c r="C890" s="7" t="s">
        <v>1034</v>
      </c>
      <c r="D890" s="7" t="s">
        <v>21</v>
      </c>
      <c r="E890" s="7" t="s">
        <v>16</v>
      </c>
      <c r="F890" s="7" t="s">
        <v>40</v>
      </c>
      <c r="G890" s="9">
        <v>12.19</v>
      </c>
      <c r="H890" s="13">
        <v>8</v>
      </c>
      <c r="I890" s="17">
        <v>4.8760000000000003</v>
      </c>
      <c r="J890" s="9">
        <v>102.396</v>
      </c>
      <c r="K890" s="21">
        <v>43537</v>
      </c>
      <c r="L890" s="3">
        <v>0.53263888888888888</v>
      </c>
      <c r="M890" s="7" t="s">
        <v>18</v>
      </c>
      <c r="N890" s="19">
        <v>97.52</v>
      </c>
      <c r="O890" s="15">
        <v>4.7619047620000003</v>
      </c>
      <c r="P890" s="9">
        <v>4.8760000000000003</v>
      </c>
      <c r="Q890" s="11">
        <v>6.8</v>
      </c>
    </row>
    <row r="891" spans="1:17" x14ac:dyDescent="0.25">
      <c r="A891" s="5" t="s">
        <v>919</v>
      </c>
      <c r="B891" s="7" t="s">
        <v>13</v>
      </c>
      <c r="C891" s="7" t="s">
        <v>14</v>
      </c>
      <c r="D891" s="7" t="s">
        <v>15</v>
      </c>
      <c r="E891" s="7" t="s">
        <v>25</v>
      </c>
      <c r="F891" s="7" t="s">
        <v>30</v>
      </c>
      <c r="G891" s="9">
        <v>76.92</v>
      </c>
      <c r="H891" s="13">
        <v>10</v>
      </c>
      <c r="I891" s="17">
        <v>38.46</v>
      </c>
      <c r="J891" s="9">
        <v>807.66</v>
      </c>
      <c r="K891" s="21">
        <v>43541</v>
      </c>
      <c r="L891" s="3">
        <v>0.82847222222222228</v>
      </c>
      <c r="M891" s="7" t="s">
        <v>18</v>
      </c>
      <c r="N891" s="19">
        <v>769.2</v>
      </c>
      <c r="O891" s="15">
        <v>4.7619047620000003</v>
      </c>
      <c r="P891" s="9">
        <v>38.46</v>
      </c>
      <c r="Q891" s="11">
        <v>5.6</v>
      </c>
    </row>
    <row r="892" spans="1:17" x14ac:dyDescent="0.25">
      <c r="A892" s="5" t="s">
        <v>920</v>
      </c>
      <c r="B892" s="7" t="s">
        <v>20</v>
      </c>
      <c r="C892" s="7" t="s">
        <v>1034</v>
      </c>
      <c r="D892" s="7" t="s">
        <v>21</v>
      </c>
      <c r="E892" s="7" t="s">
        <v>16</v>
      </c>
      <c r="F892" s="7" t="s">
        <v>17</v>
      </c>
      <c r="G892" s="9">
        <v>83.66</v>
      </c>
      <c r="H892" s="13">
        <v>5</v>
      </c>
      <c r="I892" s="17">
        <v>20.914999999999999</v>
      </c>
      <c r="J892" s="9">
        <v>439.21499999999997</v>
      </c>
      <c r="K892" s="21">
        <v>43517</v>
      </c>
      <c r="L892" s="3">
        <v>0.43472222222222223</v>
      </c>
      <c r="M892" s="7" t="s">
        <v>23</v>
      </c>
      <c r="N892" s="19">
        <v>418.3</v>
      </c>
      <c r="O892" s="15">
        <v>4.7619047620000003</v>
      </c>
      <c r="P892" s="9">
        <v>20.914999999999999</v>
      </c>
      <c r="Q892" s="11">
        <v>7.2</v>
      </c>
    </row>
    <row r="893" spans="1:17" x14ac:dyDescent="0.25">
      <c r="A893" s="5" t="s">
        <v>921</v>
      </c>
      <c r="B893" s="7" t="s">
        <v>36</v>
      </c>
      <c r="C893" s="7" t="s">
        <v>37</v>
      </c>
      <c r="D893" s="7" t="s">
        <v>21</v>
      </c>
      <c r="E893" s="7" t="s">
        <v>16</v>
      </c>
      <c r="F893" s="7" t="s">
        <v>22</v>
      </c>
      <c r="G893" s="9">
        <v>57.91</v>
      </c>
      <c r="H893" s="13">
        <v>8</v>
      </c>
      <c r="I893" s="17">
        <v>23.164000000000001</v>
      </c>
      <c r="J893" s="9">
        <v>486.44400000000002</v>
      </c>
      <c r="K893" s="21">
        <v>43503</v>
      </c>
      <c r="L893" s="3">
        <v>0.62916666666666665</v>
      </c>
      <c r="M893" s="7" t="s">
        <v>23</v>
      </c>
      <c r="N893" s="19">
        <v>463.28</v>
      </c>
      <c r="O893" s="15">
        <v>4.7619047620000003</v>
      </c>
      <c r="P893" s="9">
        <v>23.164000000000001</v>
      </c>
      <c r="Q893" s="11">
        <v>8.1</v>
      </c>
    </row>
    <row r="894" spans="1:17" x14ac:dyDescent="0.25">
      <c r="A894" s="5" t="s">
        <v>922</v>
      </c>
      <c r="B894" s="7" t="s">
        <v>20</v>
      </c>
      <c r="C894" s="7" t="s">
        <v>1034</v>
      </c>
      <c r="D894" s="7" t="s">
        <v>15</v>
      </c>
      <c r="E894" s="7" t="s">
        <v>16</v>
      </c>
      <c r="F894" s="7" t="s">
        <v>40</v>
      </c>
      <c r="G894" s="9">
        <v>92.49</v>
      </c>
      <c r="H894" s="13">
        <v>5</v>
      </c>
      <c r="I894" s="17">
        <v>23.122499999999999</v>
      </c>
      <c r="J894" s="9">
        <v>485.57249999999999</v>
      </c>
      <c r="K894" s="21">
        <v>43526</v>
      </c>
      <c r="L894" s="3">
        <v>0.69097222222222221</v>
      </c>
      <c r="M894" s="7" t="s">
        <v>27</v>
      </c>
      <c r="N894" s="19">
        <v>462.45</v>
      </c>
      <c r="O894" s="15">
        <v>4.7619047620000003</v>
      </c>
      <c r="P894" s="9">
        <v>23.122499999999999</v>
      </c>
      <c r="Q894" s="11">
        <v>8.6</v>
      </c>
    </row>
    <row r="895" spans="1:17" x14ac:dyDescent="0.25">
      <c r="A895" s="5" t="s">
        <v>923</v>
      </c>
      <c r="B895" s="7" t="s">
        <v>36</v>
      </c>
      <c r="C895" s="7" t="s">
        <v>37</v>
      </c>
      <c r="D895" s="7" t="s">
        <v>21</v>
      </c>
      <c r="E895" s="7" t="s">
        <v>25</v>
      </c>
      <c r="F895" s="7" t="s">
        <v>22</v>
      </c>
      <c r="G895" s="9">
        <v>28.38</v>
      </c>
      <c r="H895" s="13">
        <v>5</v>
      </c>
      <c r="I895" s="17">
        <v>7.0949999999999998</v>
      </c>
      <c r="J895" s="9">
        <v>148.995</v>
      </c>
      <c r="K895" s="21">
        <v>43530</v>
      </c>
      <c r="L895" s="3">
        <v>0.87291666666666667</v>
      </c>
      <c r="M895" s="7" t="s">
        <v>23</v>
      </c>
      <c r="N895" s="19">
        <v>141.9</v>
      </c>
      <c r="O895" s="15">
        <v>4.7619047620000003</v>
      </c>
      <c r="P895" s="9">
        <v>7.0949999999999998</v>
      </c>
      <c r="Q895" s="11">
        <v>9.4</v>
      </c>
    </row>
    <row r="896" spans="1:17" x14ac:dyDescent="0.25">
      <c r="A896" s="5" t="s">
        <v>924</v>
      </c>
      <c r="B896" s="7" t="s">
        <v>36</v>
      </c>
      <c r="C896" s="7" t="s">
        <v>37</v>
      </c>
      <c r="D896" s="7" t="s">
        <v>15</v>
      </c>
      <c r="E896" s="7" t="s">
        <v>25</v>
      </c>
      <c r="F896" s="7" t="s">
        <v>22</v>
      </c>
      <c r="G896" s="9">
        <v>50.45</v>
      </c>
      <c r="H896" s="13">
        <v>6</v>
      </c>
      <c r="I896" s="17">
        <v>15.135</v>
      </c>
      <c r="J896" s="9">
        <v>317.83499999999998</v>
      </c>
      <c r="K896" s="21">
        <v>43502</v>
      </c>
      <c r="L896" s="3">
        <v>0.63611111111111107</v>
      </c>
      <c r="M896" s="7" t="s">
        <v>27</v>
      </c>
      <c r="N896" s="19">
        <v>302.7</v>
      </c>
      <c r="O896" s="15">
        <v>4.7619047620000003</v>
      </c>
      <c r="P896" s="9">
        <v>15.135</v>
      </c>
      <c r="Q896" s="11">
        <v>8.9</v>
      </c>
    </row>
    <row r="897" spans="1:17" x14ac:dyDescent="0.25">
      <c r="A897" s="5" t="s">
        <v>925</v>
      </c>
      <c r="B897" s="7" t="s">
        <v>36</v>
      </c>
      <c r="C897" s="7" t="s">
        <v>37</v>
      </c>
      <c r="D897" s="7" t="s">
        <v>21</v>
      </c>
      <c r="E897" s="7" t="s">
        <v>25</v>
      </c>
      <c r="F897" s="7" t="s">
        <v>17</v>
      </c>
      <c r="G897" s="9">
        <v>99.16</v>
      </c>
      <c r="H897" s="13">
        <v>8</v>
      </c>
      <c r="I897" s="17">
        <v>39.664000000000001</v>
      </c>
      <c r="J897" s="9">
        <v>832.94399999999996</v>
      </c>
      <c r="K897" s="21">
        <v>43493</v>
      </c>
      <c r="L897" s="3">
        <v>0.74097222222222225</v>
      </c>
      <c r="M897" s="7" t="s">
        <v>27</v>
      </c>
      <c r="N897" s="19">
        <v>793.28</v>
      </c>
      <c r="O897" s="15">
        <v>4.7619047620000003</v>
      </c>
      <c r="P897" s="9">
        <v>39.664000000000001</v>
      </c>
      <c r="Q897" s="11">
        <v>4.2</v>
      </c>
    </row>
    <row r="898" spans="1:17" x14ac:dyDescent="0.25">
      <c r="A898" s="5" t="s">
        <v>926</v>
      </c>
      <c r="B898" s="7" t="s">
        <v>20</v>
      </c>
      <c r="C898" s="7" t="s">
        <v>1034</v>
      </c>
      <c r="D898" s="7" t="s">
        <v>21</v>
      </c>
      <c r="E898" s="7" t="s">
        <v>25</v>
      </c>
      <c r="F898" s="7" t="s">
        <v>40</v>
      </c>
      <c r="G898" s="9">
        <v>60.74</v>
      </c>
      <c r="H898" s="13">
        <v>7</v>
      </c>
      <c r="I898" s="17">
        <v>21.259</v>
      </c>
      <c r="J898" s="9">
        <v>446.43900000000002</v>
      </c>
      <c r="K898" s="21">
        <v>43483</v>
      </c>
      <c r="L898" s="3">
        <v>0.68263888888888891</v>
      </c>
      <c r="M898" s="7" t="s">
        <v>18</v>
      </c>
      <c r="N898" s="19">
        <v>425.18</v>
      </c>
      <c r="O898" s="15">
        <v>4.7619047620000003</v>
      </c>
      <c r="P898" s="9">
        <v>21.259</v>
      </c>
      <c r="Q898" s="11">
        <v>5</v>
      </c>
    </row>
    <row r="899" spans="1:17" x14ac:dyDescent="0.25">
      <c r="A899" s="5" t="s">
        <v>927</v>
      </c>
      <c r="B899" s="7" t="s">
        <v>20</v>
      </c>
      <c r="C899" s="7" t="s">
        <v>1034</v>
      </c>
      <c r="D899" s="7" t="s">
        <v>15</v>
      </c>
      <c r="E899" s="7" t="s">
        <v>16</v>
      </c>
      <c r="F899" s="7" t="s">
        <v>38</v>
      </c>
      <c r="G899" s="9">
        <v>47.27</v>
      </c>
      <c r="H899" s="13">
        <v>6</v>
      </c>
      <c r="I899" s="17">
        <v>14.180999999999999</v>
      </c>
      <c r="J899" s="9">
        <v>297.80099999999999</v>
      </c>
      <c r="K899" s="21">
        <v>43501</v>
      </c>
      <c r="L899" s="3">
        <v>0.4284722222222222</v>
      </c>
      <c r="M899" s="7" t="s">
        <v>23</v>
      </c>
      <c r="N899" s="19">
        <v>283.62</v>
      </c>
      <c r="O899" s="15">
        <v>4.7619047620000003</v>
      </c>
      <c r="P899" s="9">
        <v>14.180999999999999</v>
      </c>
      <c r="Q899" s="11">
        <v>8.8000000000000007</v>
      </c>
    </row>
    <row r="900" spans="1:17" x14ac:dyDescent="0.25">
      <c r="A900" s="5" t="s">
        <v>928</v>
      </c>
      <c r="B900" s="7" t="s">
        <v>20</v>
      </c>
      <c r="C900" s="7" t="s">
        <v>1034</v>
      </c>
      <c r="D900" s="7" t="s">
        <v>15</v>
      </c>
      <c r="E900" s="7" t="s">
        <v>25</v>
      </c>
      <c r="F900" s="7" t="s">
        <v>17</v>
      </c>
      <c r="G900" s="9">
        <v>85.6</v>
      </c>
      <c r="H900" s="13">
        <v>7</v>
      </c>
      <c r="I900" s="17">
        <v>29.96</v>
      </c>
      <c r="J900" s="9">
        <v>629.16</v>
      </c>
      <c r="K900" s="21">
        <v>43526</v>
      </c>
      <c r="L900" s="3">
        <v>0.57638888888888884</v>
      </c>
      <c r="M900" s="7" t="s">
        <v>23</v>
      </c>
      <c r="N900" s="19">
        <v>599.20000000000005</v>
      </c>
      <c r="O900" s="15">
        <v>4.7619047620000003</v>
      </c>
      <c r="P900" s="9">
        <v>29.96</v>
      </c>
      <c r="Q900" s="11">
        <v>5.3</v>
      </c>
    </row>
    <row r="901" spans="1:17" x14ac:dyDescent="0.25">
      <c r="A901" s="5" t="s">
        <v>929</v>
      </c>
      <c r="B901" s="7" t="s">
        <v>13</v>
      </c>
      <c r="C901" s="7" t="s">
        <v>14</v>
      </c>
      <c r="D901" s="7" t="s">
        <v>15</v>
      </c>
      <c r="E901" s="7" t="s">
        <v>25</v>
      </c>
      <c r="F901" s="7" t="s">
        <v>38</v>
      </c>
      <c r="G901" s="9">
        <v>35.04</v>
      </c>
      <c r="H901" s="13">
        <v>9</v>
      </c>
      <c r="I901" s="17">
        <v>15.768000000000001</v>
      </c>
      <c r="J901" s="9">
        <v>331.12799999999999</v>
      </c>
      <c r="K901" s="21">
        <v>43505</v>
      </c>
      <c r="L901" s="3">
        <v>0.80347222222222225</v>
      </c>
      <c r="M901" s="7" t="s">
        <v>18</v>
      </c>
      <c r="N901" s="19">
        <v>315.36</v>
      </c>
      <c r="O901" s="15">
        <v>4.7619047620000003</v>
      </c>
      <c r="P901" s="9">
        <v>15.768000000000001</v>
      </c>
      <c r="Q901" s="11">
        <v>4.5999999999999996</v>
      </c>
    </row>
    <row r="902" spans="1:17" x14ac:dyDescent="0.25">
      <c r="A902" s="5" t="s">
        <v>930</v>
      </c>
      <c r="B902" s="7" t="s">
        <v>20</v>
      </c>
      <c r="C902" s="7" t="s">
        <v>1034</v>
      </c>
      <c r="D902" s="7" t="s">
        <v>15</v>
      </c>
      <c r="E902" s="7" t="s">
        <v>16</v>
      </c>
      <c r="F902" s="7" t="s">
        <v>22</v>
      </c>
      <c r="G902" s="9">
        <v>44.84</v>
      </c>
      <c r="H902" s="13">
        <v>9</v>
      </c>
      <c r="I902" s="17">
        <v>20.178000000000001</v>
      </c>
      <c r="J902" s="9">
        <v>423.738</v>
      </c>
      <c r="K902" s="21">
        <v>43479</v>
      </c>
      <c r="L902" s="3">
        <v>0.58333333333333337</v>
      </c>
      <c r="M902" s="7" t="s">
        <v>27</v>
      </c>
      <c r="N902" s="19">
        <v>403.56</v>
      </c>
      <c r="O902" s="15">
        <v>4.7619047620000003</v>
      </c>
      <c r="P902" s="9">
        <v>20.178000000000001</v>
      </c>
      <c r="Q902" s="11">
        <v>7.5</v>
      </c>
    </row>
    <row r="903" spans="1:17" x14ac:dyDescent="0.25">
      <c r="A903" s="5" t="s">
        <v>931</v>
      </c>
      <c r="B903" s="7" t="s">
        <v>36</v>
      </c>
      <c r="C903" s="7" t="s">
        <v>37</v>
      </c>
      <c r="D903" s="7" t="s">
        <v>21</v>
      </c>
      <c r="E903" s="7" t="s">
        <v>25</v>
      </c>
      <c r="F903" s="7" t="s">
        <v>26</v>
      </c>
      <c r="G903" s="9">
        <v>45.97</v>
      </c>
      <c r="H903" s="13">
        <v>4</v>
      </c>
      <c r="I903" s="17">
        <v>9.1940000000000008</v>
      </c>
      <c r="J903" s="9">
        <v>193.07400000000001</v>
      </c>
      <c r="K903" s="21">
        <v>43505</v>
      </c>
      <c r="L903" s="3">
        <v>0.50138888888888888</v>
      </c>
      <c r="M903" s="7" t="s">
        <v>18</v>
      </c>
      <c r="N903" s="19">
        <v>183.88</v>
      </c>
      <c r="O903" s="15">
        <v>4.7619047620000003</v>
      </c>
      <c r="P903" s="9">
        <v>9.1940000000000008</v>
      </c>
      <c r="Q903" s="11">
        <v>5.0999999999999996</v>
      </c>
    </row>
    <row r="904" spans="1:17" x14ac:dyDescent="0.25">
      <c r="A904" s="5" t="s">
        <v>932</v>
      </c>
      <c r="B904" s="7" t="s">
        <v>13</v>
      </c>
      <c r="C904" s="7" t="s">
        <v>14</v>
      </c>
      <c r="D904" s="7" t="s">
        <v>15</v>
      </c>
      <c r="E904" s="7" t="s">
        <v>16</v>
      </c>
      <c r="F904" s="7" t="s">
        <v>17</v>
      </c>
      <c r="G904" s="9">
        <v>27.73</v>
      </c>
      <c r="H904" s="13">
        <v>5</v>
      </c>
      <c r="I904" s="17">
        <v>6.9325000000000001</v>
      </c>
      <c r="J904" s="9">
        <v>145.58250000000001</v>
      </c>
      <c r="K904" s="21">
        <v>43550</v>
      </c>
      <c r="L904" s="3">
        <v>0.84791666666666665</v>
      </c>
      <c r="M904" s="7" t="s">
        <v>27</v>
      </c>
      <c r="N904" s="19">
        <v>138.65</v>
      </c>
      <c r="O904" s="15">
        <v>4.7619047620000003</v>
      </c>
      <c r="P904" s="9">
        <v>6.9325000000000001</v>
      </c>
      <c r="Q904" s="11">
        <v>4.2</v>
      </c>
    </row>
    <row r="905" spans="1:17" x14ac:dyDescent="0.25">
      <c r="A905" s="5" t="s">
        <v>933</v>
      </c>
      <c r="B905" s="7" t="s">
        <v>13</v>
      </c>
      <c r="C905" s="7" t="s">
        <v>14</v>
      </c>
      <c r="D905" s="7" t="s">
        <v>21</v>
      </c>
      <c r="E905" s="7" t="s">
        <v>25</v>
      </c>
      <c r="F905" s="7" t="s">
        <v>38</v>
      </c>
      <c r="G905" s="9">
        <v>11.53</v>
      </c>
      <c r="H905" s="13">
        <v>7</v>
      </c>
      <c r="I905" s="17">
        <v>4.0354999999999999</v>
      </c>
      <c r="J905" s="9">
        <v>84.745500000000007</v>
      </c>
      <c r="K905" s="21">
        <v>43493</v>
      </c>
      <c r="L905" s="3">
        <v>0.73263888888888884</v>
      </c>
      <c r="M905" s="7" t="s">
        <v>23</v>
      </c>
      <c r="N905" s="19">
        <v>80.709999999999994</v>
      </c>
      <c r="O905" s="15">
        <v>4.7619047620000003</v>
      </c>
      <c r="P905" s="9">
        <v>4.0354999999999999</v>
      </c>
      <c r="Q905" s="11">
        <v>8.1</v>
      </c>
    </row>
    <row r="906" spans="1:17" x14ac:dyDescent="0.25">
      <c r="A906" s="5" t="s">
        <v>934</v>
      </c>
      <c r="B906" s="7" t="s">
        <v>20</v>
      </c>
      <c r="C906" s="7" t="s">
        <v>1034</v>
      </c>
      <c r="D906" s="7" t="s">
        <v>21</v>
      </c>
      <c r="E906" s="7" t="s">
        <v>16</v>
      </c>
      <c r="F906" s="7" t="s">
        <v>17</v>
      </c>
      <c r="G906" s="9">
        <v>58.32</v>
      </c>
      <c r="H906" s="13">
        <v>2</v>
      </c>
      <c r="I906" s="17">
        <v>5.8319999999999999</v>
      </c>
      <c r="J906" s="9">
        <v>122.47199999999999</v>
      </c>
      <c r="K906" s="21">
        <v>43510</v>
      </c>
      <c r="L906" s="3">
        <v>0.52916666666666667</v>
      </c>
      <c r="M906" s="7" t="s">
        <v>18</v>
      </c>
      <c r="N906" s="19">
        <v>116.64</v>
      </c>
      <c r="O906" s="15">
        <v>4.7619047620000003</v>
      </c>
      <c r="P906" s="9">
        <v>5.8319999999999999</v>
      </c>
      <c r="Q906" s="11">
        <v>6</v>
      </c>
    </row>
    <row r="907" spans="1:17" x14ac:dyDescent="0.25">
      <c r="A907" s="5" t="s">
        <v>935</v>
      </c>
      <c r="B907" s="7" t="s">
        <v>20</v>
      </c>
      <c r="C907" s="7" t="s">
        <v>1034</v>
      </c>
      <c r="D907" s="7" t="s">
        <v>15</v>
      </c>
      <c r="E907" s="7" t="s">
        <v>16</v>
      </c>
      <c r="F907" s="7" t="s">
        <v>26</v>
      </c>
      <c r="G907" s="9">
        <v>78.38</v>
      </c>
      <c r="H907" s="13">
        <v>4</v>
      </c>
      <c r="I907" s="17">
        <v>15.676</v>
      </c>
      <c r="J907" s="9">
        <v>329.19600000000003</v>
      </c>
      <c r="K907" s="21">
        <v>43548</v>
      </c>
      <c r="L907" s="3">
        <v>0.74722222222222223</v>
      </c>
      <c r="M907" s="7" t="s">
        <v>23</v>
      </c>
      <c r="N907" s="19">
        <v>313.52</v>
      </c>
      <c r="O907" s="15">
        <v>4.7619047620000003</v>
      </c>
      <c r="P907" s="9">
        <v>15.676</v>
      </c>
      <c r="Q907" s="11">
        <v>7.9</v>
      </c>
    </row>
    <row r="908" spans="1:17" x14ac:dyDescent="0.25">
      <c r="A908" s="5" t="s">
        <v>936</v>
      </c>
      <c r="B908" s="7" t="s">
        <v>20</v>
      </c>
      <c r="C908" s="7" t="s">
        <v>1034</v>
      </c>
      <c r="D908" s="7" t="s">
        <v>21</v>
      </c>
      <c r="E908" s="7" t="s">
        <v>25</v>
      </c>
      <c r="F908" s="7" t="s">
        <v>17</v>
      </c>
      <c r="G908" s="9">
        <v>84.61</v>
      </c>
      <c r="H908" s="13">
        <v>10</v>
      </c>
      <c r="I908" s="17">
        <v>42.305</v>
      </c>
      <c r="J908" s="9">
        <v>888.40499999999997</v>
      </c>
      <c r="K908" s="21">
        <v>43505</v>
      </c>
      <c r="L908" s="3">
        <v>0.79027777777777775</v>
      </c>
      <c r="M908" s="7" t="s">
        <v>27</v>
      </c>
      <c r="N908" s="19">
        <v>846.1</v>
      </c>
      <c r="O908" s="15">
        <v>4.7619047620000003</v>
      </c>
      <c r="P908" s="9">
        <v>42.305</v>
      </c>
      <c r="Q908" s="11">
        <v>8.8000000000000007</v>
      </c>
    </row>
    <row r="909" spans="1:17" x14ac:dyDescent="0.25">
      <c r="A909" s="5" t="s">
        <v>937</v>
      </c>
      <c r="B909" s="7" t="s">
        <v>36</v>
      </c>
      <c r="C909" s="7" t="s">
        <v>37</v>
      </c>
      <c r="D909" s="7" t="s">
        <v>21</v>
      </c>
      <c r="E909" s="7" t="s">
        <v>16</v>
      </c>
      <c r="F909" s="7" t="s">
        <v>17</v>
      </c>
      <c r="G909" s="9">
        <v>82.88</v>
      </c>
      <c r="H909" s="13">
        <v>5</v>
      </c>
      <c r="I909" s="17">
        <v>20.72</v>
      </c>
      <c r="J909" s="9">
        <v>435.12</v>
      </c>
      <c r="K909" s="21">
        <v>43548</v>
      </c>
      <c r="L909" s="3">
        <v>0.58888888888888891</v>
      </c>
      <c r="M909" s="7" t="s">
        <v>27</v>
      </c>
      <c r="N909" s="19">
        <v>414.4</v>
      </c>
      <c r="O909" s="15">
        <v>4.7619047620000003</v>
      </c>
      <c r="P909" s="9">
        <v>20.72</v>
      </c>
      <c r="Q909" s="11">
        <v>6.6</v>
      </c>
    </row>
    <row r="910" spans="1:17" x14ac:dyDescent="0.25">
      <c r="A910" s="5" t="s">
        <v>938</v>
      </c>
      <c r="B910" s="7" t="s">
        <v>13</v>
      </c>
      <c r="C910" s="7" t="s">
        <v>14</v>
      </c>
      <c r="D910" s="7" t="s">
        <v>15</v>
      </c>
      <c r="E910" s="7" t="s">
        <v>16</v>
      </c>
      <c r="F910" s="7" t="s">
        <v>38</v>
      </c>
      <c r="G910" s="9">
        <v>79.540000000000006</v>
      </c>
      <c r="H910" s="13">
        <v>2</v>
      </c>
      <c r="I910" s="17">
        <v>7.9539999999999997</v>
      </c>
      <c r="J910" s="9">
        <v>167.03399999999999</v>
      </c>
      <c r="K910" s="21">
        <v>43551</v>
      </c>
      <c r="L910" s="3">
        <v>0.6875</v>
      </c>
      <c r="M910" s="7" t="s">
        <v>18</v>
      </c>
      <c r="N910" s="19">
        <v>159.08000000000001</v>
      </c>
      <c r="O910" s="15">
        <v>4.7619047620000003</v>
      </c>
      <c r="P910" s="9">
        <v>7.9539999999999997</v>
      </c>
      <c r="Q910" s="11">
        <v>6.2</v>
      </c>
    </row>
    <row r="911" spans="1:17" x14ac:dyDescent="0.25">
      <c r="A911" s="5" t="s">
        <v>939</v>
      </c>
      <c r="B911" s="7" t="s">
        <v>36</v>
      </c>
      <c r="C911" s="7" t="s">
        <v>37</v>
      </c>
      <c r="D911" s="7" t="s">
        <v>21</v>
      </c>
      <c r="E911" s="7" t="s">
        <v>16</v>
      </c>
      <c r="F911" s="7" t="s">
        <v>26</v>
      </c>
      <c r="G911" s="9">
        <v>49.01</v>
      </c>
      <c r="H911" s="13">
        <v>10</v>
      </c>
      <c r="I911" s="17">
        <v>24.504999999999999</v>
      </c>
      <c r="J911" s="9">
        <v>514.60500000000002</v>
      </c>
      <c r="K911" s="21">
        <v>43492</v>
      </c>
      <c r="L911" s="3">
        <v>0.44722222222222224</v>
      </c>
      <c r="M911" s="7" t="s">
        <v>27</v>
      </c>
      <c r="N911" s="19">
        <v>490.1</v>
      </c>
      <c r="O911" s="15">
        <v>4.7619047620000003</v>
      </c>
      <c r="P911" s="9">
        <v>24.504999999999999</v>
      </c>
      <c r="Q911" s="11">
        <v>4.2</v>
      </c>
    </row>
    <row r="912" spans="1:17" x14ac:dyDescent="0.25">
      <c r="A912" s="5" t="s">
        <v>940</v>
      </c>
      <c r="B912" s="7" t="s">
        <v>36</v>
      </c>
      <c r="C912" s="7" t="s">
        <v>37</v>
      </c>
      <c r="D912" s="7" t="s">
        <v>15</v>
      </c>
      <c r="E912" s="7" t="s">
        <v>16</v>
      </c>
      <c r="F912" s="7" t="s">
        <v>38</v>
      </c>
      <c r="G912" s="9">
        <v>29.15</v>
      </c>
      <c r="H912" s="13">
        <v>3</v>
      </c>
      <c r="I912" s="17">
        <v>4.3724999999999996</v>
      </c>
      <c r="J912" s="9">
        <v>91.822500000000005</v>
      </c>
      <c r="K912" s="21">
        <v>43551</v>
      </c>
      <c r="L912" s="3">
        <v>0.85347222222222219</v>
      </c>
      <c r="M912" s="7" t="s">
        <v>27</v>
      </c>
      <c r="N912" s="19">
        <v>87.45</v>
      </c>
      <c r="O912" s="15">
        <v>4.7619047620000003</v>
      </c>
      <c r="P912" s="9">
        <v>4.3724999999999996</v>
      </c>
      <c r="Q912" s="11">
        <v>7.3</v>
      </c>
    </row>
    <row r="913" spans="1:17" x14ac:dyDescent="0.25">
      <c r="A913" s="5" t="s">
        <v>941</v>
      </c>
      <c r="B913" s="7" t="s">
        <v>20</v>
      </c>
      <c r="C913" s="7" t="s">
        <v>1034</v>
      </c>
      <c r="D913" s="7" t="s">
        <v>21</v>
      </c>
      <c r="E913" s="7" t="s">
        <v>16</v>
      </c>
      <c r="F913" s="7" t="s">
        <v>22</v>
      </c>
      <c r="G913" s="9">
        <v>56.13</v>
      </c>
      <c r="H913" s="13">
        <v>4</v>
      </c>
      <c r="I913" s="17">
        <v>11.226000000000001</v>
      </c>
      <c r="J913" s="9">
        <v>235.74600000000001</v>
      </c>
      <c r="K913" s="21">
        <v>43484</v>
      </c>
      <c r="L913" s="3">
        <v>0.48819444444444443</v>
      </c>
      <c r="M913" s="7" t="s">
        <v>18</v>
      </c>
      <c r="N913" s="19">
        <v>224.52</v>
      </c>
      <c r="O913" s="15">
        <v>4.7619047620000003</v>
      </c>
      <c r="P913" s="9">
        <v>11.226000000000001</v>
      </c>
      <c r="Q913" s="11">
        <v>8.6</v>
      </c>
    </row>
    <row r="914" spans="1:17" x14ac:dyDescent="0.25">
      <c r="A914" s="5" t="s">
        <v>942</v>
      </c>
      <c r="B914" s="7" t="s">
        <v>13</v>
      </c>
      <c r="C914" s="7" t="s">
        <v>14</v>
      </c>
      <c r="D914" s="7" t="s">
        <v>21</v>
      </c>
      <c r="E914" s="7" t="s">
        <v>16</v>
      </c>
      <c r="F914" s="7" t="s">
        <v>26</v>
      </c>
      <c r="G914" s="9">
        <v>93.12</v>
      </c>
      <c r="H914" s="13">
        <v>8</v>
      </c>
      <c r="I914" s="17">
        <v>37.247999999999998</v>
      </c>
      <c r="J914" s="9">
        <v>782.20799999999997</v>
      </c>
      <c r="K914" s="21">
        <v>43503</v>
      </c>
      <c r="L914" s="3">
        <v>0.42291666666666666</v>
      </c>
      <c r="M914" s="7" t="s">
        <v>23</v>
      </c>
      <c r="N914" s="19">
        <v>744.96</v>
      </c>
      <c r="O914" s="15">
        <v>4.7619047620000003</v>
      </c>
      <c r="P914" s="9">
        <v>37.247999999999998</v>
      </c>
      <c r="Q914" s="11">
        <v>6.8</v>
      </c>
    </row>
    <row r="915" spans="1:17" x14ac:dyDescent="0.25">
      <c r="A915" s="5" t="s">
        <v>943</v>
      </c>
      <c r="B915" s="7" t="s">
        <v>13</v>
      </c>
      <c r="C915" s="7" t="s">
        <v>14</v>
      </c>
      <c r="D915" s="7" t="s">
        <v>15</v>
      </c>
      <c r="E915" s="7" t="s">
        <v>25</v>
      </c>
      <c r="F915" s="7" t="s">
        <v>40</v>
      </c>
      <c r="G915" s="9">
        <v>51.34</v>
      </c>
      <c r="H915" s="13">
        <v>8</v>
      </c>
      <c r="I915" s="17">
        <v>20.536000000000001</v>
      </c>
      <c r="J915" s="9">
        <v>431.25599999999997</v>
      </c>
      <c r="K915" s="21">
        <v>43496</v>
      </c>
      <c r="L915" s="3">
        <v>0.41666666666666669</v>
      </c>
      <c r="M915" s="7" t="s">
        <v>18</v>
      </c>
      <c r="N915" s="19">
        <v>410.72</v>
      </c>
      <c r="O915" s="15">
        <v>4.7619047620000003</v>
      </c>
      <c r="P915" s="9">
        <v>20.536000000000001</v>
      </c>
      <c r="Q915" s="11">
        <v>7.6</v>
      </c>
    </row>
    <row r="916" spans="1:17" x14ac:dyDescent="0.25">
      <c r="A916" s="5" t="s">
        <v>944</v>
      </c>
      <c r="B916" s="7" t="s">
        <v>13</v>
      </c>
      <c r="C916" s="7" t="s">
        <v>14</v>
      </c>
      <c r="D916" s="7" t="s">
        <v>15</v>
      </c>
      <c r="E916" s="7" t="s">
        <v>16</v>
      </c>
      <c r="F916" s="7" t="s">
        <v>38</v>
      </c>
      <c r="G916" s="9">
        <v>99.6</v>
      </c>
      <c r="H916" s="13">
        <v>3</v>
      </c>
      <c r="I916" s="17">
        <v>14.94</v>
      </c>
      <c r="J916" s="9">
        <v>313.74</v>
      </c>
      <c r="K916" s="21">
        <v>43521</v>
      </c>
      <c r="L916" s="3">
        <v>0.78125</v>
      </c>
      <c r="M916" s="7" t="s">
        <v>23</v>
      </c>
      <c r="N916" s="19">
        <v>298.8</v>
      </c>
      <c r="O916" s="15">
        <v>4.7619047620000003</v>
      </c>
      <c r="P916" s="9">
        <v>14.94</v>
      </c>
      <c r="Q916" s="11">
        <v>5.8</v>
      </c>
    </row>
    <row r="917" spans="1:17" x14ac:dyDescent="0.25">
      <c r="A917" s="5" t="s">
        <v>945</v>
      </c>
      <c r="B917" s="7" t="s">
        <v>20</v>
      </c>
      <c r="C917" s="7" t="s">
        <v>1034</v>
      </c>
      <c r="D917" s="7" t="s">
        <v>21</v>
      </c>
      <c r="E917" s="7" t="s">
        <v>16</v>
      </c>
      <c r="F917" s="7" t="s">
        <v>22</v>
      </c>
      <c r="G917" s="9">
        <v>35.49</v>
      </c>
      <c r="H917" s="13">
        <v>6</v>
      </c>
      <c r="I917" s="17">
        <v>10.647</v>
      </c>
      <c r="J917" s="9">
        <v>223.58699999999999</v>
      </c>
      <c r="K917" s="21">
        <v>43498</v>
      </c>
      <c r="L917" s="3">
        <v>0.52777777777777779</v>
      </c>
      <c r="M917" s="7" t="s">
        <v>23</v>
      </c>
      <c r="N917" s="19">
        <v>212.94</v>
      </c>
      <c r="O917" s="15">
        <v>4.7619047620000003</v>
      </c>
      <c r="P917" s="9">
        <v>10.647</v>
      </c>
      <c r="Q917" s="11">
        <v>4.0999999999999996</v>
      </c>
    </row>
    <row r="918" spans="1:17" x14ac:dyDescent="0.25">
      <c r="A918" s="5" t="s">
        <v>946</v>
      </c>
      <c r="B918" s="7" t="s">
        <v>20</v>
      </c>
      <c r="C918" s="7" t="s">
        <v>1034</v>
      </c>
      <c r="D918" s="7" t="s">
        <v>15</v>
      </c>
      <c r="E918" s="7" t="s">
        <v>25</v>
      </c>
      <c r="F918" s="7" t="s">
        <v>30</v>
      </c>
      <c r="G918" s="9">
        <v>42.85</v>
      </c>
      <c r="H918" s="13">
        <v>1</v>
      </c>
      <c r="I918" s="17">
        <v>2.1425000000000001</v>
      </c>
      <c r="J918" s="9">
        <v>44.9925</v>
      </c>
      <c r="K918" s="21">
        <v>43538</v>
      </c>
      <c r="L918" s="3">
        <v>0.65</v>
      </c>
      <c r="M918" s="7" t="s">
        <v>27</v>
      </c>
      <c r="N918" s="19">
        <v>42.85</v>
      </c>
      <c r="O918" s="15">
        <v>4.7619047620000003</v>
      </c>
      <c r="P918" s="9">
        <v>2.1425000000000001</v>
      </c>
      <c r="Q918" s="11">
        <v>9.3000000000000007</v>
      </c>
    </row>
    <row r="919" spans="1:17" x14ac:dyDescent="0.25">
      <c r="A919" s="5" t="s">
        <v>947</v>
      </c>
      <c r="B919" s="7" t="s">
        <v>13</v>
      </c>
      <c r="C919" s="7" t="s">
        <v>14</v>
      </c>
      <c r="D919" s="7" t="s">
        <v>21</v>
      </c>
      <c r="E919" s="7" t="s">
        <v>16</v>
      </c>
      <c r="F919" s="7" t="s">
        <v>40</v>
      </c>
      <c r="G919" s="9">
        <v>94.67</v>
      </c>
      <c r="H919" s="13">
        <v>4</v>
      </c>
      <c r="I919" s="17">
        <v>18.934000000000001</v>
      </c>
      <c r="J919" s="9">
        <v>397.61399999999998</v>
      </c>
      <c r="K919" s="21">
        <v>43535</v>
      </c>
      <c r="L919" s="3">
        <v>0.50277777777777777</v>
      </c>
      <c r="M919" s="7" t="s">
        <v>23</v>
      </c>
      <c r="N919" s="19">
        <v>378.68</v>
      </c>
      <c r="O919" s="15">
        <v>4.7619047620000003</v>
      </c>
      <c r="P919" s="9">
        <v>18.934000000000001</v>
      </c>
      <c r="Q919" s="11">
        <v>6.8</v>
      </c>
    </row>
    <row r="920" spans="1:17" x14ac:dyDescent="0.25">
      <c r="A920" s="5" t="s">
        <v>948</v>
      </c>
      <c r="B920" s="7" t="s">
        <v>36</v>
      </c>
      <c r="C920" s="7" t="s">
        <v>37</v>
      </c>
      <c r="D920" s="7" t="s">
        <v>21</v>
      </c>
      <c r="E920" s="7" t="s">
        <v>25</v>
      </c>
      <c r="F920" s="7" t="s">
        <v>26</v>
      </c>
      <c r="G920" s="9">
        <v>68.97</v>
      </c>
      <c r="H920" s="13">
        <v>3</v>
      </c>
      <c r="I920" s="17">
        <v>10.345499999999999</v>
      </c>
      <c r="J920" s="9">
        <v>217.25550000000001</v>
      </c>
      <c r="K920" s="21">
        <v>43518</v>
      </c>
      <c r="L920" s="3">
        <v>0.47638888888888886</v>
      </c>
      <c r="M920" s="7" t="s">
        <v>18</v>
      </c>
      <c r="N920" s="19">
        <v>206.91</v>
      </c>
      <c r="O920" s="15">
        <v>4.7619047620000003</v>
      </c>
      <c r="P920" s="9">
        <v>10.345499999999999</v>
      </c>
      <c r="Q920" s="11">
        <v>8.6999999999999993</v>
      </c>
    </row>
    <row r="921" spans="1:17" x14ac:dyDescent="0.25">
      <c r="A921" s="5" t="s">
        <v>949</v>
      </c>
      <c r="B921" s="7" t="s">
        <v>36</v>
      </c>
      <c r="C921" s="7" t="s">
        <v>37</v>
      </c>
      <c r="D921" s="7" t="s">
        <v>15</v>
      </c>
      <c r="E921" s="7" t="s">
        <v>16</v>
      </c>
      <c r="F921" s="7" t="s">
        <v>22</v>
      </c>
      <c r="G921" s="9">
        <v>26.26</v>
      </c>
      <c r="H921" s="13">
        <v>3</v>
      </c>
      <c r="I921" s="17">
        <v>3.9390000000000001</v>
      </c>
      <c r="J921" s="9">
        <v>82.718999999999994</v>
      </c>
      <c r="K921" s="21">
        <v>43526</v>
      </c>
      <c r="L921" s="3">
        <v>0.52500000000000002</v>
      </c>
      <c r="M921" s="7" t="s">
        <v>18</v>
      </c>
      <c r="N921" s="19">
        <v>78.78</v>
      </c>
      <c r="O921" s="15">
        <v>4.7619047620000003</v>
      </c>
      <c r="P921" s="9">
        <v>3.9390000000000001</v>
      </c>
      <c r="Q921" s="11">
        <v>6.3</v>
      </c>
    </row>
    <row r="922" spans="1:17" x14ac:dyDescent="0.25">
      <c r="A922" s="5" t="s">
        <v>950</v>
      </c>
      <c r="B922" s="7" t="s">
        <v>20</v>
      </c>
      <c r="C922" s="7" t="s">
        <v>1034</v>
      </c>
      <c r="D922" s="7" t="s">
        <v>15</v>
      </c>
      <c r="E922" s="7" t="s">
        <v>16</v>
      </c>
      <c r="F922" s="7" t="s">
        <v>26</v>
      </c>
      <c r="G922" s="9">
        <v>35.79</v>
      </c>
      <c r="H922" s="13">
        <v>9</v>
      </c>
      <c r="I922" s="17">
        <v>16.105499999999999</v>
      </c>
      <c r="J922" s="9">
        <v>338.21550000000002</v>
      </c>
      <c r="K922" s="21">
        <v>43534</v>
      </c>
      <c r="L922" s="3">
        <v>0.62916666666666665</v>
      </c>
      <c r="M922" s="7" t="s">
        <v>27</v>
      </c>
      <c r="N922" s="19">
        <v>322.11</v>
      </c>
      <c r="O922" s="15">
        <v>4.7619047620000003</v>
      </c>
      <c r="P922" s="9">
        <v>16.105499999999999</v>
      </c>
      <c r="Q922" s="11">
        <v>5.0999999999999996</v>
      </c>
    </row>
    <row r="923" spans="1:17" x14ac:dyDescent="0.25">
      <c r="A923" s="5" t="s">
        <v>951</v>
      </c>
      <c r="B923" s="7" t="s">
        <v>36</v>
      </c>
      <c r="C923" s="7" t="s">
        <v>37</v>
      </c>
      <c r="D923" s="7" t="s">
        <v>21</v>
      </c>
      <c r="E923" s="7" t="s">
        <v>16</v>
      </c>
      <c r="F923" s="7" t="s">
        <v>26</v>
      </c>
      <c r="G923" s="9">
        <v>16.37</v>
      </c>
      <c r="H923" s="13">
        <v>6</v>
      </c>
      <c r="I923" s="17">
        <v>4.9109999999999996</v>
      </c>
      <c r="J923" s="9">
        <v>103.131</v>
      </c>
      <c r="K923" s="21">
        <v>43504</v>
      </c>
      <c r="L923" s="3">
        <v>0.45694444444444443</v>
      </c>
      <c r="M923" s="7" t="s">
        <v>23</v>
      </c>
      <c r="N923" s="19">
        <v>98.22</v>
      </c>
      <c r="O923" s="15">
        <v>4.7619047620000003</v>
      </c>
      <c r="P923" s="9">
        <v>4.9109999999999996</v>
      </c>
      <c r="Q923" s="11">
        <v>7</v>
      </c>
    </row>
    <row r="924" spans="1:17" x14ac:dyDescent="0.25">
      <c r="A924" s="5" t="s">
        <v>952</v>
      </c>
      <c r="B924" s="7" t="s">
        <v>20</v>
      </c>
      <c r="C924" s="7" t="s">
        <v>1034</v>
      </c>
      <c r="D924" s="7" t="s">
        <v>15</v>
      </c>
      <c r="E924" s="7" t="s">
        <v>16</v>
      </c>
      <c r="F924" s="7" t="s">
        <v>26</v>
      </c>
      <c r="G924" s="9">
        <v>12.73</v>
      </c>
      <c r="H924" s="13">
        <v>2</v>
      </c>
      <c r="I924" s="17">
        <v>1.2729999999999999</v>
      </c>
      <c r="J924" s="9">
        <v>26.733000000000001</v>
      </c>
      <c r="K924" s="21">
        <v>43518</v>
      </c>
      <c r="L924" s="3">
        <v>0.50694444444444442</v>
      </c>
      <c r="M924" s="7" t="s">
        <v>27</v>
      </c>
      <c r="N924" s="19">
        <v>25.46</v>
      </c>
      <c r="O924" s="15">
        <v>4.7619047620000003</v>
      </c>
      <c r="P924" s="9">
        <v>1.2729999999999999</v>
      </c>
      <c r="Q924" s="11">
        <v>5.2</v>
      </c>
    </row>
    <row r="925" spans="1:17" x14ac:dyDescent="0.25">
      <c r="A925" s="5" t="s">
        <v>953</v>
      </c>
      <c r="B925" s="7" t="s">
        <v>20</v>
      </c>
      <c r="C925" s="7" t="s">
        <v>1034</v>
      </c>
      <c r="D925" s="7" t="s">
        <v>21</v>
      </c>
      <c r="E925" s="7" t="s">
        <v>16</v>
      </c>
      <c r="F925" s="7" t="s">
        <v>30</v>
      </c>
      <c r="G925" s="9">
        <v>83.14</v>
      </c>
      <c r="H925" s="13">
        <v>7</v>
      </c>
      <c r="I925" s="17">
        <v>29.099</v>
      </c>
      <c r="J925" s="9">
        <v>611.07899999999995</v>
      </c>
      <c r="K925" s="21">
        <v>43475</v>
      </c>
      <c r="L925" s="3">
        <v>0.43819444444444444</v>
      </c>
      <c r="M925" s="7" t="s">
        <v>27</v>
      </c>
      <c r="N925" s="19">
        <v>581.98</v>
      </c>
      <c r="O925" s="15">
        <v>4.7619047620000003</v>
      </c>
      <c r="P925" s="9">
        <v>29.099</v>
      </c>
      <c r="Q925" s="11">
        <v>6.6</v>
      </c>
    </row>
    <row r="926" spans="1:17" x14ac:dyDescent="0.25">
      <c r="A926" s="5" t="s">
        <v>954</v>
      </c>
      <c r="B926" s="7" t="s">
        <v>20</v>
      </c>
      <c r="C926" s="7" t="s">
        <v>1034</v>
      </c>
      <c r="D926" s="7" t="s">
        <v>15</v>
      </c>
      <c r="E926" s="7" t="s">
        <v>16</v>
      </c>
      <c r="F926" s="7" t="s">
        <v>30</v>
      </c>
      <c r="G926" s="9">
        <v>35.22</v>
      </c>
      <c r="H926" s="13">
        <v>6</v>
      </c>
      <c r="I926" s="17">
        <v>10.566000000000001</v>
      </c>
      <c r="J926" s="9">
        <v>221.886</v>
      </c>
      <c r="K926" s="21">
        <v>43538</v>
      </c>
      <c r="L926" s="3">
        <v>0.5756944444444444</v>
      </c>
      <c r="M926" s="7" t="s">
        <v>18</v>
      </c>
      <c r="N926" s="19">
        <v>211.32</v>
      </c>
      <c r="O926" s="15">
        <v>4.7619047620000003</v>
      </c>
      <c r="P926" s="9">
        <v>10.566000000000001</v>
      </c>
      <c r="Q926" s="11">
        <v>6.5</v>
      </c>
    </row>
    <row r="927" spans="1:17" x14ac:dyDescent="0.25">
      <c r="A927" s="5" t="s">
        <v>955</v>
      </c>
      <c r="B927" s="7" t="s">
        <v>36</v>
      </c>
      <c r="C927" s="7" t="s">
        <v>37</v>
      </c>
      <c r="D927" s="7" t="s">
        <v>21</v>
      </c>
      <c r="E927" s="7" t="s">
        <v>16</v>
      </c>
      <c r="F927" s="7" t="s">
        <v>22</v>
      </c>
      <c r="G927" s="9">
        <v>13.78</v>
      </c>
      <c r="H927" s="13">
        <v>4</v>
      </c>
      <c r="I927" s="17">
        <v>2.7559999999999998</v>
      </c>
      <c r="J927" s="9">
        <v>57.875999999999998</v>
      </c>
      <c r="K927" s="21">
        <v>43475</v>
      </c>
      <c r="L927" s="3">
        <v>0.46527777777777779</v>
      </c>
      <c r="M927" s="7" t="s">
        <v>18</v>
      </c>
      <c r="N927" s="19">
        <v>55.12</v>
      </c>
      <c r="O927" s="15">
        <v>4.7619047620000003</v>
      </c>
      <c r="P927" s="9">
        <v>2.7559999999999998</v>
      </c>
      <c r="Q927" s="11">
        <v>9</v>
      </c>
    </row>
    <row r="928" spans="1:17" x14ac:dyDescent="0.25">
      <c r="A928" s="5" t="s">
        <v>956</v>
      </c>
      <c r="B928" s="7" t="s">
        <v>36</v>
      </c>
      <c r="C928" s="7" t="s">
        <v>37</v>
      </c>
      <c r="D928" s="7" t="s">
        <v>15</v>
      </c>
      <c r="E928" s="7" t="s">
        <v>25</v>
      </c>
      <c r="F928" s="7" t="s">
        <v>30</v>
      </c>
      <c r="G928" s="9">
        <v>88.31</v>
      </c>
      <c r="H928" s="13">
        <v>1</v>
      </c>
      <c r="I928" s="17">
        <v>4.4154999999999998</v>
      </c>
      <c r="J928" s="9">
        <v>92.725499999999997</v>
      </c>
      <c r="K928" s="21">
        <v>43511</v>
      </c>
      <c r="L928" s="3">
        <v>0.73472222222222228</v>
      </c>
      <c r="M928" s="7" t="s">
        <v>27</v>
      </c>
      <c r="N928" s="19">
        <v>88.31</v>
      </c>
      <c r="O928" s="15">
        <v>4.7619047620000003</v>
      </c>
      <c r="P928" s="9">
        <v>4.4154999999999998</v>
      </c>
      <c r="Q928" s="11">
        <v>5.2</v>
      </c>
    </row>
    <row r="929" spans="1:17" x14ac:dyDescent="0.25">
      <c r="A929" s="5" t="s">
        <v>957</v>
      </c>
      <c r="B929" s="7" t="s">
        <v>13</v>
      </c>
      <c r="C929" s="7" t="s">
        <v>14</v>
      </c>
      <c r="D929" s="7" t="s">
        <v>15</v>
      </c>
      <c r="E929" s="7" t="s">
        <v>16</v>
      </c>
      <c r="F929" s="7" t="s">
        <v>17</v>
      </c>
      <c r="G929" s="9">
        <v>39.619999999999997</v>
      </c>
      <c r="H929" s="13">
        <v>9</v>
      </c>
      <c r="I929" s="17">
        <v>17.829000000000001</v>
      </c>
      <c r="J929" s="9">
        <v>374.40899999999999</v>
      </c>
      <c r="K929" s="21">
        <v>43478</v>
      </c>
      <c r="L929" s="3">
        <v>0.74583333333333335</v>
      </c>
      <c r="M929" s="7" t="s">
        <v>27</v>
      </c>
      <c r="N929" s="19">
        <v>356.58</v>
      </c>
      <c r="O929" s="15">
        <v>4.7619047620000003</v>
      </c>
      <c r="P929" s="9">
        <v>17.829000000000001</v>
      </c>
      <c r="Q929" s="11">
        <v>6.8</v>
      </c>
    </row>
    <row r="930" spans="1:17" x14ac:dyDescent="0.25">
      <c r="A930" s="5" t="s">
        <v>958</v>
      </c>
      <c r="B930" s="7" t="s">
        <v>36</v>
      </c>
      <c r="C930" s="7" t="s">
        <v>37</v>
      </c>
      <c r="D930" s="7" t="s">
        <v>21</v>
      </c>
      <c r="E930" s="7" t="s">
        <v>16</v>
      </c>
      <c r="F930" s="7" t="s">
        <v>22</v>
      </c>
      <c r="G930" s="9">
        <v>88.25</v>
      </c>
      <c r="H930" s="13">
        <v>9</v>
      </c>
      <c r="I930" s="17">
        <v>39.712499999999999</v>
      </c>
      <c r="J930" s="9">
        <v>833.96249999999998</v>
      </c>
      <c r="K930" s="21">
        <v>43511</v>
      </c>
      <c r="L930" s="3">
        <v>0.86875000000000002</v>
      </c>
      <c r="M930" s="7" t="s">
        <v>27</v>
      </c>
      <c r="N930" s="19">
        <v>794.25</v>
      </c>
      <c r="O930" s="15">
        <v>4.7619047620000003</v>
      </c>
      <c r="P930" s="9">
        <v>39.712499999999999</v>
      </c>
      <c r="Q930" s="11">
        <v>7.6</v>
      </c>
    </row>
    <row r="931" spans="1:17" x14ac:dyDescent="0.25">
      <c r="A931" s="5" t="s">
        <v>959</v>
      </c>
      <c r="B931" s="7" t="s">
        <v>36</v>
      </c>
      <c r="C931" s="7" t="s">
        <v>37</v>
      </c>
      <c r="D931" s="7" t="s">
        <v>21</v>
      </c>
      <c r="E931" s="7" t="s">
        <v>25</v>
      </c>
      <c r="F931" s="7" t="s">
        <v>30</v>
      </c>
      <c r="G931" s="9">
        <v>25.31</v>
      </c>
      <c r="H931" s="13">
        <v>2</v>
      </c>
      <c r="I931" s="17">
        <v>2.5310000000000001</v>
      </c>
      <c r="J931" s="9">
        <v>53.151000000000003</v>
      </c>
      <c r="K931" s="21">
        <v>43526</v>
      </c>
      <c r="L931" s="3">
        <v>0.80972222222222223</v>
      </c>
      <c r="M931" s="7" t="s">
        <v>18</v>
      </c>
      <c r="N931" s="19">
        <v>50.62</v>
      </c>
      <c r="O931" s="15">
        <v>4.7619047620000003</v>
      </c>
      <c r="P931" s="9">
        <v>2.5310000000000001</v>
      </c>
      <c r="Q931" s="11">
        <v>7.2</v>
      </c>
    </row>
    <row r="932" spans="1:17" x14ac:dyDescent="0.25">
      <c r="A932" s="5" t="s">
        <v>960</v>
      </c>
      <c r="B932" s="7" t="s">
        <v>36</v>
      </c>
      <c r="C932" s="7" t="s">
        <v>37</v>
      </c>
      <c r="D932" s="7" t="s">
        <v>21</v>
      </c>
      <c r="E932" s="7" t="s">
        <v>25</v>
      </c>
      <c r="F932" s="7" t="s">
        <v>26</v>
      </c>
      <c r="G932" s="9">
        <v>99.92</v>
      </c>
      <c r="H932" s="13">
        <v>6</v>
      </c>
      <c r="I932" s="17">
        <v>29.975999999999999</v>
      </c>
      <c r="J932" s="9">
        <v>629.49599999999998</v>
      </c>
      <c r="K932" s="21">
        <v>43548</v>
      </c>
      <c r="L932" s="3">
        <v>0.56458333333333333</v>
      </c>
      <c r="M932" s="7" t="s">
        <v>18</v>
      </c>
      <c r="N932" s="19">
        <v>599.52</v>
      </c>
      <c r="O932" s="15">
        <v>4.7619047620000003</v>
      </c>
      <c r="P932" s="9">
        <v>29.975999999999999</v>
      </c>
      <c r="Q932" s="11">
        <v>7.1</v>
      </c>
    </row>
    <row r="933" spans="1:17" x14ac:dyDescent="0.25">
      <c r="A933" s="5" t="s">
        <v>961</v>
      </c>
      <c r="B933" s="7" t="s">
        <v>20</v>
      </c>
      <c r="C933" s="7" t="s">
        <v>1034</v>
      </c>
      <c r="D933" s="7" t="s">
        <v>15</v>
      </c>
      <c r="E933" s="7" t="s">
        <v>16</v>
      </c>
      <c r="F933" s="7" t="s">
        <v>40</v>
      </c>
      <c r="G933" s="9">
        <v>83.35</v>
      </c>
      <c r="H933" s="13">
        <v>2</v>
      </c>
      <c r="I933" s="17">
        <v>8.3350000000000009</v>
      </c>
      <c r="J933" s="9">
        <v>175.035</v>
      </c>
      <c r="K933" s="21">
        <v>43498</v>
      </c>
      <c r="L933" s="3">
        <v>0.58680555555555558</v>
      </c>
      <c r="M933" s="7" t="s">
        <v>27</v>
      </c>
      <c r="N933" s="19">
        <v>166.7</v>
      </c>
      <c r="O933" s="15">
        <v>4.7619047620000003</v>
      </c>
      <c r="P933" s="9">
        <v>8.3350000000000009</v>
      </c>
      <c r="Q933" s="11">
        <v>9.5</v>
      </c>
    </row>
    <row r="934" spans="1:17" x14ac:dyDescent="0.25">
      <c r="A934" s="5" t="s">
        <v>962</v>
      </c>
      <c r="B934" s="7" t="s">
        <v>13</v>
      </c>
      <c r="C934" s="7" t="s">
        <v>14</v>
      </c>
      <c r="D934" s="7" t="s">
        <v>21</v>
      </c>
      <c r="E934" s="7" t="s">
        <v>16</v>
      </c>
      <c r="F934" s="7" t="s">
        <v>38</v>
      </c>
      <c r="G934" s="9">
        <v>74.44</v>
      </c>
      <c r="H934" s="13">
        <v>10</v>
      </c>
      <c r="I934" s="17">
        <v>37.22</v>
      </c>
      <c r="J934" s="9">
        <v>781.62</v>
      </c>
      <c r="K934" s="21">
        <v>43523</v>
      </c>
      <c r="L934" s="3">
        <v>0.4861111111111111</v>
      </c>
      <c r="M934" s="7" t="s">
        <v>18</v>
      </c>
      <c r="N934" s="19">
        <v>744.4</v>
      </c>
      <c r="O934" s="15">
        <v>4.7619047620000003</v>
      </c>
      <c r="P934" s="9">
        <v>37.22</v>
      </c>
      <c r="Q934" s="11">
        <v>5.0999999999999996</v>
      </c>
    </row>
    <row r="935" spans="1:17" x14ac:dyDescent="0.25">
      <c r="A935" s="5" t="s">
        <v>963</v>
      </c>
      <c r="B935" s="7" t="s">
        <v>20</v>
      </c>
      <c r="C935" s="7" t="s">
        <v>1034</v>
      </c>
      <c r="D935" s="7" t="s">
        <v>21</v>
      </c>
      <c r="E935" s="7" t="s">
        <v>25</v>
      </c>
      <c r="F935" s="7" t="s">
        <v>17</v>
      </c>
      <c r="G935" s="9">
        <v>64.08</v>
      </c>
      <c r="H935" s="13">
        <v>7</v>
      </c>
      <c r="I935" s="17">
        <v>22.428000000000001</v>
      </c>
      <c r="J935" s="9">
        <v>470.988</v>
      </c>
      <c r="K935" s="21">
        <v>43485</v>
      </c>
      <c r="L935" s="3">
        <v>0.51875000000000004</v>
      </c>
      <c r="M935" s="7" t="s">
        <v>18</v>
      </c>
      <c r="N935" s="19">
        <v>448.56</v>
      </c>
      <c r="O935" s="15">
        <v>4.7619047620000003</v>
      </c>
      <c r="P935" s="9">
        <v>22.428000000000001</v>
      </c>
      <c r="Q935" s="11">
        <v>7.6</v>
      </c>
    </row>
    <row r="936" spans="1:17" x14ac:dyDescent="0.25">
      <c r="A936" s="5" t="s">
        <v>964</v>
      </c>
      <c r="B936" s="7" t="s">
        <v>36</v>
      </c>
      <c r="C936" s="7" t="s">
        <v>37</v>
      </c>
      <c r="D936" s="7" t="s">
        <v>21</v>
      </c>
      <c r="E936" s="7" t="s">
        <v>16</v>
      </c>
      <c r="F936" s="7" t="s">
        <v>26</v>
      </c>
      <c r="G936" s="9">
        <v>63.15</v>
      </c>
      <c r="H936" s="13">
        <v>6</v>
      </c>
      <c r="I936" s="17">
        <v>18.945</v>
      </c>
      <c r="J936" s="9">
        <v>397.84500000000003</v>
      </c>
      <c r="K936" s="21">
        <v>43468</v>
      </c>
      <c r="L936" s="3">
        <v>0.85</v>
      </c>
      <c r="M936" s="7" t="s">
        <v>18</v>
      </c>
      <c r="N936" s="19">
        <v>378.9</v>
      </c>
      <c r="O936" s="15">
        <v>4.7619047620000003</v>
      </c>
      <c r="P936" s="9">
        <v>18.945</v>
      </c>
      <c r="Q936" s="11">
        <v>9.8000000000000007</v>
      </c>
    </row>
    <row r="937" spans="1:17" x14ac:dyDescent="0.25">
      <c r="A937" s="5" t="s">
        <v>965</v>
      </c>
      <c r="B937" s="7" t="s">
        <v>20</v>
      </c>
      <c r="C937" s="7" t="s">
        <v>1034</v>
      </c>
      <c r="D937" s="7" t="s">
        <v>15</v>
      </c>
      <c r="E937" s="7" t="s">
        <v>25</v>
      </c>
      <c r="F937" s="7" t="s">
        <v>26</v>
      </c>
      <c r="G937" s="9">
        <v>85.72</v>
      </c>
      <c r="H937" s="13">
        <v>3</v>
      </c>
      <c r="I937" s="17">
        <v>12.858000000000001</v>
      </c>
      <c r="J937" s="9">
        <v>270.01799999999997</v>
      </c>
      <c r="K937" s="21">
        <v>43489</v>
      </c>
      <c r="L937" s="3">
        <v>0.87430555555555556</v>
      </c>
      <c r="M937" s="7" t="s">
        <v>18</v>
      </c>
      <c r="N937" s="19">
        <v>257.16000000000003</v>
      </c>
      <c r="O937" s="15">
        <v>4.7619047620000003</v>
      </c>
      <c r="P937" s="9">
        <v>12.858000000000001</v>
      </c>
      <c r="Q937" s="11">
        <v>5.0999999999999996</v>
      </c>
    </row>
    <row r="938" spans="1:17" x14ac:dyDescent="0.25">
      <c r="A938" s="5" t="s">
        <v>966</v>
      </c>
      <c r="B938" s="7" t="s">
        <v>20</v>
      </c>
      <c r="C938" s="7" t="s">
        <v>1034</v>
      </c>
      <c r="D938" s="7" t="s">
        <v>21</v>
      </c>
      <c r="E938" s="7" t="s">
        <v>16</v>
      </c>
      <c r="F938" s="7" t="s">
        <v>17</v>
      </c>
      <c r="G938" s="9">
        <v>78.89</v>
      </c>
      <c r="H938" s="13">
        <v>7</v>
      </c>
      <c r="I938" s="17">
        <v>27.611499999999999</v>
      </c>
      <c r="J938" s="9">
        <v>579.8415</v>
      </c>
      <c r="K938" s="21">
        <v>43470</v>
      </c>
      <c r="L938" s="3">
        <v>0.82499999999999996</v>
      </c>
      <c r="M938" s="7" t="s">
        <v>18</v>
      </c>
      <c r="N938" s="19">
        <v>552.23</v>
      </c>
      <c r="O938" s="15">
        <v>4.7619047620000003</v>
      </c>
      <c r="P938" s="9">
        <v>27.611499999999999</v>
      </c>
      <c r="Q938" s="11">
        <v>7.5</v>
      </c>
    </row>
    <row r="939" spans="1:17" x14ac:dyDescent="0.25">
      <c r="A939" s="5" t="s">
        <v>967</v>
      </c>
      <c r="B939" s="7" t="s">
        <v>13</v>
      </c>
      <c r="C939" s="7" t="s">
        <v>14</v>
      </c>
      <c r="D939" s="7" t="s">
        <v>21</v>
      </c>
      <c r="E939" s="7" t="s">
        <v>16</v>
      </c>
      <c r="F939" s="7" t="s">
        <v>30</v>
      </c>
      <c r="G939" s="9">
        <v>89.48</v>
      </c>
      <c r="H939" s="13">
        <v>5</v>
      </c>
      <c r="I939" s="17">
        <v>22.37</v>
      </c>
      <c r="J939" s="9">
        <v>469.77</v>
      </c>
      <c r="K939" s="21">
        <v>43554</v>
      </c>
      <c r="L939" s="3">
        <v>0.42916666666666664</v>
      </c>
      <c r="M939" s="7" t="s">
        <v>23</v>
      </c>
      <c r="N939" s="19">
        <v>447.4</v>
      </c>
      <c r="O939" s="15">
        <v>4.7619047620000003</v>
      </c>
      <c r="P939" s="9">
        <v>22.37</v>
      </c>
      <c r="Q939" s="11">
        <v>7.4</v>
      </c>
    </row>
    <row r="940" spans="1:17" x14ac:dyDescent="0.25">
      <c r="A940" s="5" t="s">
        <v>968</v>
      </c>
      <c r="B940" s="7" t="s">
        <v>13</v>
      </c>
      <c r="C940" s="7" t="s">
        <v>14</v>
      </c>
      <c r="D940" s="7" t="s">
        <v>15</v>
      </c>
      <c r="E940" s="7" t="s">
        <v>16</v>
      </c>
      <c r="F940" s="7" t="s">
        <v>17</v>
      </c>
      <c r="G940" s="9">
        <v>92.09</v>
      </c>
      <c r="H940" s="13">
        <v>3</v>
      </c>
      <c r="I940" s="17">
        <v>13.813499999999999</v>
      </c>
      <c r="J940" s="9">
        <v>290.08350000000002</v>
      </c>
      <c r="K940" s="21">
        <v>43513</v>
      </c>
      <c r="L940" s="3">
        <v>0.68541666666666667</v>
      </c>
      <c r="M940" s="7" t="s">
        <v>23</v>
      </c>
      <c r="N940" s="19">
        <v>276.27</v>
      </c>
      <c r="O940" s="15">
        <v>4.7619047620000003</v>
      </c>
      <c r="P940" s="9">
        <v>13.813499999999999</v>
      </c>
      <c r="Q940" s="11">
        <v>4.2</v>
      </c>
    </row>
    <row r="941" spans="1:17" x14ac:dyDescent="0.25">
      <c r="A941" s="5" t="s">
        <v>969</v>
      </c>
      <c r="B941" s="7" t="s">
        <v>20</v>
      </c>
      <c r="C941" s="7" t="s">
        <v>1034</v>
      </c>
      <c r="D941" s="7" t="s">
        <v>21</v>
      </c>
      <c r="E941" s="7" t="s">
        <v>16</v>
      </c>
      <c r="F941" s="7" t="s">
        <v>38</v>
      </c>
      <c r="G941" s="9">
        <v>57.29</v>
      </c>
      <c r="H941" s="13">
        <v>6</v>
      </c>
      <c r="I941" s="17">
        <v>17.187000000000001</v>
      </c>
      <c r="J941" s="9">
        <v>360.92700000000002</v>
      </c>
      <c r="K941" s="21">
        <v>43545</v>
      </c>
      <c r="L941" s="3">
        <v>0.71111111111111114</v>
      </c>
      <c r="M941" s="7" t="s">
        <v>18</v>
      </c>
      <c r="N941" s="19">
        <v>343.74</v>
      </c>
      <c r="O941" s="15">
        <v>4.7619047620000003</v>
      </c>
      <c r="P941" s="9">
        <v>17.187000000000001</v>
      </c>
      <c r="Q941" s="11">
        <v>5.9</v>
      </c>
    </row>
    <row r="942" spans="1:17" x14ac:dyDescent="0.25">
      <c r="A942" s="5" t="s">
        <v>970</v>
      </c>
      <c r="B942" s="7" t="s">
        <v>13</v>
      </c>
      <c r="C942" s="7" t="s">
        <v>14</v>
      </c>
      <c r="D942" s="7" t="s">
        <v>21</v>
      </c>
      <c r="E942" s="7" t="s">
        <v>25</v>
      </c>
      <c r="F942" s="7" t="s">
        <v>38</v>
      </c>
      <c r="G942" s="9">
        <v>66.52</v>
      </c>
      <c r="H942" s="13">
        <v>4</v>
      </c>
      <c r="I942" s="17">
        <v>13.304</v>
      </c>
      <c r="J942" s="9">
        <v>279.38400000000001</v>
      </c>
      <c r="K942" s="21">
        <v>43526</v>
      </c>
      <c r="L942" s="3">
        <v>0.75972222222222219</v>
      </c>
      <c r="M942" s="7" t="s">
        <v>18</v>
      </c>
      <c r="N942" s="19">
        <v>266.08</v>
      </c>
      <c r="O942" s="15">
        <v>4.7619047620000003</v>
      </c>
      <c r="P942" s="9">
        <v>13.304</v>
      </c>
      <c r="Q942" s="11">
        <v>6.9</v>
      </c>
    </row>
    <row r="943" spans="1:17" x14ac:dyDescent="0.25">
      <c r="A943" s="5" t="s">
        <v>971</v>
      </c>
      <c r="B943" s="7" t="s">
        <v>20</v>
      </c>
      <c r="C943" s="7" t="s">
        <v>1034</v>
      </c>
      <c r="D943" s="7" t="s">
        <v>15</v>
      </c>
      <c r="E943" s="7" t="s">
        <v>25</v>
      </c>
      <c r="F943" s="7" t="s">
        <v>40</v>
      </c>
      <c r="G943" s="9">
        <v>99.82</v>
      </c>
      <c r="H943" s="13">
        <v>9</v>
      </c>
      <c r="I943" s="17">
        <v>44.918999999999997</v>
      </c>
      <c r="J943" s="9">
        <v>943.29899999999998</v>
      </c>
      <c r="K943" s="21">
        <v>43551</v>
      </c>
      <c r="L943" s="3">
        <v>0.4465277777777778</v>
      </c>
      <c r="M943" s="7" t="s">
        <v>23</v>
      </c>
      <c r="N943" s="19">
        <v>898.38</v>
      </c>
      <c r="O943" s="15">
        <v>4.7619047620000003</v>
      </c>
      <c r="P943" s="9">
        <v>44.918999999999997</v>
      </c>
      <c r="Q943" s="11">
        <v>6.6</v>
      </c>
    </row>
    <row r="944" spans="1:17" x14ac:dyDescent="0.25">
      <c r="A944" s="5" t="s">
        <v>972</v>
      </c>
      <c r="B944" s="7" t="s">
        <v>13</v>
      </c>
      <c r="C944" s="7" t="s">
        <v>14</v>
      </c>
      <c r="D944" s="7" t="s">
        <v>21</v>
      </c>
      <c r="E944" s="7" t="s">
        <v>16</v>
      </c>
      <c r="F944" s="7" t="s">
        <v>26</v>
      </c>
      <c r="G944" s="9">
        <v>45.68</v>
      </c>
      <c r="H944" s="13">
        <v>10</v>
      </c>
      <c r="I944" s="17">
        <v>22.84</v>
      </c>
      <c r="J944" s="9">
        <v>479.64</v>
      </c>
      <c r="K944" s="21">
        <v>43484</v>
      </c>
      <c r="L944" s="3">
        <v>0.8125</v>
      </c>
      <c r="M944" s="7" t="s">
        <v>18</v>
      </c>
      <c r="N944" s="19">
        <v>456.8</v>
      </c>
      <c r="O944" s="15">
        <v>4.7619047620000003</v>
      </c>
      <c r="P944" s="9">
        <v>22.84</v>
      </c>
      <c r="Q944" s="11">
        <v>5.7</v>
      </c>
    </row>
    <row r="945" spans="1:17" x14ac:dyDescent="0.25">
      <c r="A945" s="5" t="s">
        <v>973</v>
      </c>
      <c r="B945" s="7" t="s">
        <v>13</v>
      </c>
      <c r="C945" s="7" t="s">
        <v>14</v>
      </c>
      <c r="D945" s="7" t="s">
        <v>21</v>
      </c>
      <c r="E945" s="7" t="s">
        <v>25</v>
      </c>
      <c r="F945" s="7" t="s">
        <v>17</v>
      </c>
      <c r="G945" s="9">
        <v>50.79</v>
      </c>
      <c r="H945" s="13">
        <v>5</v>
      </c>
      <c r="I945" s="17">
        <v>12.6975</v>
      </c>
      <c r="J945" s="9">
        <v>266.64749999999998</v>
      </c>
      <c r="K945" s="21">
        <v>43515</v>
      </c>
      <c r="L945" s="3">
        <v>0.62013888888888891</v>
      </c>
      <c r="M945" s="7" t="s">
        <v>27</v>
      </c>
      <c r="N945" s="19">
        <v>253.95</v>
      </c>
      <c r="O945" s="15">
        <v>4.7619047620000003</v>
      </c>
      <c r="P945" s="9">
        <v>12.6975</v>
      </c>
      <c r="Q945" s="11">
        <v>5.3</v>
      </c>
    </row>
    <row r="946" spans="1:17" x14ac:dyDescent="0.25">
      <c r="A946" s="5" t="s">
        <v>974</v>
      </c>
      <c r="B946" s="7" t="s">
        <v>13</v>
      </c>
      <c r="C946" s="7" t="s">
        <v>14</v>
      </c>
      <c r="D946" s="7" t="s">
        <v>15</v>
      </c>
      <c r="E946" s="7" t="s">
        <v>25</v>
      </c>
      <c r="F946" s="7" t="s">
        <v>17</v>
      </c>
      <c r="G946" s="9">
        <v>10.08</v>
      </c>
      <c r="H946" s="13">
        <v>7</v>
      </c>
      <c r="I946" s="17">
        <v>3.528</v>
      </c>
      <c r="J946" s="9">
        <v>74.087999999999994</v>
      </c>
      <c r="K946" s="21">
        <v>43552</v>
      </c>
      <c r="L946" s="3">
        <v>0.84305555555555556</v>
      </c>
      <c r="M946" s="7" t="s">
        <v>23</v>
      </c>
      <c r="N946" s="19">
        <v>70.56</v>
      </c>
      <c r="O946" s="15">
        <v>4.7619047620000003</v>
      </c>
      <c r="P946" s="9">
        <v>3.528</v>
      </c>
      <c r="Q946" s="11">
        <v>4.2</v>
      </c>
    </row>
    <row r="947" spans="1:17" x14ac:dyDescent="0.25">
      <c r="A947" s="5" t="s">
        <v>975</v>
      </c>
      <c r="B947" s="7" t="s">
        <v>13</v>
      </c>
      <c r="C947" s="7" t="s">
        <v>14</v>
      </c>
      <c r="D947" s="7" t="s">
        <v>21</v>
      </c>
      <c r="E947" s="7" t="s">
        <v>16</v>
      </c>
      <c r="F947" s="7" t="s">
        <v>22</v>
      </c>
      <c r="G947" s="9">
        <v>93.88</v>
      </c>
      <c r="H947" s="13">
        <v>7</v>
      </c>
      <c r="I947" s="17">
        <v>32.857999999999997</v>
      </c>
      <c r="J947" s="9">
        <v>690.01800000000003</v>
      </c>
      <c r="K947" s="21">
        <v>43470</v>
      </c>
      <c r="L947" s="3">
        <v>0.49375000000000002</v>
      </c>
      <c r="M947" s="7" t="s">
        <v>27</v>
      </c>
      <c r="N947" s="19">
        <v>657.16</v>
      </c>
      <c r="O947" s="15">
        <v>4.7619047620000003</v>
      </c>
      <c r="P947" s="9">
        <v>32.857999999999997</v>
      </c>
      <c r="Q947" s="11">
        <v>7.3</v>
      </c>
    </row>
    <row r="948" spans="1:17" x14ac:dyDescent="0.25">
      <c r="A948" s="5" t="s">
        <v>976</v>
      </c>
      <c r="B948" s="7" t="s">
        <v>20</v>
      </c>
      <c r="C948" s="7" t="s">
        <v>1034</v>
      </c>
      <c r="D948" s="7" t="s">
        <v>15</v>
      </c>
      <c r="E948" s="7" t="s">
        <v>25</v>
      </c>
      <c r="F948" s="7" t="s">
        <v>22</v>
      </c>
      <c r="G948" s="9">
        <v>84.25</v>
      </c>
      <c r="H948" s="13">
        <v>2</v>
      </c>
      <c r="I948" s="17">
        <v>8.4250000000000007</v>
      </c>
      <c r="J948" s="9">
        <v>176.92500000000001</v>
      </c>
      <c r="K948" s="21">
        <v>43550</v>
      </c>
      <c r="L948" s="3">
        <v>0.59236111111111112</v>
      </c>
      <c r="M948" s="7" t="s">
        <v>27</v>
      </c>
      <c r="N948" s="19">
        <v>168.5</v>
      </c>
      <c r="O948" s="15">
        <v>4.7619047620000003</v>
      </c>
      <c r="P948" s="9">
        <v>8.4250000000000007</v>
      </c>
      <c r="Q948" s="11">
        <v>5.3</v>
      </c>
    </row>
    <row r="949" spans="1:17" x14ac:dyDescent="0.25">
      <c r="A949" s="5" t="s">
        <v>977</v>
      </c>
      <c r="B949" s="7" t="s">
        <v>36</v>
      </c>
      <c r="C949" s="7" t="s">
        <v>37</v>
      </c>
      <c r="D949" s="7" t="s">
        <v>15</v>
      </c>
      <c r="E949" s="7" t="s">
        <v>25</v>
      </c>
      <c r="F949" s="7" t="s">
        <v>40</v>
      </c>
      <c r="G949" s="9">
        <v>53.78</v>
      </c>
      <c r="H949" s="13">
        <v>1</v>
      </c>
      <c r="I949" s="17">
        <v>2.6890000000000001</v>
      </c>
      <c r="J949" s="9">
        <v>56.469000000000001</v>
      </c>
      <c r="K949" s="21">
        <v>43499</v>
      </c>
      <c r="L949" s="3">
        <v>0.84236111111111112</v>
      </c>
      <c r="M949" s="7" t="s">
        <v>18</v>
      </c>
      <c r="N949" s="19">
        <v>53.78</v>
      </c>
      <c r="O949" s="15">
        <v>4.7619047620000003</v>
      </c>
      <c r="P949" s="9">
        <v>2.6890000000000001</v>
      </c>
      <c r="Q949" s="11">
        <v>4.7</v>
      </c>
    </row>
    <row r="950" spans="1:17" x14ac:dyDescent="0.25">
      <c r="A950" s="5" t="s">
        <v>978</v>
      </c>
      <c r="B950" s="7" t="s">
        <v>20</v>
      </c>
      <c r="C950" s="7" t="s">
        <v>1034</v>
      </c>
      <c r="D950" s="7" t="s">
        <v>15</v>
      </c>
      <c r="E950" s="7" t="s">
        <v>25</v>
      </c>
      <c r="F950" s="7" t="s">
        <v>26</v>
      </c>
      <c r="G950" s="9">
        <v>35.81</v>
      </c>
      <c r="H950" s="13">
        <v>5</v>
      </c>
      <c r="I950" s="17">
        <v>8.9525000000000006</v>
      </c>
      <c r="J950" s="9">
        <v>188.0025</v>
      </c>
      <c r="K950" s="21">
        <v>43502</v>
      </c>
      <c r="L950" s="3">
        <v>0.78055555555555556</v>
      </c>
      <c r="M950" s="7" t="s">
        <v>18</v>
      </c>
      <c r="N950" s="19">
        <v>179.05</v>
      </c>
      <c r="O950" s="15">
        <v>4.7619047620000003</v>
      </c>
      <c r="P950" s="9">
        <v>8.9525000000000006</v>
      </c>
      <c r="Q950" s="11">
        <v>7.9</v>
      </c>
    </row>
    <row r="951" spans="1:17" x14ac:dyDescent="0.25">
      <c r="A951" s="5" t="s">
        <v>979</v>
      </c>
      <c r="B951" s="7" t="s">
        <v>36</v>
      </c>
      <c r="C951" s="7" t="s">
        <v>37</v>
      </c>
      <c r="D951" s="7" t="s">
        <v>21</v>
      </c>
      <c r="E951" s="7" t="s">
        <v>16</v>
      </c>
      <c r="F951" s="7" t="s">
        <v>38</v>
      </c>
      <c r="G951" s="9">
        <v>26.43</v>
      </c>
      <c r="H951" s="13">
        <v>8</v>
      </c>
      <c r="I951" s="17">
        <v>10.571999999999999</v>
      </c>
      <c r="J951" s="9">
        <v>222.012</v>
      </c>
      <c r="K951" s="21">
        <v>43520</v>
      </c>
      <c r="L951" s="3">
        <v>0.60138888888888886</v>
      </c>
      <c r="M951" s="7" t="s">
        <v>18</v>
      </c>
      <c r="N951" s="19">
        <v>211.44</v>
      </c>
      <c r="O951" s="15">
        <v>4.7619047620000003</v>
      </c>
      <c r="P951" s="9">
        <v>10.571999999999999</v>
      </c>
      <c r="Q951" s="11">
        <v>8.9</v>
      </c>
    </row>
    <row r="952" spans="1:17" x14ac:dyDescent="0.25">
      <c r="A952" s="5" t="s">
        <v>980</v>
      </c>
      <c r="B952" s="7" t="s">
        <v>36</v>
      </c>
      <c r="C952" s="7" t="s">
        <v>37</v>
      </c>
      <c r="D952" s="7" t="s">
        <v>15</v>
      </c>
      <c r="E952" s="7" t="s">
        <v>25</v>
      </c>
      <c r="F952" s="7" t="s">
        <v>17</v>
      </c>
      <c r="G952" s="9">
        <v>39.909999999999997</v>
      </c>
      <c r="H952" s="13">
        <v>3</v>
      </c>
      <c r="I952" s="17">
        <v>5.9865000000000004</v>
      </c>
      <c r="J952" s="9">
        <v>125.7165</v>
      </c>
      <c r="K952" s="21">
        <v>43517</v>
      </c>
      <c r="L952" s="3">
        <v>0.52777777777777779</v>
      </c>
      <c r="M952" s="7" t="s">
        <v>18</v>
      </c>
      <c r="N952" s="19">
        <v>119.73</v>
      </c>
      <c r="O952" s="15">
        <v>4.7619047620000003</v>
      </c>
      <c r="P952" s="9">
        <v>5.9865000000000004</v>
      </c>
      <c r="Q952" s="11">
        <v>9.3000000000000007</v>
      </c>
    </row>
    <row r="953" spans="1:17" x14ac:dyDescent="0.25">
      <c r="A953" s="5" t="s">
        <v>981</v>
      </c>
      <c r="B953" s="7" t="s">
        <v>36</v>
      </c>
      <c r="C953" s="7" t="s">
        <v>37</v>
      </c>
      <c r="D953" s="7" t="s">
        <v>15</v>
      </c>
      <c r="E953" s="7" t="s">
        <v>16</v>
      </c>
      <c r="F953" s="7" t="s">
        <v>26</v>
      </c>
      <c r="G953" s="9">
        <v>21.9</v>
      </c>
      <c r="H953" s="13">
        <v>3</v>
      </c>
      <c r="I953" s="17">
        <v>3.2850000000000001</v>
      </c>
      <c r="J953" s="9">
        <v>68.984999999999999</v>
      </c>
      <c r="K953" s="21">
        <v>43474</v>
      </c>
      <c r="L953" s="3">
        <v>0.77986111111111112</v>
      </c>
      <c r="M953" s="7" t="s">
        <v>18</v>
      </c>
      <c r="N953" s="19">
        <v>65.7</v>
      </c>
      <c r="O953" s="15">
        <v>4.7619047620000003</v>
      </c>
      <c r="P953" s="9">
        <v>3.2850000000000001</v>
      </c>
      <c r="Q953" s="11">
        <v>4.7</v>
      </c>
    </row>
    <row r="954" spans="1:17" x14ac:dyDescent="0.25">
      <c r="A954" s="5" t="s">
        <v>982</v>
      </c>
      <c r="B954" s="7" t="s">
        <v>36</v>
      </c>
      <c r="C954" s="7" t="s">
        <v>37</v>
      </c>
      <c r="D954" s="7" t="s">
        <v>15</v>
      </c>
      <c r="E954" s="7" t="s">
        <v>16</v>
      </c>
      <c r="F954" s="7" t="s">
        <v>38</v>
      </c>
      <c r="G954" s="9">
        <v>62.85</v>
      </c>
      <c r="H954" s="13">
        <v>4</v>
      </c>
      <c r="I954" s="17">
        <v>12.57</v>
      </c>
      <c r="J954" s="9">
        <v>263.97000000000003</v>
      </c>
      <c r="K954" s="21">
        <v>43521</v>
      </c>
      <c r="L954" s="3">
        <v>0.55694444444444446</v>
      </c>
      <c r="M954" s="7" t="s">
        <v>18</v>
      </c>
      <c r="N954" s="19">
        <v>251.4</v>
      </c>
      <c r="O954" s="15">
        <v>4.7619047620000003</v>
      </c>
      <c r="P954" s="9">
        <v>12.57</v>
      </c>
      <c r="Q954" s="11">
        <v>8.6999999999999993</v>
      </c>
    </row>
    <row r="955" spans="1:17" x14ac:dyDescent="0.25">
      <c r="A955" s="5" t="s">
        <v>983</v>
      </c>
      <c r="B955" s="7" t="s">
        <v>20</v>
      </c>
      <c r="C955" s="7" t="s">
        <v>1034</v>
      </c>
      <c r="D955" s="7" t="s">
        <v>15</v>
      </c>
      <c r="E955" s="7" t="s">
        <v>16</v>
      </c>
      <c r="F955" s="7" t="s">
        <v>38</v>
      </c>
      <c r="G955" s="9">
        <v>21.04</v>
      </c>
      <c r="H955" s="13">
        <v>4</v>
      </c>
      <c r="I955" s="17">
        <v>4.2080000000000002</v>
      </c>
      <c r="J955" s="9">
        <v>88.367999999999995</v>
      </c>
      <c r="K955" s="21">
        <v>43478</v>
      </c>
      <c r="L955" s="3">
        <v>0.58194444444444449</v>
      </c>
      <c r="M955" s="7" t="s">
        <v>23</v>
      </c>
      <c r="N955" s="19">
        <v>84.16</v>
      </c>
      <c r="O955" s="15">
        <v>4.7619047620000003</v>
      </c>
      <c r="P955" s="9">
        <v>4.2080000000000002</v>
      </c>
      <c r="Q955" s="11">
        <v>7.6</v>
      </c>
    </row>
    <row r="956" spans="1:17" x14ac:dyDescent="0.25">
      <c r="A956" s="5" t="s">
        <v>984</v>
      </c>
      <c r="B956" s="7" t="s">
        <v>36</v>
      </c>
      <c r="C956" s="7" t="s">
        <v>37</v>
      </c>
      <c r="D956" s="7" t="s">
        <v>15</v>
      </c>
      <c r="E956" s="7" t="s">
        <v>25</v>
      </c>
      <c r="F956" s="7" t="s">
        <v>26</v>
      </c>
      <c r="G956" s="9">
        <v>65.91</v>
      </c>
      <c r="H956" s="13">
        <v>6</v>
      </c>
      <c r="I956" s="17">
        <v>19.773</v>
      </c>
      <c r="J956" s="9">
        <v>415.233</v>
      </c>
      <c r="K956" s="21">
        <v>43505</v>
      </c>
      <c r="L956" s="3">
        <v>0.48958333333333331</v>
      </c>
      <c r="M956" s="7" t="s">
        <v>23</v>
      </c>
      <c r="N956" s="19">
        <v>395.46</v>
      </c>
      <c r="O956" s="15">
        <v>4.7619047620000003</v>
      </c>
      <c r="P956" s="9">
        <v>19.773</v>
      </c>
      <c r="Q956" s="11">
        <v>5.7</v>
      </c>
    </row>
    <row r="957" spans="1:17" x14ac:dyDescent="0.25">
      <c r="A957" s="5" t="s">
        <v>985</v>
      </c>
      <c r="B957" s="7" t="s">
        <v>13</v>
      </c>
      <c r="C957" s="7" t="s">
        <v>14</v>
      </c>
      <c r="D957" s="7" t="s">
        <v>21</v>
      </c>
      <c r="E957" s="7" t="s">
        <v>16</v>
      </c>
      <c r="F957" s="7" t="s">
        <v>40</v>
      </c>
      <c r="G957" s="9">
        <v>42.57</v>
      </c>
      <c r="H957" s="13">
        <v>7</v>
      </c>
      <c r="I957" s="17">
        <v>14.8995</v>
      </c>
      <c r="J957" s="9">
        <v>312.8895</v>
      </c>
      <c r="K957" s="21">
        <v>43471</v>
      </c>
      <c r="L957" s="3">
        <v>0.49375000000000002</v>
      </c>
      <c r="M957" s="7" t="s">
        <v>23</v>
      </c>
      <c r="N957" s="19">
        <v>297.99</v>
      </c>
      <c r="O957" s="15">
        <v>4.7619047620000003</v>
      </c>
      <c r="P957" s="9">
        <v>14.8995</v>
      </c>
      <c r="Q957" s="11">
        <v>6.8</v>
      </c>
    </row>
    <row r="958" spans="1:17" x14ac:dyDescent="0.25">
      <c r="A958" s="5" t="s">
        <v>986</v>
      </c>
      <c r="B958" s="7" t="s">
        <v>20</v>
      </c>
      <c r="C958" s="7" t="s">
        <v>1034</v>
      </c>
      <c r="D958" s="7" t="s">
        <v>15</v>
      </c>
      <c r="E958" s="7" t="s">
        <v>25</v>
      </c>
      <c r="F958" s="7" t="s">
        <v>38</v>
      </c>
      <c r="G958" s="9">
        <v>50.49</v>
      </c>
      <c r="H958" s="13">
        <v>9</v>
      </c>
      <c r="I958" s="17">
        <v>22.720500000000001</v>
      </c>
      <c r="J958" s="9">
        <v>477.13049999999998</v>
      </c>
      <c r="K958" s="21">
        <v>43475</v>
      </c>
      <c r="L958" s="3">
        <v>0.71944444444444444</v>
      </c>
      <c r="M958" s="7" t="s">
        <v>23</v>
      </c>
      <c r="N958" s="19">
        <v>454.41</v>
      </c>
      <c r="O958" s="15">
        <v>4.7619047620000003</v>
      </c>
      <c r="P958" s="9">
        <v>22.720500000000001</v>
      </c>
      <c r="Q958" s="11">
        <v>5.4</v>
      </c>
    </row>
    <row r="959" spans="1:17" x14ac:dyDescent="0.25">
      <c r="A959" s="5" t="s">
        <v>987</v>
      </c>
      <c r="B959" s="7" t="s">
        <v>36</v>
      </c>
      <c r="C959" s="7" t="s">
        <v>37</v>
      </c>
      <c r="D959" s="7" t="s">
        <v>21</v>
      </c>
      <c r="E959" s="7" t="s">
        <v>25</v>
      </c>
      <c r="F959" s="7" t="s">
        <v>22</v>
      </c>
      <c r="G959" s="9">
        <v>46.02</v>
      </c>
      <c r="H959" s="13">
        <v>6</v>
      </c>
      <c r="I959" s="17">
        <v>13.805999999999999</v>
      </c>
      <c r="J959" s="9">
        <v>289.92599999999999</v>
      </c>
      <c r="K959" s="21">
        <v>43503</v>
      </c>
      <c r="L959" s="3">
        <v>0.66319444444444442</v>
      </c>
      <c r="M959" s="7" t="s">
        <v>23</v>
      </c>
      <c r="N959" s="19">
        <v>276.12</v>
      </c>
      <c r="O959" s="15">
        <v>4.7619047620000003</v>
      </c>
      <c r="P959" s="9">
        <v>13.805999999999999</v>
      </c>
      <c r="Q959" s="11">
        <v>7.1</v>
      </c>
    </row>
    <row r="960" spans="1:17" x14ac:dyDescent="0.25">
      <c r="A960" s="5" t="s">
        <v>988</v>
      </c>
      <c r="B960" s="7" t="s">
        <v>20</v>
      </c>
      <c r="C960" s="7" t="s">
        <v>1034</v>
      </c>
      <c r="D960" s="7" t="s">
        <v>21</v>
      </c>
      <c r="E960" s="7" t="s">
        <v>16</v>
      </c>
      <c r="F960" s="7" t="s">
        <v>26</v>
      </c>
      <c r="G960" s="9">
        <v>15.8</v>
      </c>
      <c r="H960" s="13">
        <v>10</v>
      </c>
      <c r="I960" s="17">
        <v>7.9</v>
      </c>
      <c r="J960" s="9">
        <v>165.9</v>
      </c>
      <c r="K960" s="21">
        <v>43474</v>
      </c>
      <c r="L960" s="3">
        <v>0.50486111111111109</v>
      </c>
      <c r="M960" s="7" t="s">
        <v>23</v>
      </c>
      <c r="N960" s="19">
        <v>158</v>
      </c>
      <c r="O960" s="15">
        <v>4.7619047620000003</v>
      </c>
      <c r="P960" s="9">
        <v>7.9</v>
      </c>
      <c r="Q960" s="11">
        <v>7.8</v>
      </c>
    </row>
    <row r="961" spans="1:17" x14ac:dyDescent="0.25">
      <c r="A961" s="5" t="s">
        <v>989</v>
      </c>
      <c r="B961" s="7" t="s">
        <v>13</v>
      </c>
      <c r="C961" s="7" t="s">
        <v>14</v>
      </c>
      <c r="D961" s="7" t="s">
        <v>15</v>
      </c>
      <c r="E961" s="7" t="s">
        <v>16</v>
      </c>
      <c r="F961" s="7" t="s">
        <v>38</v>
      </c>
      <c r="G961" s="9">
        <v>98.66</v>
      </c>
      <c r="H961" s="13">
        <v>9</v>
      </c>
      <c r="I961" s="17">
        <v>44.396999999999998</v>
      </c>
      <c r="J961" s="9">
        <v>932.33699999999999</v>
      </c>
      <c r="K961" s="21">
        <v>43515</v>
      </c>
      <c r="L961" s="3">
        <v>0.62986111111111109</v>
      </c>
      <c r="M961" s="7" t="s">
        <v>23</v>
      </c>
      <c r="N961" s="19">
        <v>887.94</v>
      </c>
      <c r="O961" s="15">
        <v>4.7619047620000003</v>
      </c>
      <c r="P961" s="9">
        <v>44.396999999999998</v>
      </c>
      <c r="Q961" s="11">
        <v>8.4</v>
      </c>
    </row>
    <row r="962" spans="1:17" x14ac:dyDescent="0.25">
      <c r="A962" s="5" t="s">
        <v>990</v>
      </c>
      <c r="B962" s="7" t="s">
        <v>20</v>
      </c>
      <c r="C962" s="7" t="s">
        <v>1034</v>
      </c>
      <c r="D962" s="7" t="s">
        <v>15</v>
      </c>
      <c r="E962" s="7" t="s">
        <v>25</v>
      </c>
      <c r="F962" s="7" t="s">
        <v>40</v>
      </c>
      <c r="G962" s="9">
        <v>91.98</v>
      </c>
      <c r="H962" s="13">
        <v>1</v>
      </c>
      <c r="I962" s="17">
        <v>4.5990000000000002</v>
      </c>
      <c r="J962" s="9">
        <v>96.578999999999994</v>
      </c>
      <c r="K962" s="21">
        <v>43542</v>
      </c>
      <c r="L962" s="3">
        <v>0.64513888888888893</v>
      </c>
      <c r="M962" s="7" t="s">
        <v>23</v>
      </c>
      <c r="N962" s="19">
        <v>91.98</v>
      </c>
      <c r="O962" s="15">
        <v>4.7619047620000003</v>
      </c>
      <c r="P962" s="9">
        <v>4.5990000000000002</v>
      </c>
      <c r="Q962" s="11">
        <v>9.8000000000000007</v>
      </c>
    </row>
    <row r="963" spans="1:17" x14ac:dyDescent="0.25">
      <c r="A963" s="5" t="s">
        <v>991</v>
      </c>
      <c r="B963" s="7" t="s">
        <v>13</v>
      </c>
      <c r="C963" s="7" t="s">
        <v>14</v>
      </c>
      <c r="D963" s="7" t="s">
        <v>15</v>
      </c>
      <c r="E963" s="7" t="s">
        <v>25</v>
      </c>
      <c r="F963" s="7" t="s">
        <v>22</v>
      </c>
      <c r="G963" s="9">
        <v>20.89</v>
      </c>
      <c r="H963" s="13">
        <v>2</v>
      </c>
      <c r="I963" s="17">
        <v>2.089</v>
      </c>
      <c r="J963" s="9">
        <v>43.869</v>
      </c>
      <c r="K963" s="21">
        <v>43501</v>
      </c>
      <c r="L963" s="3">
        <v>0.78125</v>
      </c>
      <c r="M963" s="7" t="s">
        <v>23</v>
      </c>
      <c r="N963" s="19">
        <v>41.78</v>
      </c>
      <c r="O963" s="15">
        <v>4.7619047620000003</v>
      </c>
      <c r="P963" s="9">
        <v>2.089</v>
      </c>
      <c r="Q963" s="11">
        <v>9.8000000000000007</v>
      </c>
    </row>
    <row r="964" spans="1:17" x14ac:dyDescent="0.25">
      <c r="A964" s="5" t="s">
        <v>992</v>
      </c>
      <c r="B964" s="7" t="s">
        <v>13</v>
      </c>
      <c r="C964" s="7" t="s">
        <v>14</v>
      </c>
      <c r="D964" s="7" t="s">
        <v>21</v>
      </c>
      <c r="E964" s="7" t="s">
        <v>16</v>
      </c>
      <c r="F964" s="7" t="s">
        <v>40</v>
      </c>
      <c r="G964" s="9">
        <v>15.5</v>
      </c>
      <c r="H964" s="13">
        <v>1</v>
      </c>
      <c r="I964" s="17">
        <v>0.77500000000000002</v>
      </c>
      <c r="J964" s="9">
        <v>16.274999999999999</v>
      </c>
      <c r="K964" s="21">
        <v>43543</v>
      </c>
      <c r="L964" s="3">
        <v>0.64097222222222228</v>
      </c>
      <c r="M964" s="7" t="s">
        <v>27</v>
      </c>
      <c r="N964" s="19">
        <v>15.5</v>
      </c>
      <c r="O964" s="15">
        <v>4.7619047620000003</v>
      </c>
      <c r="P964" s="9">
        <v>0.77500000000000002</v>
      </c>
      <c r="Q964" s="11">
        <v>7.4</v>
      </c>
    </row>
    <row r="965" spans="1:17" x14ac:dyDescent="0.25">
      <c r="A965" s="5" t="s">
        <v>993</v>
      </c>
      <c r="B965" s="7" t="s">
        <v>20</v>
      </c>
      <c r="C965" s="7" t="s">
        <v>1034</v>
      </c>
      <c r="D965" s="7" t="s">
        <v>15</v>
      </c>
      <c r="E965" s="7" t="s">
        <v>25</v>
      </c>
      <c r="F965" s="7" t="s">
        <v>22</v>
      </c>
      <c r="G965" s="9">
        <v>96.82</v>
      </c>
      <c r="H965" s="13">
        <v>3</v>
      </c>
      <c r="I965" s="17">
        <v>14.523</v>
      </c>
      <c r="J965" s="9">
        <v>304.983</v>
      </c>
      <c r="K965" s="21">
        <v>43554</v>
      </c>
      <c r="L965" s="3">
        <v>0.85902777777777772</v>
      </c>
      <c r="M965" s="7" t="s">
        <v>23</v>
      </c>
      <c r="N965" s="19">
        <v>290.45999999999998</v>
      </c>
      <c r="O965" s="15">
        <v>4.7619047620000003</v>
      </c>
      <c r="P965" s="9">
        <v>14.523</v>
      </c>
      <c r="Q965" s="11">
        <v>6.7</v>
      </c>
    </row>
    <row r="966" spans="1:17" x14ac:dyDescent="0.25">
      <c r="A966" s="5" t="s">
        <v>994</v>
      </c>
      <c r="B966" s="7" t="s">
        <v>36</v>
      </c>
      <c r="C966" s="7" t="s">
        <v>37</v>
      </c>
      <c r="D966" s="7" t="s">
        <v>21</v>
      </c>
      <c r="E966" s="7" t="s">
        <v>25</v>
      </c>
      <c r="F966" s="7" t="s">
        <v>38</v>
      </c>
      <c r="G966" s="9">
        <v>33.33</v>
      </c>
      <c r="H966" s="13">
        <v>2</v>
      </c>
      <c r="I966" s="17">
        <v>3.3330000000000002</v>
      </c>
      <c r="J966" s="9">
        <v>69.992999999999995</v>
      </c>
      <c r="K966" s="21">
        <v>43491</v>
      </c>
      <c r="L966" s="3">
        <v>0.6118055555555556</v>
      </c>
      <c r="M966" s="7" t="s">
        <v>27</v>
      </c>
      <c r="N966" s="19">
        <v>66.66</v>
      </c>
      <c r="O966" s="15">
        <v>4.7619047620000003</v>
      </c>
      <c r="P966" s="9">
        <v>3.3330000000000002</v>
      </c>
      <c r="Q966" s="11">
        <v>6.4</v>
      </c>
    </row>
    <row r="967" spans="1:17" x14ac:dyDescent="0.25">
      <c r="A967" s="5" t="s">
        <v>995</v>
      </c>
      <c r="B967" s="7" t="s">
        <v>36</v>
      </c>
      <c r="C967" s="7" t="s">
        <v>37</v>
      </c>
      <c r="D967" s="7" t="s">
        <v>21</v>
      </c>
      <c r="E967" s="7" t="s">
        <v>16</v>
      </c>
      <c r="F967" s="7" t="s">
        <v>22</v>
      </c>
      <c r="G967" s="9">
        <v>38.270000000000003</v>
      </c>
      <c r="H967" s="13">
        <v>2</v>
      </c>
      <c r="I967" s="17">
        <v>3.827</v>
      </c>
      <c r="J967" s="9">
        <v>80.367000000000004</v>
      </c>
      <c r="K967" s="21">
        <v>43526</v>
      </c>
      <c r="L967" s="3">
        <v>0.76249999999999996</v>
      </c>
      <c r="M967" s="7" t="s">
        <v>27</v>
      </c>
      <c r="N967" s="19">
        <v>76.540000000000006</v>
      </c>
      <c r="O967" s="15">
        <v>4.7619047620000003</v>
      </c>
      <c r="P967" s="9">
        <v>3.827</v>
      </c>
      <c r="Q967" s="11">
        <v>5.8</v>
      </c>
    </row>
    <row r="968" spans="1:17" x14ac:dyDescent="0.25">
      <c r="A968" s="5" t="s">
        <v>996</v>
      </c>
      <c r="B968" s="7" t="s">
        <v>13</v>
      </c>
      <c r="C968" s="7" t="s">
        <v>14</v>
      </c>
      <c r="D968" s="7" t="s">
        <v>21</v>
      </c>
      <c r="E968" s="7" t="s">
        <v>16</v>
      </c>
      <c r="F968" s="7" t="s">
        <v>26</v>
      </c>
      <c r="G968" s="9">
        <v>33.299999999999997</v>
      </c>
      <c r="H968" s="13">
        <v>9</v>
      </c>
      <c r="I968" s="17">
        <v>14.984999999999999</v>
      </c>
      <c r="J968" s="9">
        <v>314.685</v>
      </c>
      <c r="K968" s="21">
        <v>43528</v>
      </c>
      <c r="L968" s="3">
        <v>0.64375000000000004</v>
      </c>
      <c r="M968" s="7" t="s">
        <v>18</v>
      </c>
      <c r="N968" s="19">
        <v>299.7</v>
      </c>
      <c r="O968" s="15">
        <v>4.7619047620000003</v>
      </c>
      <c r="P968" s="9">
        <v>14.984999999999999</v>
      </c>
      <c r="Q968" s="11">
        <v>7.2</v>
      </c>
    </row>
    <row r="969" spans="1:17" x14ac:dyDescent="0.25">
      <c r="A969" s="5" t="s">
        <v>997</v>
      </c>
      <c r="B969" s="7" t="s">
        <v>13</v>
      </c>
      <c r="C969" s="7" t="s">
        <v>14</v>
      </c>
      <c r="D969" s="7" t="s">
        <v>15</v>
      </c>
      <c r="E969" s="7" t="s">
        <v>25</v>
      </c>
      <c r="F969" s="7" t="s">
        <v>26</v>
      </c>
      <c r="G969" s="9">
        <v>81.010000000000005</v>
      </c>
      <c r="H969" s="13">
        <v>3</v>
      </c>
      <c r="I969" s="17">
        <v>12.1515</v>
      </c>
      <c r="J969" s="9">
        <v>255.1815</v>
      </c>
      <c r="K969" s="21">
        <v>43478</v>
      </c>
      <c r="L969" s="3">
        <v>0.53819444444444442</v>
      </c>
      <c r="M969" s="7" t="s">
        <v>27</v>
      </c>
      <c r="N969" s="19">
        <v>243.03</v>
      </c>
      <c r="O969" s="15">
        <v>4.7619047620000003</v>
      </c>
      <c r="P969" s="9">
        <v>12.1515</v>
      </c>
      <c r="Q969" s="11">
        <v>9.3000000000000007</v>
      </c>
    </row>
    <row r="970" spans="1:17" x14ac:dyDescent="0.25">
      <c r="A970" s="5" t="s">
        <v>998</v>
      </c>
      <c r="B970" s="7" t="s">
        <v>13</v>
      </c>
      <c r="C970" s="7" t="s">
        <v>14</v>
      </c>
      <c r="D970" s="7" t="s">
        <v>21</v>
      </c>
      <c r="E970" s="7" t="s">
        <v>16</v>
      </c>
      <c r="F970" s="7" t="s">
        <v>17</v>
      </c>
      <c r="G970" s="9">
        <v>15.8</v>
      </c>
      <c r="H970" s="13">
        <v>3</v>
      </c>
      <c r="I970" s="17">
        <v>2.37</v>
      </c>
      <c r="J970" s="9">
        <v>49.77</v>
      </c>
      <c r="K970" s="21">
        <v>43549</v>
      </c>
      <c r="L970" s="3">
        <v>0.75138888888888888</v>
      </c>
      <c r="M970" s="7" t="s">
        <v>23</v>
      </c>
      <c r="N970" s="19">
        <v>47.4</v>
      </c>
      <c r="O970" s="15">
        <v>4.7619047620000003</v>
      </c>
      <c r="P970" s="9">
        <v>2.37</v>
      </c>
      <c r="Q970" s="11">
        <v>9.5</v>
      </c>
    </row>
    <row r="971" spans="1:17" x14ac:dyDescent="0.25">
      <c r="A971" s="5" t="s">
        <v>999</v>
      </c>
      <c r="B971" s="7" t="s">
        <v>36</v>
      </c>
      <c r="C971" s="7" t="s">
        <v>37</v>
      </c>
      <c r="D971" s="7" t="s">
        <v>15</v>
      </c>
      <c r="E971" s="7" t="s">
        <v>16</v>
      </c>
      <c r="F971" s="7" t="s">
        <v>22</v>
      </c>
      <c r="G971" s="9">
        <v>34.49</v>
      </c>
      <c r="H971" s="13">
        <v>5</v>
      </c>
      <c r="I971" s="17">
        <v>8.6225000000000005</v>
      </c>
      <c r="J971" s="9">
        <v>181.07249999999999</v>
      </c>
      <c r="K971" s="21">
        <v>43535</v>
      </c>
      <c r="L971" s="3">
        <v>0.82222222222222219</v>
      </c>
      <c r="M971" s="7" t="s">
        <v>27</v>
      </c>
      <c r="N971" s="19">
        <v>172.45</v>
      </c>
      <c r="O971" s="15">
        <v>4.7619047620000003</v>
      </c>
      <c r="P971" s="9">
        <v>8.6225000000000005</v>
      </c>
      <c r="Q971" s="11">
        <v>9</v>
      </c>
    </row>
    <row r="972" spans="1:17" x14ac:dyDescent="0.25">
      <c r="A972" s="5" t="s">
        <v>1000</v>
      </c>
      <c r="B972" s="7" t="s">
        <v>36</v>
      </c>
      <c r="C972" s="7" t="s">
        <v>37</v>
      </c>
      <c r="D972" s="7" t="s">
        <v>15</v>
      </c>
      <c r="E972" s="7" t="s">
        <v>16</v>
      </c>
      <c r="F972" s="7" t="s">
        <v>38</v>
      </c>
      <c r="G972" s="9">
        <v>84.63</v>
      </c>
      <c r="H972" s="13">
        <v>10</v>
      </c>
      <c r="I972" s="17">
        <v>42.314999999999998</v>
      </c>
      <c r="J972" s="9">
        <v>888.61500000000001</v>
      </c>
      <c r="K972" s="21">
        <v>43466</v>
      </c>
      <c r="L972" s="3">
        <v>0.48333333333333334</v>
      </c>
      <c r="M972" s="7" t="s">
        <v>27</v>
      </c>
      <c r="N972" s="19">
        <v>846.3</v>
      </c>
      <c r="O972" s="15">
        <v>4.7619047620000003</v>
      </c>
      <c r="P972" s="9">
        <v>42.314999999999998</v>
      </c>
      <c r="Q972" s="11">
        <v>9</v>
      </c>
    </row>
    <row r="973" spans="1:17" x14ac:dyDescent="0.25">
      <c r="A973" s="5" t="s">
        <v>1001</v>
      </c>
      <c r="B973" s="7" t="s">
        <v>36</v>
      </c>
      <c r="C973" s="7" t="s">
        <v>37</v>
      </c>
      <c r="D973" s="7" t="s">
        <v>15</v>
      </c>
      <c r="E973" s="7" t="s">
        <v>25</v>
      </c>
      <c r="F973" s="7" t="s">
        <v>26</v>
      </c>
      <c r="G973" s="9">
        <v>36.909999999999997</v>
      </c>
      <c r="H973" s="13">
        <v>7</v>
      </c>
      <c r="I973" s="17">
        <v>12.9185</v>
      </c>
      <c r="J973" s="9">
        <v>271.2885</v>
      </c>
      <c r="K973" s="21">
        <v>43506</v>
      </c>
      <c r="L973" s="3">
        <v>0.57708333333333328</v>
      </c>
      <c r="M973" s="7" t="s">
        <v>18</v>
      </c>
      <c r="N973" s="19">
        <v>258.37</v>
      </c>
      <c r="O973" s="15">
        <v>4.7619047620000003</v>
      </c>
      <c r="P973" s="9">
        <v>12.9185</v>
      </c>
      <c r="Q973" s="11">
        <v>6.7</v>
      </c>
    </row>
    <row r="974" spans="1:17" x14ac:dyDescent="0.25">
      <c r="A974" s="5" t="s">
        <v>1002</v>
      </c>
      <c r="B974" s="7" t="s">
        <v>36</v>
      </c>
      <c r="C974" s="7" t="s">
        <v>37</v>
      </c>
      <c r="D974" s="7" t="s">
        <v>21</v>
      </c>
      <c r="E974" s="7" t="s">
        <v>25</v>
      </c>
      <c r="F974" s="7" t="s">
        <v>22</v>
      </c>
      <c r="G974" s="9">
        <v>87.08</v>
      </c>
      <c r="H974" s="13">
        <v>7</v>
      </c>
      <c r="I974" s="17">
        <v>30.478000000000002</v>
      </c>
      <c r="J974" s="9">
        <v>640.03800000000001</v>
      </c>
      <c r="K974" s="21">
        <v>43491</v>
      </c>
      <c r="L974" s="3">
        <v>0.63680555555555551</v>
      </c>
      <c r="M974" s="7" t="s">
        <v>23</v>
      </c>
      <c r="N974" s="19">
        <v>609.55999999999995</v>
      </c>
      <c r="O974" s="15">
        <v>4.7619047620000003</v>
      </c>
      <c r="P974" s="9">
        <v>30.478000000000002</v>
      </c>
      <c r="Q974" s="11">
        <v>5.5</v>
      </c>
    </row>
    <row r="975" spans="1:17" x14ac:dyDescent="0.25">
      <c r="A975" s="5" t="s">
        <v>1003</v>
      </c>
      <c r="B975" s="7" t="s">
        <v>13</v>
      </c>
      <c r="C975" s="7" t="s">
        <v>14</v>
      </c>
      <c r="D975" s="7" t="s">
        <v>21</v>
      </c>
      <c r="E975" s="7" t="s">
        <v>25</v>
      </c>
      <c r="F975" s="7" t="s">
        <v>26</v>
      </c>
      <c r="G975" s="9">
        <v>80.08</v>
      </c>
      <c r="H975" s="13">
        <v>3</v>
      </c>
      <c r="I975" s="17">
        <v>12.012</v>
      </c>
      <c r="J975" s="9">
        <v>252.25200000000001</v>
      </c>
      <c r="K975" s="21">
        <v>43507</v>
      </c>
      <c r="L975" s="3">
        <v>0.64513888888888893</v>
      </c>
      <c r="M975" s="7" t="s">
        <v>23</v>
      </c>
      <c r="N975" s="19">
        <v>240.24</v>
      </c>
      <c r="O975" s="15">
        <v>4.7619047620000003</v>
      </c>
      <c r="P975" s="9">
        <v>12.012</v>
      </c>
      <c r="Q975" s="11">
        <v>5.4</v>
      </c>
    </row>
    <row r="976" spans="1:17" x14ac:dyDescent="0.25">
      <c r="A976" s="5" t="s">
        <v>1004</v>
      </c>
      <c r="B976" s="7" t="s">
        <v>20</v>
      </c>
      <c r="C976" s="7" t="s">
        <v>1034</v>
      </c>
      <c r="D976" s="7" t="s">
        <v>21</v>
      </c>
      <c r="E976" s="7" t="s">
        <v>25</v>
      </c>
      <c r="F976" s="7" t="s">
        <v>40</v>
      </c>
      <c r="G976" s="9">
        <v>86.13</v>
      </c>
      <c r="H976" s="13">
        <v>2</v>
      </c>
      <c r="I976" s="17">
        <v>8.6129999999999995</v>
      </c>
      <c r="J976" s="9">
        <v>180.87299999999999</v>
      </c>
      <c r="K976" s="21">
        <v>43503</v>
      </c>
      <c r="L976" s="3">
        <v>0.74930555555555556</v>
      </c>
      <c r="M976" s="7" t="s">
        <v>23</v>
      </c>
      <c r="N976" s="19">
        <v>172.26</v>
      </c>
      <c r="O976" s="15">
        <v>4.7619047620000003</v>
      </c>
      <c r="P976" s="9">
        <v>8.6129999999999995</v>
      </c>
      <c r="Q976" s="11">
        <v>8.1999999999999993</v>
      </c>
    </row>
    <row r="977" spans="1:17" x14ac:dyDescent="0.25">
      <c r="A977" s="5" t="s">
        <v>1005</v>
      </c>
      <c r="B977" s="7" t="s">
        <v>36</v>
      </c>
      <c r="C977" s="7" t="s">
        <v>37</v>
      </c>
      <c r="D977" s="7" t="s">
        <v>15</v>
      </c>
      <c r="E977" s="7" t="s">
        <v>25</v>
      </c>
      <c r="F977" s="7" t="s">
        <v>40</v>
      </c>
      <c r="G977" s="9">
        <v>49.92</v>
      </c>
      <c r="H977" s="13">
        <v>2</v>
      </c>
      <c r="I977" s="17">
        <v>4.992</v>
      </c>
      <c r="J977" s="9">
        <v>104.83199999999999</v>
      </c>
      <c r="K977" s="21">
        <v>43530</v>
      </c>
      <c r="L977" s="3">
        <v>0.49652777777777779</v>
      </c>
      <c r="M977" s="7" t="s">
        <v>27</v>
      </c>
      <c r="N977" s="19">
        <v>99.84</v>
      </c>
      <c r="O977" s="15">
        <v>4.7619047620000003</v>
      </c>
      <c r="P977" s="9">
        <v>4.992</v>
      </c>
      <c r="Q977" s="11">
        <v>7</v>
      </c>
    </row>
    <row r="978" spans="1:17" x14ac:dyDescent="0.25">
      <c r="A978" s="5" t="s">
        <v>1006</v>
      </c>
      <c r="B978" s="7" t="s">
        <v>13</v>
      </c>
      <c r="C978" s="7" t="s">
        <v>14</v>
      </c>
      <c r="D978" s="7" t="s">
        <v>21</v>
      </c>
      <c r="E978" s="7" t="s">
        <v>16</v>
      </c>
      <c r="F978" s="7" t="s">
        <v>38</v>
      </c>
      <c r="G978" s="9">
        <v>74.66</v>
      </c>
      <c r="H978" s="13">
        <v>4</v>
      </c>
      <c r="I978" s="17">
        <v>14.932</v>
      </c>
      <c r="J978" s="9">
        <v>313.572</v>
      </c>
      <c r="K978" s="21">
        <v>43528</v>
      </c>
      <c r="L978" s="3">
        <v>0.44374999999999998</v>
      </c>
      <c r="M978" s="7" t="s">
        <v>23</v>
      </c>
      <c r="N978" s="19">
        <v>298.64</v>
      </c>
      <c r="O978" s="15">
        <v>4.7619047620000003</v>
      </c>
      <c r="P978" s="9">
        <v>14.932</v>
      </c>
      <c r="Q978" s="11">
        <v>8.5</v>
      </c>
    </row>
    <row r="979" spans="1:17" x14ac:dyDescent="0.25">
      <c r="A979" s="5" t="s">
        <v>1007</v>
      </c>
      <c r="B979" s="7" t="s">
        <v>36</v>
      </c>
      <c r="C979" s="7" t="s">
        <v>37</v>
      </c>
      <c r="D979" s="7" t="s">
        <v>15</v>
      </c>
      <c r="E979" s="7" t="s">
        <v>25</v>
      </c>
      <c r="F979" s="7" t="s">
        <v>38</v>
      </c>
      <c r="G979" s="9">
        <v>26.6</v>
      </c>
      <c r="H979" s="13">
        <v>6</v>
      </c>
      <c r="I979" s="17">
        <v>7.98</v>
      </c>
      <c r="J979" s="9">
        <v>167.58</v>
      </c>
      <c r="K979" s="21">
        <v>43522</v>
      </c>
      <c r="L979" s="3">
        <v>0.63194444444444442</v>
      </c>
      <c r="M979" s="7" t="s">
        <v>18</v>
      </c>
      <c r="N979" s="19">
        <v>159.6</v>
      </c>
      <c r="O979" s="15">
        <v>4.7619047620000003</v>
      </c>
      <c r="P979" s="9">
        <v>7.98</v>
      </c>
      <c r="Q979" s="11">
        <v>4.9000000000000004</v>
      </c>
    </row>
    <row r="980" spans="1:17" x14ac:dyDescent="0.25">
      <c r="A980" s="5" t="s">
        <v>1008</v>
      </c>
      <c r="B980" s="7" t="s">
        <v>36</v>
      </c>
      <c r="C980" s="7" t="s">
        <v>37</v>
      </c>
      <c r="D980" s="7" t="s">
        <v>21</v>
      </c>
      <c r="E980" s="7" t="s">
        <v>16</v>
      </c>
      <c r="F980" s="7" t="s">
        <v>22</v>
      </c>
      <c r="G980" s="9">
        <v>25.45</v>
      </c>
      <c r="H980" s="13">
        <v>1</v>
      </c>
      <c r="I980" s="17">
        <v>1.2725</v>
      </c>
      <c r="J980" s="9">
        <v>26.7225</v>
      </c>
      <c r="K980" s="21">
        <v>43534</v>
      </c>
      <c r="L980" s="3">
        <v>0.75694444444444442</v>
      </c>
      <c r="M980" s="7" t="s">
        <v>27</v>
      </c>
      <c r="N980" s="19">
        <v>25.45</v>
      </c>
      <c r="O980" s="15">
        <v>4.7619047620000003</v>
      </c>
      <c r="P980" s="9">
        <v>1.2725</v>
      </c>
      <c r="Q980" s="11">
        <v>5.0999999999999996</v>
      </c>
    </row>
    <row r="981" spans="1:17" x14ac:dyDescent="0.25">
      <c r="A981" s="5" t="s">
        <v>1009</v>
      </c>
      <c r="B981" s="7" t="s">
        <v>36</v>
      </c>
      <c r="C981" s="7" t="s">
        <v>37</v>
      </c>
      <c r="D981" s="7" t="s">
        <v>21</v>
      </c>
      <c r="E981" s="7" t="s">
        <v>16</v>
      </c>
      <c r="F981" s="7" t="s">
        <v>38</v>
      </c>
      <c r="G981" s="9">
        <v>67.77</v>
      </c>
      <c r="H981" s="13">
        <v>1</v>
      </c>
      <c r="I981" s="17">
        <v>3.3885000000000001</v>
      </c>
      <c r="J981" s="9">
        <v>71.158500000000004</v>
      </c>
      <c r="K981" s="21">
        <v>43500</v>
      </c>
      <c r="L981" s="3">
        <v>0.86319444444444449</v>
      </c>
      <c r="M981" s="7" t="s">
        <v>27</v>
      </c>
      <c r="N981" s="19">
        <v>67.77</v>
      </c>
      <c r="O981" s="15">
        <v>4.7619047620000003</v>
      </c>
      <c r="P981" s="9">
        <v>3.3885000000000001</v>
      </c>
      <c r="Q981" s="11">
        <v>6.5</v>
      </c>
    </row>
    <row r="982" spans="1:17" x14ac:dyDescent="0.25">
      <c r="A982" s="5" t="s">
        <v>1010</v>
      </c>
      <c r="B982" s="7" t="s">
        <v>20</v>
      </c>
      <c r="C982" s="7" t="s">
        <v>1034</v>
      </c>
      <c r="D982" s="7" t="s">
        <v>15</v>
      </c>
      <c r="E982" s="7" t="s">
        <v>25</v>
      </c>
      <c r="F982" s="7" t="s">
        <v>38</v>
      </c>
      <c r="G982" s="9">
        <v>59.59</v>
      </c>
      <c r="H982" s="13">
        <v>4</v>
      </c>
      <c r="I982" s="17">
        <v>11.917999999999999</v>
      </c>
      <c r="J982" s="9">
        <v>250.27799999999999</v>
      </c>
      <c r="K982" s="21">
        <v>43484</v>
      </c>
      <c r="L982" s="3">
        <v>0.53194444444444444</v>
      </c>
      <c r="M982" s="7" t="s">
        <v>23</v>
      </c>
      <c r="N982" s="19">
        <v>238.36</v>
      </c>
      <c r="O982" s="15">
        <v>4.7619047620000003</v>
      </c>
      <c r="P982" s="9">
        <v>11.917999999999999</v>
      </c>
      <c r="Q982" s="11">
        <v>9.8000000000000007</v>
      </c>
    </row>
    <row r="983" spans="1:17" x14ac:dyDescent="0.25">
      <c r="A983" s="5" t="s">
        <v>1011</v>
      </c>
      <c r="B983" s="7" t="s">
        <v>13</v>
      </c>
      <c r="C983" s="7" t="s">
        <v>14</v>
      </c>
      <c r="D983" s="7" t="s">
        <v>21</v>
      </c>
      <c r="E983" s="7" t="s">
        <v>25</v>
      </c>
      <c r="F983" s="7" t="s">
        <v>17</v>
      </c>
      <c r="G983" s="9">
        <v>58.15</v>
      </c>
      <c r="H983" s="13">
        <v>4</v>
      </c>
      <c r="I983" s="17">
        <v>11.63</v>
      </c>
      <c r="J983" s="9">
        <v>244.23</v>
      </c>
      <c r="K983" s="21">
        <v>43488</v>
      </c>
      <c r="L983" s="3">
        <v>0.73888888888888893</v>
      </c>
      <c r="M983" s="7" t="s">
        <v>23</v>
      </c>
      <c r="N983" s="19">
        <v>232.6</v>
      </c>
      <c r="O983" s="15">
        <v>4.7619047620000003</v>
      </c>
      <c r="P983" s="9">
        <v>11.63</v>
      </c>
      <c r="Q983" s="11">
        <v>8.4</v>
      </c>
    </row>
    <row r="984" spans="1:17" x14ac:dyDescent="0.25">
      <c r="A984" s="5" t="s">
        <v>1012</v>
      </c>
      <c r="B984" s="7" t="s">
        <v>13</v>
      </c>
      <c r="C984" s="7" t="s">
        <v>14</v>
      </c>
      <c r="D984" s="7" t="s">
        <v>15</v>
      </c>
      <c r="E984" s="7" t="s">
        <v>16</v>
      </c>
      <c r="F984" s="7" t="s">
        <v>30</v>
      </c>
      <c r="G984" s="9">
        <v>97.48</v>
      </c>
      <c r="H984" s="13">
        <v>9</v>
      </c>
      <c r="I984" s="17">
        <v>43.866</v>
      </c>
      <c r="J984" s="9">
        <v>921.18600000000004</v>
      </c>
      <c r="K984" s="21">
        <v>43538</v>
      </c>
      <c r="L984" s="3">
        <v>0.59652777777777777</v>
      </c>
      <c r="M984" s="7" t="s">
        <v>18</v>
      </c>
      <c r="N984" s="19">
        <v>877.32</v>
      </c>
      <c r="O984" s="15">
        <v>4.7619047620000003</v>
      </c>
      <c r="P984" s="9">
        <v>43.866</v>
      </c>
      <c r="Q984" s="11">
        <v>7.4</v>
      </c>
    </row>
    <row r="985" spans="1:17" x14ac:dyDescent="0.25">
      <c r="A985" s="5" t="s">
        <v>1013</v>
      </c>
      <c r="B985" s="7" t="s">
        <v>20</v>
      </c>
      <c r="C985" s="7" t="s">
        <v>1034</v>
      </c>
      <c r="D985" s="7" t="s">
        <v>21</v>
      </c>
      <c r="E985" s="7" t="s">
        <v>25</v>
      </c>
      <c r="F985" s="7" t="s">
        <v>17</v>
      </c>
      <c r="G985" s="9">
        <v>99.96</v>
      </c>
      <c r="H985" s="13">
        <v>7</v>
      </c>
      <c r="I985" s="17">
        <v>34.985999999999997</v>
      </c>
      <c r="J985" s="9">
        <v>734.70600000000002</v>
      </c>
      <c r="K985" s="21">
        <v>43488</v>
      </c>
      <c r="L985" s="3">
        <v>0.43958333333333333</v>
      </c>
      <c r="M985" s="7" t="s">
        <v>23</v>
      </c>
      <c r="N985" s="19">
        <v>699.72</v>
      </c>
      <c r="O985" s="15">
        <v>4.7619047620000003</v>
      </c>
      <c r="P985" s="9">
        <v>34.985999999999997</v>
      </c>
      <c r="Q985" s="11">
        <v>6.1</v>
      </c>
    </row>
    <row r="986" spans="1:17" x14ac:dyDescent="0.25">
      <c r="A986" s="5" t="s">
        <v>1014</v>
      </c>
      <c r="B986" s="7" t="s">
        <v>20</v>
      </c>
      <c r="C986" s="7" t="s">
        <v>1034</v>
      </c>
      <c r="D986" s="7" t="s">
        <v>21</v>
      </c>
      <c r="E986" s="7" t="s">
        <v>25</v>
      </c>
      <c r="F986" s="7" t="s">
        <v>22</v>
      </c>
      <c r="G986" s="9">
        <v>96.37</v>
      </c>
      <c r="H986" s="13">
        <v>7</v>
      </c>
      <c r="I986" s="17">
        <v>33.729500000000002</v>
      </c>
      <c r="J986" s="9">
        <v>708.31949999999995</v>
      </c>
      <c r="K986" s="21">
        <v>43474</v>
      </c>
      <c r="L986" s="3">
        <v>0.4861111111111111</v>
      </c>
      <c r="M986" s="7" t="s">
        <v>23</v>
      </c>
      <c r="N986" s="19">
        <v>674.59</v>
      </c>
      <c r="O986" s="15">
        <v>4.7619047620000003</v>
      </c>
      <c r="P986" s="9">
        <v>33.729500000000002</v>
      </c>
      <c r="Q986" s="11">
        <v>6</v>
      </c>
    </row>
    <row r="987" spans="1:17" x14ac:dyDescent="0.25">
      <c r="A987" s="5" t="s">
        <v>1015</v>
      </c>
      <c r="B987" s="7" t="s">
        <v>36</v>
      </c>
      <c r="C987" s="7" t="s">
        <v>37</v>
      </c>
      <c r="D987" s="7" t="s">
        <v>21</v>
      </c>
      <c r="E987" s="7" t="s">
        <v>16</v>
      </c>
      <c r="F987" s="7" t="s">
        <v>40</v>
      </c>
      <c r="G987" s="9">
        <v>63.71</v>
      </c>
      <c r="H987" s="13">
        <v>5</v>
      </c>
      <c r="I987" s="17">
        <v>15.9275</v>
      </c>
      <c r="J987" s="9">
        <v>334.47750000000002</v>
      </c>
      <c r="K987" s="21">
        <v>43503</v>
      </c>
      <c r="L987" s="3">
        <v>0.8125</v>
      </c>
      <c r="M987" s="7" t="s">
        <v>18</v>
      </c>
      <c r="N987" s="19">
        <v>318.55</v>
      </c>
      <c r="O987" s="15">
        <v>4.7619047620000003</v>
      </c>
      <c r="P987" s="9">
        <v>15.9275</v>
      </c>
      <c r="Q987" s="11">
        <v>8.5</v>
      </c>
    </row>
    <row r="988" spans="1:17" x14ac:dyDescent="0.25">
      <c r="A988" s="5" t="s">
        <v>1016</v>
      </c>
      <c r="B988" s="7" t="s">
        <v>36</v>
      </c>
      <c r="C988" s="7" t="s">
        <v>37</v>
      </c>
      <c r="D988" s="7" t="s">
        <v>21</v>
      </c>
      <c r="E988" s="7" t="s">
        <v>16</v>
      </c>
      <c r="F988" s="7" t="s">
        <v>17</v>
      </c>
      <c r="G988" s="9">
        <v>14.76</v>
      </c>
      <c r="H988" s="13">
        <v>2</v>
      </c>
      <c r="I988" s="17">
        <v>1.476</v>
      </c>
      <c r="J988" s="9">
        <v>30.995999999999999</v>
      </c>
      <c r="K988" s="21">
        <v>43514</v>
      </c>
      <c r="L988" s="3">
        <v>0.61250000000000004</v>
      </c>
      <c r="M988" s="7" t="s">
        <v>18</v>
      </c>
      <c r="N988" s="19">
        <v>29.52</v>
      </c>
      <c r="O988" s="15">
        <v>4.7619047620000003</v>
      </c>
      <c r="P988" s="9">
        <v>1.476</v>
      </c>
      <c r="Q988" s="11">
        <v>4.3</v>
      </c>
    </row>
    <row r="989" spans="1:17" x14ac:dyDescent="0.25">
      <c r="A989" s="5" t="s">
        <v>1017</v>
      </c>
      <c r="B989" s="7" t="s">
        <v>36</v>
      </c>
      <c r="C989" s="7" t="s">
        <v>37</v>
      </c>
      <c r="D989" s="7" t="s">
        <v>15</v>
      </c>
      <c r="E989" s="7" t="s">
        <v>25</v>
      </c>
      <c r="F989" s="7" t="s">
        <v>17</v>
      </c>
      <c r="G989" s="9">
        <v>62</v>
      </c>
      <c r="H989" s="13">
        <v>8</v>
      </c>
      <c r="I989" s="17">
        <v>24.8</v>
      </c>
      <c r="J989" s="9">
        <v>520.79999999999995</v>
      </c>
      <c r="K989" s="21">
        <v>43468</v>
      </c>
      <c r="L989" s="3">
        <v>0.79722222222222228</v>
      </c>
      <c r="M989" s="7" t="s">
        <v>27</v>
      </c>
      <c r="N989" s="19">
        <v>496</v>
      </c>
      <c r="O989" s="15">
        <v>4.7619047620000003</v>
      </c>
      <c r="P989" s="9">
        <v>24.8</v>
      </c>
      <c r="Q989" s="11">
        <v>6.2</v>
      </c>
    </row>
    <row r="990" spans="1:17" x14ac:dyDescent="0.25">
      <c r="A990" s="5" t="s">
        <v>1018</v>
      </c>
      <c r="B990" s="7" t="s">
        <v>20</v>
      </c>
      <c r="C990" s="7" t="s">
        <v>1034</v>
      </c>
      <c r="D990" s="7" t="s">
        <v>15</v>
      </c>
      <c r="E990" s="7" t="s">
        <v>25</v>
      </c>
      <c r="F990" s="7" t="s">
        <v>22</v>
      </c>
      <c r="G990" s="9">
        <v>82.34</v>
      </c>
      <c r="H990" s="13">
        <v>10</v>
      </c>
      <c r="I990" s="17">
        <v>41.17</v>
      </c>
      <c r="J990" s="9">
        <v>864.57</v>
      </c>
      <c r="K990" s="21">
        <v>43553</v>
      </c>
      <c r="L990" s="3">
        <v>0.8</v>
      </c>
      <c r="M990" s="7" t="s">
        <v>18</v>
      </c>
      <c r="N990" s="19">
        <v>823.4</v>
      </c>
      <c r="O990" s="15">
        <v>4.7619047620000003</v>
      </c>
      <c r="P990" s="9">
        <v>41.17</v>
      </c>
      <c r="Q990" s="11">
        <v>4.3</v>
      </c>
    </row>
    <row r="991" spans="1:17" x14ac:dyDescent="0.25">
      <c r="A991" s="5" t="s">
        <v>1019</v>
      </c>
      <c r="B991" s="7" t="s">
        <v>36</v>
      </c>
      <c r="C991" s="7" t="s">
        <v>37</v>
      </c>
      <c r="D991" s="7" t="s">
        <v>15</v>
      </c>
      <c r="E991" s="7" t="s">
        <v>25</v>
      </c>
      <c r="F991" s="7" t="s">
        <v>17</v>
      </c>
      <c r="G991" s="9">
        <v>75.37</v>
      </c>
      <c r="H991" s="13">
        <v>8</v>
      </c>
      <c r="I991" s="17">
        <v>30.148</v>
      </c>
      <c r="J991" s="9">
        <v>633.10799999999995</v>
      </c>
      <c r="K991" s="21">
        <v>43493</v>
      </c>
      <c r="L991" s="3">
        <v>0.65694444444444444</v>
      </c>
      <c r="M991" s="7" t="s">
        <v>27</v>
      </c>
      <c r="N991" s="19">
        <v>602.96</v>
      </c>
      <c r="O991" s="15">
        <v>4.7619047620000003</v>
      </c>
      <c r="P991" s="9">
        <v>30.148</v>
      </c>
      <c r="Q991" s="11">
        <v>8.4</v>
      </c>
    </row>
    <row r="992" spans="1:17" x14ac:dyDescent="0.25">
      <c r="A992" s="5" t="s">
        <v>1020</v>
      </c>
      <c r="B992" s="7" t="s">
        <v>13</v>
      </c>
      <c r="C992" s="7" t="s">
        <v>14</v>
      </c>
      <c r="D992" s="7" t="s">
        <v>21</v>
      </c>
      <c r="E992" s="7" t="s">
        <v>16</v>
      </c>
      <c r="F992" s="7" t="s">
        <v>38</v>
      </c>
      <c r="G992" s="9">
        <v>56.56</v>
      </c>
      <c r="H992" s="13">
        <v>5</v>
      </c>
      <c r="I992" s="17">
        <v>14.14</v>
      </c>
      <c r="J992" s="9">
        <v>296.94</v>
      </c>
      <c r="K992" s="21">
        <v>43546</v>
      </c>
      <c r="L992" s="3">
        <v>0.79583333333333328</v>
      </c>
      <c r="M992" s="7" t="s">
        <v>27</v>
      </c>
      <c r="N992" s="19">
        <v>282.8</v>
      </c>
      <c r="O992" s="15">
        <v>4.7619047620000003</v>
      </c>
      <c r="P992" s="9">
        <v>14.14</v>
      </c>
      <c r="Q992" s="11">
        <v>4.5</v>
      </c>
    </row>
    <row r="993" spans="1:17" x14ac:dyDescent="0.25">
      <c r="A993" s="5" t="s">
        <v>1021</v>
      </c>
      <c r="B993" s="7" t="s">
        <v>36</v>
      </c>
      <c r="C993" s="7" t="s">
        <v>37</v>
      </c>
      <c r="D993" s="7" t="s">
        <v>21</v>
      </c>
      <c r="E993" s="7" t="s">
        <v>16</v>
      </c>
      <c r="F993" s="7" t="s">
        <v>30</v>
      </c>
      <c r="G993" s="9">
        <v>76.599999999999994</v>
      </c>
      <c r="H993" s="13">
        <v>10</v>
      </c>
      <c r="I993" s="17">
        <v>38.299999999999997</v>
      </c>
      <c r="J993" s="9">
        <v>804.3</v>
      </c>
      <c r="K993" s="21">
        <v>43489</v>
      </c>
      <c r="L993" s="3">
        <v>0.75694444444444442</v>
      </c>
      <c r="M993" s="7" t="s">
        <v>18</v>
      </c>
      <c r="N993" s="19">
        <v>766</v>
      </c>
      <c r="O993" s="15">
        <v>4.7619047620000003</v>
      </c>
      <c r="P993" s="9">
        <v>38.299999999999997</v>
      </c>
      <c r="Q993" s="11">
        <v>6</v>
      </c>
    </row>
    <row r="994" spans="1:17" x14ac:dyDescent="0.25">
      <c r="A994" s="5" t="s">
        <v>1022</v>
      </c>
      <c r="B994" s="7" t="s">
        <v>13</v>
      </c>
      <c r="C994" s="7" t="s">
        <v>14</v>
      </c>
      <c r="D994" s="7" t="s">
        <v>21</v>
      </c>
      <c r="E994" s="7" t="s">
        <v>25</v>
      </c>
      <c r="F994" s="7" t="s">
        <v>22</v>
      </c>
      <c r="G994" s="9">
        <v>58.03</v>
      </c>
      <c r="H994" s="13">
        <v>2</v>
      </c>
      <c r="I994" s="17">
        <v>5.8029999999999999</v>
      </c>
      <c r="J994" s="9">
        <v>121.863</v>
      </c>
      <c r="K994" s="21">
        <v>43534</v>
      </c>
      <c r="L994" s="3">
        <v>0.86527777777777781</v>
      </c>
      <c r="M994" s="7" t="s">
        <v>18</v>
      </c>
      <c r="N994" s="19">
        <v>116.06</v>
      </c>
      <c r="O994" s="15">
        <v>4.7619047620000003</v>
      </c>
      <c r="P994" s="9">
        <v>5.8029999999999999</v>
      </c>
      <c r="Q994" s="11">
        <v>8.8000000000000007</v>
      </c>
    </row>
    <row r="995" spans="1:17" x14ac:dyDescent="0.25">
      <c r="A995" s="5" t="s">
        <v>1023</v>
      </c>
      <c r="B995" s="7" t="s">
        <v>36</v>
      </c>
      <c r="C995" s="7" t="s">
        <v>37</v>
      </c>
      <c r="D995" s="7" t="s">
        <v>21</v>
      </c>
      <c r="E995" s="7" t="s">
        <v>25</v>
      </c>
      <c r="F995" s="7" t="s">
        <v>40</v>
      </c>
      <c r="G995" s="9">
        <v>17.489999999999998</v>
      </c>
      <c r="H995" s="13">
        <v>10</v>
      </c>
      <c r="I995" s="17">
        <v>8.7449999999999992</v>
      </c>
      <c r="J995" s="9">
        <v>183.64500000000001</v>
      </c>
      <c r="K995" s="21">
        <v>43518</v>
      </c>
      <c r="L995" s="3">
        <v>0.77430555555555558</v>
      </c>
      <c r="M995" s="7" t="s">
        <v>18</v>
      </c>
      <c r="N995" s="19">
        <v>174.9</v>
      </c>
      <c r="O995" s="15">
        <v>4.7619047620000003</v>
      </c>
      <c r="P995" s="9">
        <v>8.7449999999999992</v>
      </c>
      <c r="Q995" s="11">
        <v>6.6</v>
      </c>
    </row>
    <row r="996" spans="1:17" x14ac:dyDescent="0.25">
      <c r="A996" s="5" t="s">
        <v>1024</v>
      </c>
      <c r="B996" s="7" t="s">
        <v>20</v>
      </c>
      <c r="C996" s="7" t="s">
        <v>1034</v>
      </c>
      <c r="D996" s="7" t="s">
        <v>15</v>
      </c>
      <c r="E996" s="7" t="s">
        <v>16</v>
      </c>
      <c r="F996" s="7" t="s">
        <v>22</v>
      </c>
      <c r="G996" s="9">
        <v>60.95</v>
      </c>
      <c r="H996" s="13">
        <v>1</v>
      </c>
      <c r="I996" s="17">
        <v>3.0474999999999999</v>
      </c>
      <c r="J996" s="9">
        <v>63.997500000000002</v>
      </c>
      <c r="K996" s="21">
        <v>43514</v>
      </c>
      <c r="L996" s="3">
        <v>0.4861111111111111</v>
      </c>
      <c r="M996" s="7" t="s">
        <v>18</v>
      </c>
      <c r="N996" s="19">
        <v>60.95</v>
      </c>
      <c r="O996" s="15">
        <v>4.7619047620000003</v>
      </c>
      <c r="P996" s="9">
        <v>3.0474999999999999</v>
      </c>
      <c r="Q996" s="11">
        <v>5.9</v>
      </c>
    </row>
    <row r="997" spans="1:17" x14ac:dyDescent="0.25">
      <c r="A997" s="5" t="s">
        <v>1025</v>
      </c>
      <c r="B997" s="7" t="s">
        <v>20</v>
      </c>
      <c r="C997" s="7" t="s">
        <v>1034</v>
      </c>
      <c r="D997" s="7" t="s">
        <v>21</v>
      </c>
      <c r="E997" s="7" t="s">
        <v>25</v>
      </c>
      <c r="F997" s="7" t="s">
        <v>17</v>
      </c>
      <c r="G997" s="9">
        <v>40.35</v>
      </c>
      <c r="H997" s="13">
        <v>1</v>
      </c>
      <c r="I997" s="17">
        <v>2.0175000000000001</v>
      </c>
      <c r="J997" s="9">
        <v>42.3675</v>
      </c>
      <c r="K997" s="21">
        <v>43494</v>
      </c>
      <c r="L997" s="3">
        <v>0.57361111111111107</v>
      </c>
      <c r="M997" s="7" t="s">
        <v>18</v>
      </c>
      <c r="N997" s="19">
        <v>40.35</v>
      </c>
      <c r="O997" s="15">
        <v>4.7619047620000003</v>
      </c>
      <c r="P997" s="9">
        <v>2.0175000000000001</v>
      </c>
      <c r="Q997" s="11">
        <v>6.2</v>
      </c>
    </row>
    <row r="998" spans="1:17" x14ac:dyDescent="0.25">
      <c r="A998" s="5" t="s">
        <v>1026</v>
      </c>
      <c r="B998" s="7" t="s">
        <v>36</v>
      </c>
      <c r="C998" s="7" t="s">
        <v>37</v>
      </c>
      <c r="D998" s="7" t="s">
        <v>21</v>
      </c>
      <c r="E998" s="7" t="s">
        <v>16</v>
      </c>
      <c r="F998" s="7" t="s">
        <v>26</v>
      </c>
      <c r="G998" s="9">
        <v>97.38</v>
      </c>
      <c r="H998" s="13">
        <v>10</v>
      </c>
      <c r="I998" s="17">
        <v>48.69</v>
      </c>
      <c r="J998" s="9">
        <v>1022.49</v>
      </c>
      <c r="K998" s="21">
        <v>43526</v>
      </c>
      <c r="L998" s="3">
        <v>0.71944444444444444</v>
      </c>
      <c r="M998" s="7" t="s">
        <v>18</v>
      </c>
      <c r="N998" s="19">
        <v>973.8</v>
      </c>
      <c r="O998" s="15">
        <v>4.7619047620000003</v>
      </c>
      <c r="P998" s="9">
        <v>48.69</v>
      </c>
      <c r="Q998" s="11">
        <v>4.4000000000000004</v>
      </c>
    </row>
    <row r="999" spans="1:17" x14ac:dyDescent="0.25">
      <c r="A999" s="5" t="s">
        <v>1027</v>
      </c>
      <c r="B999" s="7" t="s">
        <v>13</v>
      </c>
      <c r="C999" s="7" t="s">
        <v>14</v>
      </c>
      <c r="D999" s="7" t="s">
        <v>15</v>
      </c>
      <c r="E999" s="7" t="s">
        <v>25</v>
      </c>
      <c r="F999" s="7" t="s">
        <v>38</v>
      </c>
      <c r="G999" s="9">
        <v>31.84</v>
      </c>
      <c r="H999" s="13">
        <v>1</v>
      </c>
      <c r="I999" s="17">
        <v>1.5920000000000001</v>
      </c>
      <c r="J999" s="9">
        <v>33.432000000000002</v>
      </c>
      <c r="K999" s="21">
        <v>43505</v>
      </c>
      <c r="L999" s="3">
        <v>0.55694444444444446</v>
      </c>
      <c r="M999" s="7" t="s">
        <v>23</v>
      </c>
      <c r="N999" s="19">
        <v>31.84</v>
      </c>
      <c r="O999" s="15">
        <v>4.7619047620000003</v>
      </c>
      <c r="P999" s="9">
        <v>1.5920000000000001</v>
      </c>
      <c r="Q999" s="11">
        <v>7.7</v>
      </c>
    </row>
    <row r="1000" spans="1:17" x14ac:dyDescent="0.25">
      <c r="A1000" s="5" t="s">
        <v>1028</v>
      </c>
      <c r="B1000" s="7" t="s">
        <v>13</v>
      </c>
      <c r="C1000" s="7" t="s">
        <v>14</v>
      </c>
      <c r="D1000" s="7" t="s">
        <v>21</v>
      </c>
      <c r="E1000" s="7" t="s">
        <v>25</v>
      </c>
      <c r="F1000" s="7" t="s">
        <v>26</v>
      </c>
      <c r="G1000" s="9">
        <v>65.819999999999993</v>
      </c>
      <c r="H1000" s="13">
        <v>1</v>
      </c>
      <c r="I1000" s="17">
        <v>3.2909999999999999</v>
      </c>
      <c r="J1000" s="9">
        <v>69.111000000000004</v>
      </c>
      <c r="K1000" s="21">
        <v>43518</v>
      </c>
      <c r="L1000" s="3">
        <v>0.6479166666666667</v>
      </c>
      <c r="M1000" s="7" t="s">
        <v>23</v>
      </c>
      <c r="N1000" s="19">
        <v>65.819999999999993</v>
      </c>
      <c r="O1000" s="15">
        <v>4.7619047620000003</v>
      </c>
      <c r="P1000" s="9">
        <v>3.2909999999999999</v>
      </c>
      <c r="Q1000" s="11">
        <v>4.0999999999999996</v>
      </c>
    </row>
    <row r="1001" spans="1:17" x14ac:dyDescent="0.25">
      <c r="A1001" s="5" t="s">
        <v>1029</v>
      </c>
      <c r="B1001" s="7" t="s">
        <v>13</v>
      </c>
      <c r="C1001" s="7" t="s">
        <v>14</v>
      </c>
      <c r="D1001" s="7" t="s">
        <v>15</v>
      </c>
      <c r="E1001" s="7" t="s">
        <v>16</v>
      </c>
      <c r="F1001" s="7" t="s">
        <v>40</v>
      </c>
      <c r="G1001" s="9">
        <v>88.34</v>
      </c>
      <c r="H1001" s="13">
        <v>7</v>
      </c>
      <c r="I1001" s="17">
        <v>30.919</v>
      </c>
      <c r="J1001" s="9">
        <v>649.29899999999998</v>
      </c>
      <c r="K1001" s="21">
        <v>43514</v>
      </c>
      <c r="L1001" s="3">
        <v>0.56111111111111112</v>
      </c>
      <c r="M1001" s="7" t="s">
        <v>23</v>
      </c>
      <c r="N1001" s="19">
        <v>618.38</v>
      </c>
      <c r="O1001" s="15">
        <v>4.7619047620000003</v>
      </c>
      <c r="P1001" s="9">
        <v>30.919</v>
      </c>
      <c r="Q1001" s="1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91F5-ED42-4F50-B3AC-48930D271C42}">
  <dimension ref="A1:AD41"/>
  <sheetViews>
    <sheetView showGridLines="0" showRowColHeaders="0" tabSelected="1" zoomScale="101" zoomScaleNormal="176" workbookViewId="0"/>
  </sheetViews>
  <sheetFormatPr defaultRowHeight="15" x14ac:dyDescent="0.25"/>
  <cols>
    <col min="1" max="16384" width="9.140625" style="28"/>
  </cols>
  <sheetData>
    <row r="1" spans="1:30"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row>
    <row r="2" spans="1:30"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row>
    <row r="3" spans="1:30"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row>
    <row r="4" spans="1:30" x14ac:dyDescent="0.2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row>
    <row r="5" spans="1:30" x14ac:dyDescent="0.25">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row>
    <row r="6" spans="1:30" x14ac:dyDescent="0.2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row>
    <row r="7" spans="1:30" x14ac:dyDescent="0.25">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row>
    <row r="8" spans="1:30" x14ac:dyDescent="0.25">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row>
    <row r="9" spans="1:30" x14ac:dyDescent="0.2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row>
    <row r="10" spans="1:30" x14ac:dyDescent="0.2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row>
    <row r="11" spans="1:30" x14ac:dyDescent="0.2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30" x14ac:dyDescent="0.2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30" x14ac:dyDescent="0.2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30" x14ac:dyDescent="0.2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x14ac:dyDescent="0.2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30" x14ac:dyDescent="0.2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x14ac:dyDescent="0.2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x14ac:dyDescent="0.2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x14ac:dyDescent="0.2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x14ac:dyDescent="0.25">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x14ac:dyDescent="0.2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row>
    <row r="22" spans="1:30" x14ac:dyDescent="0.2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row>
    <row r="24" spans="1:30" x14ac:dyDescent="0.2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x14ac:dyDescent="0.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spans="1:30" x14ac:dyDescent="0.25">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x14ac:dyDescent="0.2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x14ac:dyDescent="0.2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row>
    <row r="29" spans="1:30"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row r="35" spans="1:30"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row>
    <row r="36" spans="1:30"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row>
    <row r="37" spans="1:30" x14ac:dyDescent="0.2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row>
    <row r="38" spans="1:30" x14ac:dyDescent="0.2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row>
    <row r="39" spans="1:30" x14ac:dyDescent="0.2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row>
    <row r="40" spans="1:30" x14ac:dyDescent="0.2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row>
    <row r="41" spans="1:30" x14ac:dyDescent="0.2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A763F-D0F2-40E4-B2D9-2678A96DD4CE}">
  <dimension ref="C2:L25"/>
  <sheetViews>
    <sheetView showGridLines="0" showRowColHeaders="0" workbookViewId="0"/>
  </sheetViews>
  <sheetFormatPr defaultColWidth="17.85546875" defaultRowHeight="15" x14ac:dyDescent="0.25"/>
  <cols>
    <col min="2" max="2" width="21.85546875" customWidth="1"/>
    <col min="3" max="3" width="13.140625" bestFit="1" customWidth="1"/>
    <col min="4" max="4" width="12" bestFit="1" customWidth="1"/>
    <col min="8" max="8" width="13.140625" bestFit="1" customWidth="1"/>
    <col min="9" max="9" width="15.42578125" bestFit="1" customWidth="1"/>
    <col min="10" max="10" width="18" bestFit="1" customWidth="1"/>
    <col min="11" max="12" width="19.85546875" bestFit="1" customWidth="1"/>
    <col min="13" max="13" width="16.7109375" bestFit="1" customWidth="1"/>
    <col min="14" max="14" width="13.28515625" bestFit="1" customWidth="1"/>
  </cols>
  <sheetData>
    <row r="2" spans="3:10" x14ac:dyDescent="0.25">
      <c r="C2" t="s">
        <v>1035</v>
      </c>
      <c r="D2" t="s">
        <v>1037</v>
      </c>
      <c r="I2" t="s">
        <v>1035</v>
      </c>
      <c r="J2" t="s">
        <v>1037</v>
      </c>
    </row>
    <row r="3" spans="3:10" x14ac:dyDescent="0.25">
      <c r="C3" s="1" t="s">
        <v>13</v>
      </c>
      <c r="D3">
        <v>106200.37050000011</v>
      </c>
      <c r="I3" s="1" t="s">
        <v>37</v>
      </c>
      <c r="J3">
        <v>106197.67199999996</v>
      </c>
    </row>
    <row r="4" spans="3:10" x14ac:dyDescent="0.25">
      <c r="C4" s="1" t="s">
        <v>36</v>
      </c>
      <c r="D4">
        <v>106197.67199999996</v>
      </c>
      <c r="I4" s="1" t="s">
        <v>1034</v>
      </c>
      <c r="J4">
        <v>110568.70649999994</v>
      </c>
    </row>
    <row r="5" spans="3:10" x14ac:dyDescent="0.25">
      <c r="C5" s="1" t="s">
        <v>20</v>
      </c>
      <c r="D5">
        <v>110568.70649999994</v>
      </c>
      <c r="I5" s="1" t="s">
        <v>14</v>
      </c>
      <c r="J5">
        <v>106200.37050000011</v>
      </c>
    </row>
    <row r="6" spans="3:10" x14ac:dyDescent="0.25">
      <c r="C6" s="1" t="s">
        <v>1036</v>
      </c>
      <c r="D6">
        <v>322966.74900000001</v>
      </c>
      <c r="I6" s="1" t="s">
        <v>1036</v>
      </c>
      <c r="J6">
        <v>322966.74900000001</v>
      </c>
    </row>
    <row r="17" spans="3:12" x14ac:dyDescent="0.25">
      <c r="C17" t="s">
        <v>1035</v>
      </c>
      <c r="D17" t="s">
        <v>1037</v>
      </c>
    </row>
    <row r="18" spans="3:12" x14ac:dyDescent="0.25">
      <c r="C18" s="1" t="s">
        <v>23</v>
      </c>
      <c r="D18">
        <v>112206.56999999995</v>
      </c>
      <c r="I18" t="s">
        <v>1037</v>
      </c>
      <c r="K18" t="s">
        <v>1045</v>
      </c>
    </row>
    <row r="19" spans="3:12" x14ac:dyDescent="0.25">
      <c r="C19" s="1" t="s">
        <v>27</v>
      </c>
      <c r="D19">
        <v>100767.07200000006</v>
      </c>
      <c r="I19">
        <v>322966.74900000007</v>
      </c>
      <c r="J19">
        <f>GETPIVOTDATA("Total",$I$18)</f>
        <v>322966.74900000007</v>
      </c>
      <c r="K19">
        <v>15379.369000000002</v>
      </c>
      <c r="L19">
        <f>GETPIVOTDATA("Gross Income",$K$18)</f>
        <v>15379.369000000002</v>
      </c>
    </row>
    <row r="20" spans="3:12" x14ac:dyDescent="0.25">
      <c r="C20" s="1" t="s">
        <v>18</v>
      </c>
      <c r="D20">
        <v>109993.107</v>
      </c>
    </row>
    <row r="21" spans="3:12" x14ac:dyDescent="0.25">
      <c r="C21" s="1" t="s">
        <v>1036</v>
      </c>
      <c r="D21">
        <v>322966.74900000001</v>
      </c>
      <c r="I21" t="s">
        <v>1058</v>
      </c>
      <c r="K21" t="s">
        <v>1060</v>
      </c>
    </row>
    <row r="22" spans="3:12" x14ac:dyDescent="0.25">
      <c r="I22">
        <v>1000</v>
      </c>
      <c r="J22">
        <f>GETPIVOTDATA("Invoice ID",$I$21)</f>
        <v>1000</v>
      </c>
      <c r="K22">
        <v>6.9727000000000032</v>
      </c>
      <c r="L22">
        <f>GETPIVOTDATA("Rating",$K$21)</f>
        <v>6.9727000000000032</v>
      </c>
    </row>
    <row r="24" spans="3:12" x14ac:dyDescent="0.25">
      <c r="I24" t="s">
        <v>1059</v>
      </c>
    </row>
    <row r="25" spans="3:12" x14ac:dyDescent="0.25">
      <c r="I25">
        <v>5510</v>
      </c>
      <c r="J25">
        <f>GETPIVOTDATA("Quantity",$I$24)</f>
        <v>5510</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5961-AB9C-46B7-8F11-814D99C864AA}">
  <dimension ref="C2:L10"/>
  <sheetViews>
    <sheetView showGridLines="0" showRowColHeaders="0" workbookViewId="0"/>
  </sheetViews>
  <sheetFormatPr defaultRowHeight="15" x14ac:dyDescent="0.25"/>
  <cols>
    <col min="2" max="2" width="27.7109375" customWidth="1"/>
    <col min="3" max="3" width="20.42578125" bestFit="1" customWidth="1"/>
    <col min="4" max="6" width="13.5703125" bestFit="1" customWidth="1"/>
    <col min="7" max="7" width="12.85546875" customWidth="1"/>
    <col min="8" max="8" width="13.140625" bestFit="1" customWidth="1"/>
    <col min="9" max="9" width="12" bestFit="1" customWidth="1"/>
    <col min="10" max="11" width="13.140625" bestFit="1" customWidth="1"/>
    <col min="12" max="12" width="13.28515625" bestFit="1" customWidth="1"/>
    <col min="15" max="15" width="13.140625" bestFit="1" customWidth="1"/>
    <col min="16" max="16" width="12" bestFit="1" customWidth="1"/>
    <col min="17" max="17" width="11" bestFit="1" customWidth="1"/>
    <col min="18" max="19" width="12" bestFit="1" customWidth="1"/>
  </cols>
  <sheetData>
    <row r="2" spans="3:12" x14ac:dyDescent="0.25">
      <c r="C2" s="22" t="s">
        <v>1035</v>
      </c>
      <c r="D2" t="s">
        <v>1037</v>
      </c>
    </row>
    <row r="3" spans="3:12" x14ac:dyDescent="0.25">
      <c r="C3" s="1" t="s">
        <v>22</v>
      </c>
      <c r="D3" s="24">
        <v>54337.531500000005</v>
      </c>
      <c r="K3" s="22" t="s">
        <v>1035</v>
      </c>
      <c r="L3" t="s">
        <v>1037</v>
      </c>
    </row>
    <row r="4" spans="3:12" x14ac:dyDescent="0.25">
      <c r="C4" s="1" t="s">
        <v>40</v>
      </c>
      <c r="D4" s="24">
        <v>54305.894999999997</v>
      </c>
      <c r="K4" s="1" t="s">
        <v>1064</v>
      </c>
    </row>
    <row r="5" spans="3:12" x14ac:dyDescent="0.25">
      <c r="C5" s="1" t="s">
        <v>38</v>
      </c>
      <c r="D5" s="24">
        <v>56144.844000000005</v>
      </c>
      <c r="K5" s="1" t="s">
        <v>1063</v>
      </c>
      <c r="L5" s="24">
        <v>116291.86800000005</v>
      </c>
    </row>
    <row r="6" spans="3:12" x14ac:dyDescent="0.25">
      <c r="C6" s="1" t="s">
        <v>17</v>
      </c>
      <c r="D6" s="24">
        <v>49193.739000000016</v>
      </c>
      <c r="K6" s="1" t="s">
        <v>1062</v>
      </c>
      <c r="L6" s="24">
        <v>97219.373999999967</v>
      </c>
    </row>
    <row r="7" spans="3:12" x14ac:dyDescent="0.25">
      <c r="C7" s="1" t="s">
        <v>26</v>
      </c>
      <c r="D7" s="24">
        <v>53861.913000000008</v>
      </c>
      <c r="K7" s="1" t="s">
        <v>1061</v>
      </c>
      <c r="L7" s="24">
        <v>109455.50700000004</v>
      </c>
    </row>
    <row r="8" spans="3:12" x14ac:dyDescent="0.25">
      <c r="C8" s="1" t="s">
        <v>30</v>
      </c>
      <c r="D8" s="24">
        <v>55122.826499999996</v>
      </c>
      <c r="K8" s="1" t="s">
        <v>1036</v>
      </c>
      <c r="L8">
        <v>322966.74900000007</v>
      </c>
    </row>
    <row r="9" spans="3:12" x14ac:dyDescent="0.25">
      <c r="C9" s="1" t="s">
        <v>1065</v>
      </c>
      <c r="D9" s="24"/>
    </row>
    <row r="10" spans="3:12" x14ac:dyDescent="0.25">
      <c r="C10" s="1" t="s">
        <v>1036</v>
      </c>
      <c r="D10" s="24">
        <v>322966.74900000007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50F4D-B480-411D-B3BF-9D19781B6141}">
  <dimension ref="E2:P10"/>
  <sheetViews>
    <sheetView showGridLines="0" showRowColHeaders="0" workbookViewId="0"/>
  </sheetViews>
  <sheetFormatPr defaultRowHeight="15" x14ac:dyDescent="0.25"/>
  <cols>
    <col min="4" max="4" width="13.140625" bestFit="1" customWidth="1"/>
    <col min="5" max="5" width="17.28515625" bestFit="1" customWidth="1"/>
    <col min="6" max="6" width="16.7109375" customWidth="1"/>
    <col min="7" max="7" width="17.7109375" customWidth="1"/>
    <col min="9" max="9" width="13.140625" bestFit="1" customWidth="1"/>
    <col min="10" max="10" width="17.28515625" bestFit="1" customWidth="1"/>
    <col min="11" max="11" width="16.7109375" customWidth="1"/>
    <col min="14" max="14" width="13.140625" bestFit="1" customWidth="1"/>
    <col min="15" max="15" width="16.42578125" customWidth="1"/>
    <col min="16" max="16" width="17.140625" customWidth="1"/>
    <col min="18" max="18" width="18.42578125" customWidth="1"/>
    <col min="19" max="19" width="20.7109375" customWidth="1"/>
    <col min="20" max="21" width="18" customWidth="1"/>
  </cols>
  <sheetData>
    <row r="2" spans="5:16" x14ac:dyDescent="0.25">
      <c r="E2" t="s">
        <v>1042</v>
      </c>
      <c r="F2" t="s">
        <v>1043</v>
      </c>
      <c r="G2" t="s">
        <v>1044</v>
      </c>
      <c r="J2" s="22" t="s">
        <v>1035</v>
      </c>
      <c r="K2" s="24" t="s">
        <v>1040</v>
      </c>
      <c r="O2" s="22" t="s">
        <v>1035</v>
      </c>
      <c r="P2" t="s">
        <v>1041</v>
      </c>
    </row>
    <row r="3" spans="5:16" x14ac:dyDescent="0.25">
      <c r="E3" s="1" t="s">
        <v>15</v>
      </c>
      <c r="F3" s="23">
        <v>327.79130538922158</v>
      </c>
      <c r="G3" s="25">
        <v>6.9403193612774468</v>
      </c>
      <c r="J3" s="1" t="s">
        <v>16</v>
      </c>
      <c r="K3" s="24">
        <v>167882.92500000002</v>
      </c>
      <c r="O3" s="1" t="s">
        <v>15</v>
      </c>
      <c r="P3" s="23">
        <v>327.79130538922158</v>
      </c>
    </row>
    <row r="4" spans="5:16" x14ac:dyDescent="0.25">
      <c r="E4" s="1" t="s">
        <v>21</v>
      </c>
      <c r="F4" s="23">
        <v>318.12285571142297</v>
      </c>
      <c r="G4" s="25">
        <v>7.0052104208416841</v>
      </c>
      <c r="J4" s="1" t="s">
        <v>25</v>
      </c>
      <c r="K4" s="24">
        <v>155083.82400000014</v>
      </c>
      <c r="O4" s="1" t="s">
        <v>21</v>
      </c>
      <c r="P4" s="23">
        <v>318.12285571142297</v>
      </c>
    </row>
    <row r="5" spans="5:16" x14ac:dyDescent="0.25">
      <c r="E5" s="1" t="s">
        <v>1036</v>
      </c>
      <c r="F5" s="23">
        <v>322.96674900000005</v>
      </c>
      <c r="G5" s="25">
        <v>6.9726999999999961</v>
      </c>
      <c r="J5" s="1" t="s">
        <v>1036</v>
      </c>
      <c r="K5" s="23">
        <v>322966.74900000019</v>
      </c>
      <c r="O5" s="1" t="s">
        <v>1036</v>
      </c>
      <c r="P5" s="23">
        <v>322.96674900000005</v>
      </c>
    </row>
    <row r="7" spans="5:16" x14ac:dyDescent="0.25">
      <c r="E7" s="22" t="s">
        <v>1035</v>
      </c>
      <c r="F7" t="s">
        <v>1040</v>
      </c>
    </row>
    <row r="8" spans="5:16" x14ac:dyDescent="0.25">
      <c r="E8" s="1" t="s">
        <v>15</v>
      </c>
      <c r="F8" s="23">
        <v>164223.44400000002</v>
      </c>
    </row>
    <row r="9" spans="5:16" x14ac:dyDescent="0.25">
      <c r="E9" s="1" t="s">
        <v>21</v>
      </c>
      <c r="F9" s="23">
        <v>158743.30500000005</v>
      </c>
    </row>
    <row r="10" spans="5:16" x14ac:dyDescent="0.25">
      <c r="E10" s="1" t="s">
        <v>1036</v>
      </c>
      <c r="F10" s="23">
        <v>322966.74900000007</v>
      </c>
    </row>
  </sheetData>
  <phoneticPr fontId="18" type="noConversion"/>
  <pageMargins left="0.7" right="0.7" top="0.75" bottom="0.75" header="0.3" footer="0.3"/>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F146F-A19D-4ED9-8754-48140319787B}">
  <dimension ref="D2:T22"/>
  <sheetViews>
    <sheetView showGridLines="0" showRowColHeaders="0" zoomScaleNormal="100" workbookViewId="0"/>
  </sheetViews>
  <sheetFormatPr defaultRowHeight="15" x14ac:dyDescent="0.25"/>
  <cols>
    <col min="2" max="2" width="15" customWidth="1"/>
    <col min="3" max="3" width="14.5703125" customWidth="1"/>
    <col min="4" max="4" width="20.42578125" bestFit="1" customWidth="1"/>
    <col min="5" max="5" width="19.85546875" bestFit="1" customWidth="1"/>
    <col min="6" max="6" width="16.7109375" customWidth="1"/>
    <col min="7" max="7" width="20.28515625" customWidth="1"/>
    <col min="8" max="8" width="8.140625" customWidth="1"/>
    <col min="9" max="9" width="20.5703125" customWidth="1"/>
    <col min="10" max="10" width="20" customWidth="1"/>
    <col min="14" max="14" width="20.42578125" bestFit="1" customWidth="1"/>
    <col min="15" max="15" width="17.28515625" bestFit="1" customWidth="1"/>
    <col min="16" max="16" width="19.85546875" bestFit="1" customWidth="1"/>
    <col min="17" max="17" width="19" customWidth="1"/>
    <col min="18" max="18" width="13.85546875" customWidth="1"/>
    <col min="19" max="19" width="21.5703125" customWidth="1"/>
  </cols>
  <sheetData>
    <row r="2" spans="4:20" x14ac:dyDescent="0.25">
      <c r="D2" t="s">
        <v>1030</v>
      </c>
      <c r="E2" t="s">
        <v>1039</v>
      </c>
      <c r="F2" t="s">
        <v>1033</v>
      </c>
      <c r="G2" t="s">
        <v>1032</v>
      </c>
      <c r="I2" s="22" t="s">
        <v>1030</v>
      </c>
      <c r="J2" t="s">
        <v>1045</v>
      </c>
    </row>
    <row r="3" spans="4:20" x14ac:dyDescent="0.25">
      <c r="D3" s="1" t="s">
        <v>22</v>
      </c>
      <c r="E3" s="23">
        <v>54337.531500000005</v>
      </c>
      <c r="F3" s="23">
        <v>2587.5015000000017</v>
      </c>
      <c r="G3" s="26">
        <v>809.52380953999682</v>
      </c>
      <c r="I3" s="1" t="s">
        <v>22</v>
      </c>
      <c r="J3" s="24">
        <v>2587.5015000000017</v>
      </c>
    </row>
    <row r="4" spans="4:20" x14ac:dyDescent="0.25">
      <c r="D4" s="1" t="s">
        <v>40</v>
      </c>
      <c r="E4" s="23">
        <v>54305.894999999997</v>
      </c>
      <c r="F4" s="23">
        <v>2585.9949999999999</v>
      </c>
      <c r="G4" s="26">
        <v>847.61904763599659</v>
      </c>
      <c r="I4" s="1" t="s">
        <v>40</v>
      </c>
      <c r="J4" s="24">
        <v>2585.9949999999999</v>
      </c>
    </row>
    <row r="5" spans="4:20" x14ac:dyDescent="0.25">
      <c r="D5" s="1" t="s">
        <v>38</v>
      </c>
      <c r="E5" s="23">
        <v>56144.844000000005</v>
      </c>
      <c r="F5" s="23">
        <v>2673.5639999999994</v>
      </c>
      <c r="G5" s="26">
        <v>828.57142858799671</v>
      </c>
      <c r="I5" s="1" t="s">
        <v>38</v>
      </c>
      <c r="J5" s="24">
        <v>2673.5639999999994</v>
      </c>
    </row>
    <row r="6" spans="4:20" x14ac:dyDescent="0.25">
      <c r="D6" s="1" t="s">
        <v>17</v>
      </c>
      <c r="E6" s="23">
        <v>49193.739000000016</v>
      </c>
      <c r="F6" s="23">
        <v>2342.5589999999993</v>
      </c>
      <c r="G6" s="26">
        <v>723.80952382399732</v>
      </c>
      <c r="I6" s="1" t="s">
        <v>17</v>
      </c>
      <c r="J6" s="24">
        <v>2342.5589999999993</v>
      </c>
    </row>
    <row r="7" spans="4:20" x14ac:dyDescent="0.25">
      <c r="D7" s="1" t="s">
        <v>26</v>
      </c>
      <c r="E7" s="23">
        <v>53861.913000000008</v>
      </c>
      <c r="F7" s="23">
        <v>2564.8530000000019</v>
      </c>
      <c r="G7" s="26">
        <v>761.9047619199971</v>
      </c>
      <c r="I7" s="1" t="s">
        <v>26</v>
      </c>
      <c r="J7" s="24">
        <v>2564.8530000000019</v>
      </c>
    </row>
    <row r="8" spans="4:20" x14ac:dyDescent="0.25">
      <c r="D8" s="1" t="s">
        <v>30</v>
      </c>
      <c r="E8" s="23">
        <v>55122.826499999996</v>
      </c>
      <c r="F8" s="23">
        <v>2624.8964999999994</v>
      </c>
      <c r="G8" s="26">
        <v>790.47619049199693</v>
      </c>
      <c r="I8" s="1" t="s">
        <v>30</v>
      </c>
      <c r="J8" s="24">
        <v>2624.8964999999994</v>
      </c>
    </row>
    <row r="9" spans="4:20" x14ac:dyDescent="0.25">
      <c r="D9" s="1" t="s">
        <v>1036</v>
      </c>
      <c r="E9" s="23">
        <v>322966.74900000007</v>
      </c>
      <c r="F9" s="23">
        <v>15379.369000000002</v>
      </c>
      <c r="G9" s="26">
        <v>4761.9047619999819</v>
      </c>
      <c r="I9" s="1" t="s">
        <v>1036</v>
      </c>
      <c r="J9" s="23">
        <v>15379.369000000002</v>
      </c>
      <c r="T9" s="13"/>
    </row>
    <row r="10" spans="4:20" x14ac:dyDescent="0.25">
      <c r="J10" s="23"/>
      <c r="T10" s="13"/>
    </row>
    <row r="11" spans="4:20" x14ac:dyDescent="0.25">
      <c r="D11" t="s">
        <v>6</v>
      </c>
      <c r="E11" t="s">
        <v>1046</v>
      </c>
      <c r="I11" s="13"/>
      <c r="J11" s="23"/>
      <c r="T11" s="13"/>
    </row>
    <row r="12" spans="4:20" x14ac:dyDescent="0.25">
      <c r="D12" s="13">
        <v>1</v>
      </c>
      <c r="E12" s="23">
        <v>6135.57</v>
      </c>
      <c r="I12" s="13"/>
      <c r="J12" s="23"/>
      <c r="T12" s="13"/>
    </row>
    <row r="13" spans="4:20" x14ac:dyDescent="0.25">
      <c r="D13" s="13">
        <v>2</v>
      </c>
      <c r="E13" s="23">
        <v>5235.6200000000008</v>
      </c>
      <c r="I13" s="13"/>
      <c r="J13" s="23"/>
      <c r="T13" s="13"/>
    </row>
    <row r="14" spans="4:20" x14ac:dyDescent="0.25">
      <c r="D14" s="13">
        <v>3</v>
      </c>
      <c r="E14" s="23">
        <v>5105.2999999999993</v>
      </c>
      <c r="T14" s="13"/>
    </row>
    <row r="15" spans="4:20" x14ac:dyDescent="0.25">
      <c r="D15" s="13">
        <v>4</v>
      </c>
      <c r="E15" s="23">
        <v>6011.4100000000008</v>
      </c>
      <c r="T15" s="13"/>
    </row>
    <row r="16" spans="4:20" x14ac:dyDescent="0.25">
      <c r="D16" s="13">
        <v>5</v>
      </c>
      <c r="E16" s="23">
        <v>5152.6499999999978</v>
      </c>
      <c r="T16" s="13"/>
    </row>
    <row r="17" spans="4:20" x14ac:dyDescent="0.25">
      <c r="D17" s="13">
        <v>6</v>
      </c>
      <c r="E17" s="23">
        <v>5469.0800000000017</v>
      </c>
      <c r="T17" s="13"/>
    </row>
    <row r="18" spans="4:20" x14ac:dyDescent="0.25">
      <c r="D18" s="13">
        <v>7</v>
      </c>
      <c r="E18" s="23">
        <v>5940.7699999999977</v>
      </c>
      <c r="T18" s="13"/>
    </row>
    <row r="19" spans="4:20" x14ac:dyDescent="0.25">
      <c r="D19" s="13">
        <v>8</v>
      </c>
      <c r="E19" s="23">
        <v>4799.5599999999995</v>
      </c>
      <c r="T19" s="13"/>
    </row>
    <row r="20" spans="4:20" x14ac:dyDescent="0.25">
      <c r="D20" s="13">
        <v>9</v>
      </c>
      <c r="E20" s="23">
        <v>5162.2699999999986</v>
      </c>
    </row>
    <row r="21" spans="4:20" x14ac:dyDescent="0.25">
      <c r="D21" s="13">
        <v>10</v>
      </c>
      <c r="E21" s="23">
        <v>6659.9000000000024</v>
      </c>
    </row>
    <row r="22" spans="4:20" x14ac:dyDescent="0.25">
      <c r="D22" s="13" t="s">
        <v>1036</v>
      </c>
      <c r="E22" s="23">
        <v>55672.12999999999</v>
      </c>
    </row>
  </sheetData>
  <phoneticPr fontId="18" type="noConversion"/>
  <pageMargins left="0.7" right="0.7" top="0.75" bottom="0.75" header="0.3" footer="0.3"/>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6143-88CE-41EE-876F-821C4A850BD0}">
  <dimension ref="E2:N24"/>
  <sheetViews>
    <sheetView showGridLines="0" showRowColHeaders="0" workbookViewId="0">
      <selection activeCell="E13" sqref="E13"/>
    </sheetView>
  </sheetViews>
  <sheetFormatPr defaultRowHeight="15" x14ac:dyDescent="0.25"/>
  <cols>
    <col min="4" max="5" width="13.140625" bestFit="1" customWidth="1"/>
    <col min="6" max="6" width="12" bestFit="1" customWidth="1"/>
    <col min="7" max="7" width="15.7109375" customWidth="1"/>
    <col min="8" max="8" width="17.140625" customWidth="1"/>
    <col min="9" max="9" width="15.28515625" customWidth="1"/>
    <col min="12" max="12" width="20.42578125" bestFit="1" customWidth="1"/>
    <col min="13" max="13" width="16.28515625" bestFit="1" customWidth="1"/>
    <col min="14" max="15" width="12" bestFit="1" customWidth="1"/>
    <col min="16" max="17" width="11.28515625" bestFit="1" customWidth="1"/>
    <col min="18" max="18" width="8.140625" bestFit="1" customWidth="1"/>
    <col min="19" max="19" width="9" bestFit="1" customWidth="1"/>
    <col min="20" max="20" width="8.140625" bestFit="1" customWidth="1"/>
    <col min="21" max="21" width="10" bestFit="1" customWidth="1"/>
    <col min="22" max="23" width="8.140625" bestFit="1" customWidth="1"/>
    <col min="24" max="24" width="9" bestFit="1" customWidth="1"/>
    <col min="25" max="26" width="8.140625" bestFit="1" customWidth="1"/>
    <col min="27" max="27" width="9" bestFit="1" customWidth="1"/>
    <col min="28" max="28" width="8.140625" bestFit="1" customWidth="1"/>
    <col min="29" max="29" width="9" bestFit="1" customWidth="1"/>
    <col min="30" max="30" width="8.140625" bestFit="1" customWidth="1"/>
    <col min="31" max="31" width="10" bestFit="1" customWidth="1"/>
    <col min="32" max="32" width="8.140625" bestFit="1" customWidth="1"/>
    <col min="33" max="33" width="9" bestFit="1" customWidth="1"/>
    <col min="34" max="36" width="8.140625" bestFit="1" customWidth="1"/>
    <col min="37" max="37" width="9" bestFit="1" customWidth="1"/>
    <col min="38" max="39" width="8.140625" bestFit="1" customWidth="1"/>
    <col min="40" max="40" width="9" bestFit="1" customWidth="1"/>
    <col min="41" max="41" width="8.140625" bestFit="1" customWidth="1"/>
    <col min="42" max="42" width="9" bestFit="1" customWidth="1"/>
    <col min="43" max="46" width="8.140625" bestFit="1" customWidth="1"/>
    <col min="47" max="48" width="9" bestFit="1" customWidth="1"/>
    <col min="49" max="49" width="8.140625" bestFit="1" customWidth="1"/>
    <col min="50" max="50" width="9" bestFit="1" customWidth="1"/>
    <col min="51" max="60" width="8.140625" bestFit="1" customWidth="1"/>
    <col min="61" max="61" width="10" bestFit="1" customWidth="1"/>
    <col min="62" max="70" width="8.140625" bestFit="1" customWidth="1"/>
    <col min="71" max="71" width="9" bestFit="1" customWidth="1"/>
    <col min="72" max="72" width="8.140625" bestFit="1" customWidth="1"/>
    <col min="73" max="73" width="9" bestFit="1" customWidth="1"/>
    <col min="74" max="74" width="8.140625" bestFit="1" customWidth="1"/>
    <col min="75" max="75" width="9" bestFit="1" customWidth="1"/>
    <col min="76" max="84" width="8.140625" bestFit="1" customWidth="1"/>
    <col min="85" max="85" width="9" bestFit="1" customWidth="1"/>
    <col min="86" max="91" width="8.140625" bestFit="1" customWidth="1"/>
    <col min="92" max="92" width="9" bestFit="1" customWidth="1"/>
    <col min="93" max="94" width="8.140625" bestFit="1" customWidth="1"/>
    <col min="95" max="96" width="9" bestFit="1" customWidth="1"/>
    <col min="97" max="99" width="8.140625" bestFit="1" customWidth="1"/>
    <col min="100" max="101" width="9" bestFit="1" customWidth="1"/>
    <col min="102" max="102" width="8.140625" bestFit="1" customWidth="1"/>
    <col min="103" max="103" width="9" bestFit="1" customWidth="1"/>
    <col min="104" max="107" width="8.140625" bestFit="1" customWidth="1"/>
    <col min="108" max="108" width="9" bestFit="1" customWidth="1"/>
    <col min="109" max="115" width="8.140625" bestFit="1" customWidth="1"/>
    <col min="116" max="116" width="9" bestFit="1" customWidth="1"/>
    <col min="117" max="129" width="8.140625" bestFit="1" customWidth="1"/>
    <col min="130" max="130" width="9" bestFit="1" customWidth="1"/>
    <col min="131" max="143" width="8.140625" bestFit="1" customWidth="1"/>
    <col min="144" max="144" width="9" bestFit="1" customWidth="1"/>
    <col min="145" max="147" width="8.140625" bestFit="1" customWidth="1"/>
    <col min="148" max="148" width="9" bestFit="1" customWidth="1"/>
    <col min="149" max="151" width="8.140625" bestFit="1" customWidth="1"/>
    <col min="152" max="152" width="9" bestFit="1" customWidth="1"/>
    <col min="153" max="156" width="8.140625" bestFit="1" customWidth="1"/>
    <col min="157" max="157" width="9" bestFit="1" customWidth="1"/>
    <col min="158" max="158" width="8.140625" bestFit="1" customWidth="1"/>
    <col min="159" max="159" width="9" bestFit="1" customWidth="1"/>
    <col min="160" max="171" width="8.140625" bestFit="1" customWidth="1"/>
    <col min="172" max="172" width="9" bestFit="1" customWidth="1"/>
    <col min="173" max="173" width="8.140625" bestFit="1" customWidth="1"/>
    <col min="174" max="174" width="9" bestFit="1" customWidth="1"/>
    <col min="175" max="175" width="8.140625" bestFit="1" customWidth="1"/>
    <col min="176" max="176" width="9" bestFit="1" customWidth="1"/>
    <col min="177" max="177" width="8.140625" bestFit="1" customWidth="1"/>
    <col min="178" max="178" width="9" bestFit="1" customWidth="1"/>
    <col min="179" max="183" width="8.140625" bestFit="1" customWidth="1"/>
    <col min="184" max="184" width="9" bestFit="1" customWidth="1"/>
    <col min="185" max="190" width="8.140625" bestFit="1" customWidth="1"/>
    <col min="191" max="192" width="9" bestFit="1" customWidth="1"/>
    <col min="193" max="195" width="8.140625" bestFit="1" customWidth="1"/>
    <col min="196" max="199" width="9" bestFit="1" customWidth="1"/>
    <col min="200" max="215" width="8.140625" bestFit="1" customWidth="1"/>
    <col min="216" max="218" width="9" bestFit="1" customWidth="1"/>
    <col min="219" max="220" width="8.140625" bestFit="1" customWidth="1"/>
    <col min="221" max="221" width="9" bestFit="1" customWidth="1"/>
    <col min="222" max="227" width="8.140625" bestFit="1" customWidth="1"/>
    <col min="228" max="228" width="9" bestFit="1" customWidth="1"/>
    <col min="229" max="229" width="8.140625" bestFit="1" customWidth="1"/>
    <col min="230" max="230" width="9" bestFit="1" customWidth="1"/>
    <col min="231" max="233" width="8.140625" bestFit="1" customWidth="1"/>
    <col min="234" max="234" width="9" bestFit="1" customWidth="1"/>
    <col min="235" max="236" width="10" bestFit="1" customWidth="1"/>
    <col min="237" max="237" width="8.140625" bestFit="1" customWidth="1"/>
    <col min="238" max="238" width="9" bestFit="1" customWidth="1"/>
    <col min="239" max="240" width="8.140625" bestFit="1" customWidth="1"/>
    <col min="241" max="241" width="9" bestFit="1" customWidth="1"/>
    <col min="242" max="244" width="8.140625" bestFit="1" customWidth="1"/>
    <col min="245" max="245" width="9" bestFit="1" customWidth="1"/>
    <col min="246" max="247" width="8.140625" bestFit="1" customWidth="1"/>
    <col min="248" max="248" width="9" bestFit="1" customWidth="1"/>
    <col min="249" max="255" width="8.140625" bestFit="1" customWidth="1"/>
    <col min="256" max="256" width="9" bestFit="1" customWidth="1"/>
    <col min="257" max="257" width="8.140625" bestFit="1" customWidth="1"/>
    <col min="258" max="259" width="9" bestFit="1" customWidth="1"/>
    <col min="260" max="262" width="8.140625" bestFit="1" customWidth="1"/>
    <col min="263" max="263" width="9" bestFit="1" customWidth="1"/>
    <col min="264" max="264" width="8.140625" bestFit="1" customWidth="1"/>
    <col min="265" max="266" width="9" bestFit="1" customWidth="1"/>
    <col min="267" max="268" width="8.140625" bestFit="1" customWidth="1"/>
    <col min="269" max="269" width="14.7109375" bestFit="1" customWidth="1"/>
    <col min="270" max="270" width="12.7109375" bestFit="1" customWidth="1"/>
    <col min="271" max="271" width="8.140625" bestFit="1" customWidth="1"/>
    <col min="272" max="272" width="9" bestFit="1" customWidth="1"/>
    <col min="273" max="275" width="8.140625" bestFit="1" customWidth="1"/>
    <col min="276" max="276" width="9" bestFit="1" customWidth="1"/>
    <col min="277" max="280" width="8.140625" bestFit="1" customWidth="1"/>
    <col min="281" max="281" width="9" bestFit="1" customWidth="1"/>
    <col min="282" max="285" width="8.140625" bestFit="1" customWidth="1"/>
    <col min="286" max="289" width="9" bestFit="1" customWidth="1"/>
    <col min="290" max="291" width="8.140625" bestFit="1" customWidth="1"/>
    <col min="292" max="292" width="9" bestFit="1" customWidth="1"/>
    <col min="293" max="293" width="8.140625" bestFit="1" customWidth="1"/>
    <col min="294" max="294" width="9" bestFit="1" customWidth="1"/>
    <col min="295" max="300" width="8.140625" bestFit="1" customWidth="1"/>
    <col min="301" max="301" width="10" bestFit="1" customWidth="1"/>
    <col min="302" max="303" width="8.140625" bestFit="1" customWidth="1"/>
    <col min="304" max="304" width="9" bestFit="1" customWidth="1"/>
    <col min="305" max="305" width="8.140625" bestFit="1" customWidth="1"/>
    <col min="306" max="307" width="9" bestFit="1" customWidth="1"/>
    <col min="308" max="310" width="8.140625" bestFit="1" customWidth="1"/>
    <col min="311" max="311" width="9" bestFit="1" customWidth="1"/>
    <col min="312" max="313" width="8.140625" bestFit="1" customWidth="1"/>
    <col min="314" max="314" width="9" bestFit="1" customWidth="1"/>
    <col min="315" max="328" width="8.140625" bestFit="1" customWidth="1"/>
    <col min="329" max="329" width="9" bestFit="1" customWidth="1"/>
    <col min="330" max="330" width="8.140625" bestFit="1" customWidth="1"/>
    <col min="331" max="331" width="9" bestFit="1" customWidth="1"/>
    <col min="332" max="332" width="8.140625" bestFit="1" customWidth="1"/>
    <col min="333" max="333" width="9" bestFit="1" customWidth="1"/>
    <col min="334" max="334" width="8.140625" bestFit="1" customWidth="1"/>
    <col min="335" max="337" width="9" bestFit="1" customWidth="1"/>
    <col min="338" max="341" width="8.140625" bestFit="1" customWidth="1"/>
    <col min="342" max="344" width="9" bestFit="1" customWidth="1"/>
    <col min="345" max="345" width="8.140625" bestFit="1" customWidth="1"/>
    <col min="346" max="346" width="9" bestFit="1" customWidth="1"/>
    <col min="347" max="348" width="8.140625" bestFit="1" customWidth="1"/>
    <col min="349" max="349" width="9" bestFit="1" customWidth="1"/>
    <col min="350" max="352" width="8.140625" bestFit="1" customWidth="1"/>
    <col min="353" max="354" width="9" bestFit="1" customWidth="1"/>
    <col min="355" max="376" width="8.140625" bestFit="1" customWidth="1"/>
    <col min="377" max="378" width="9" bestFit="1" customWidth="1"/>
    <col min="379" max="382" width="8.140625" bestFit="1" customWidth="1"/>
    <col min="383" max="383" width="9" bestFit="1" customWidth="1"/>
    <col min="384" max="387" width="8.140625" bestFit="1" customWidth="1"/>
    <col min="388" max="388" width="9" bestFit="1" customWidth="1"/>
    <col min="389" max="390" width="8.140625" bestFit="1" customWidth="1"/>
    <col min="391" max="391" width="9" bestFit="1" customWidth="1"/>
    <col min="392" max="392" width="8.140625" bestFit="1" customWidth="1"/>
    <col min="393" max="393" width="9" bestFit="1" customWidth="1"/>
    <col min="394" max="396" width="8.140625" bestFit="1" customWidth="1"/>
    <col min="397" max="397" width="9" bestFit="1" customWidth="1"/>
    <col min="398" max="402" width="8.140625" bestFit="1" customWidth="1"/>
    <col min="403" max="403" width="10" bestFit="1" customWidth="1"/>
    <col min="404" max="408" width="8.140625" bestFit="1" customWidth="1"/>
    <col min="409" max="409" width="9" bestFit="1" customWidth="1"/>
    <col min="410" max="414" width="8.140625" bestFit="1" customWidth="1"/>
    <col min="415" max="415" width="9" bestFit="1" customWidth="1"/>
    <col min="416" max="418" width="8.140625" bestFit="1" customWidth="1"/>
    <col min="419" max="419" width="10" bestFit="1" customWidth="1"/>
    <col min="420" max="422" width="8.140625" bestFit="1" customWidth="1"/>
    <col min="423" max="423" width="9" bestFit="1" customWidth="1"/>
    <col min="424" max="429" width="8.140625" bestFit="1" customWidth="1"/>
    <col min="430" max="430" width="9" bestFit="1" customWidth="1"/>
    <col min="431" max="440" width="8.140625" bestFit="1" customWidth="1"/>
    <col min="441" max="442" width="9" bestFit="1" customWidth="1"/>
    <col min="443" max="444" width="8.140625" bestFit="1" customWidth="1"/>
    <col min="445" max="445" width="9" bestFit="1" customWidth="1"/>
    <col min="446" max="449" width="8.140625" bestFit="1" customWidth="1"/>
    <col min="450" max="450" width="9" bestFit="1" customWidth="1"/>
    <col min="451" max="454" width="8.140625" bestFit="1" customWidth="1"/>
    <col min="455" max="455" width="9" bestFit="1" customWidth="1"/>
    <col min="456" max="459" width="8.140625" bestFit="1" customWidth="1"/>
    <col min="460" max="460" width="9" bestFit="1" customWidth="1"/>
    <col min="461" max="461" width="8.140625" bestFit="1" customWidth="1"/>
    <col min="462" max="463" width="9" bestFit="1" customWidth="1"/>
    <col min="464" max="466" width="8.140625" bestFit="1" customWidth="1"/>
    <col min="467" max="467" width="9" bestFit="1" customWidth="1"/>
    <col min="468" max="468" width="8.140625" bestFit="1" customWidth="1"/>
    <col min="469" max="469" width="9" bestFit="1" customWidth="1"/>
    <col min="470" max="470" width="8.140625" bestFit="1" customWidth="1"/>
    <col min="471" max="471" width="9" bestFit="1" customWidth="1"/>
    <col min="472" max="472" width="8.140625" bestFit="1" customWidth="1"/>
    <col min="473" max="473" width="9" bestFit="1" customWidth="1"/>
    <col min="474" max="474" width="8.140625" bestFit="1" customWidth="1"/>
    <col min="475" max="476" width="10" bestFit="1" customWidth="1"/>
    <col min="477" max="479" width="8.140625" bestFit="1" customWidth="1"/>
    <col min="480" max="480" width="10" bestFit="1" customWidth="1"/>
    <col min="481" max="488" width="8.140625" bestFit="1" customWidth="1"/>
    <col min="489" max="489" width="9" bestFit="1" customWidth="1"/>
    <col min="490" max="491" width="8.140625" bestFit="1" customWidth="1"/>
    <col min="492" max="492" width="9" bestFit="1" customWidth="1"/>
    <col min="493" max="495" width="8.140625" bestFit="1" customWidth="1"/>
    <col min="496" max="496" width="10" bestFit="1" customWidth="1"/>
    <col min="497" max="497" width="9" bestFit="1" customWidth="1"/>
    <col min="498" max="499" width="8.140625" bestFit="1" customWidth="1"/>
    <col min="500" max="500" width="10" bestFit="1" customWidth="1"/>
    <col min="501" max="504" width="8.140625" bestFit="1" customWidth="1"/>
    <col min="505" max="506" width="9" bestFit="1" customWidth="1"/>
    <col min="507" max="511" width="8.140625" bestFit="1" customWidth="1"/>
    <col min="512" max="512" width="9" bestFit="1" customWidth="1"/>
    <col min="513" max="514" width="8.140625" bestFit="1" customWidth="1"/>
    <col min="515" max="515" width="9" bestFit="1" customWidth="1"/>
    <col min="516" max="519" width="8.140625" bestFit="1" customWidth="1"/>
    <col min="520" max="521" width="9" bestFit="1" customWidth="1"/>
    <col min="522" max="526" width="8.140625" bestFit="1" customWidth="1"/>
    <col min="527" max="527" width="15.85546875" bestFit="1" customWidth="1"/>
    <col min="528" max="528" width="9.42578125" bestFit="1" customWidth="1"/>
    <col min="529" max="530" width="8.140625" bestFit="1" customWidth="1"/>
    <col min="531" max="531" width="9" bestFit="1" customWidth="1"/>
    <col min="532" max="534" width="8.140625" bestFit="1" customWidth="1"/>
    <col min="535" max="535" width="9" bestFit="1" customWidth="1"/>
    <col min="536" max="537" width="8.140625" bestFit="1" customWidth="1"/>
    <col min="538" max="539" width="9" bestFit="1" customWidth="1"/>
    <col min="540" max="542" width="8.140625" bestFit="1" customWidth="1"/>
    <col min="543" max="543" width="9" bestFit="1" customWidth="1"/>
    <col min="544" max="548" width="8.140625" bestFit="1" customWidth="1"/>
    <col min="549" max="549" width="9" bestFit="1" customWidth="1"/>
    <col min="550" max="555" width="8.140625" bestFit="1" customWidth="1"/>
    <col min="556" max="556" width="9" bestFit="1" customWidth="1"/>
    <col min="557" max="558" width="8.140625" bestFit="1" customWidth="1"/>
    <col min="559" max="559" width="9" bestFit="1" customWidth="1"/>
    <col min="560" max="573" width="8.140625" bestFit="1" customWidth="1"/>
    <col min="574" max="576" width="9" bestFit="1" customWidth="1"/>
    <col min="577" max="579" width="8.140625" bestFit="1" customWidth="1"/>
    <col min="580" max="580" width="10" bestFit="1" customWidth="1"/>
    <col min="581" max="583" width="8.140625" bestFit="1" customWidth="1"/>
    <col min="584" max="584" width="9" bestFit="1" customWidth="1"/>
    <col min="585" max="585" width="8.140625" bestFit="1" customWidth="1"/>
    <col min="586" max="587" width="9" bestFit="1" customWidth="1"/>
    <col min="588" max="596" width="8.140625" bestFit="1" customWidth="1"/>
    <col min="597" max="597" width="9" bestFit="1" customWidth="1"/>
    <col min="598" max="599" width="8.140625" bestFit="1" customWidth="1"/>
    <col min="600" max="600" width="10" bestFit="1" customWidth="1"/>
    <col min="601" max="606" width="8.140625" bestFit="1" customWidth="1"/>
    <col min="607" max="609" width="9" bestFit="1" customWidth="1"/>
    <col min="610" max="612" width="8.140625" bestFit="1" customWidth="1"/>
    <col min="613" max="613" width="9" bestFit="1" customWidth="1"/>
    <col min="614" max="614" width="8.140625" bestFit="1" customWidth="1"/>
    <col min="615" max="615" width="9" bestFit="1" customWidth="1"/>
    <col min="616" max="617" width="8.140625" bestFit="1" customWidth="1"/>
    <col min="618" max="620" width="9" bestFit="1" customWidth="1"/>
    <col min="621" max="621" width="8.140625" bestFit="1" customWidth="1"/>
    <col min="622" max="622" width="9" bestFit="1" customWidth="1"/>
    <col min="623" max="640" width="8.140625" bestFit="1" customWidth="1"/>
    <col min="641" max="643" width="9" bestFit="1" customWidth="1"/>
    <col min="644" max="644" width="8.140625" bestFit="1" customWidth="1"/>
    <col min="645" max="646" width="9" bestFit="1" customWidth="1"/>
    <col min="647" max="651" width="8.140625" bestFit="1" customWidth="1"/>
    <col min="652" max="652" width="9" bestFit="1" customWidth="1"/>
    <col min="653" max="653" width="8.140625" bestFit="1" customWidth="1"/>
    <col min="654" max="654" width="9" bestFit="1" customWidth="1"/>
    <col min="655" max="658" width="8.140625" bestFit="1" customWidth="1"/>
    <col min="659" max="660" width="9" bestFit="1" customWidth="1"/>
    <col min="661" max="670" width="8.140625" bestFit="1" customWidth="1"/>
    <col min="671" max="671" width="9" bestFit="1" customWidth="1"/>
    <col min="672" max="673" width="8.140625" bestFit="1" customWidth="1"/>
    <col min="674" max="674" width="9" bestFit="1" customWidth="1"/>
    <col min="675" max="676" width="8.140625" bestFit="1" customWidth="1"/>
    <col min="677" max="677" width="9" bestFit="1" customWidth="1"/>
    <col min="678" max="680" width="8.140625" bestFit="1" customWidth="1"/>
    <col min="681" max="681" width="10" bestFit="1" customWidth="1"/>
    <col min="682" max="683" width="8.140625" bestFit="1" customWidth="1"/>
    <col min="684" max="684" width="9" bestFit="1" customWidth="1"/>
    <col min="685" max="688" width="8.140625" bestFit="1" customWidth="1"/>
    <col min="689" max="689" width="9" bestFit="1" customWidth="1"/>
    <col min="690" max="692" width="8.140625" bestFit="1" customWidth="1"/>
    <col min="693" max="693" width="9" bestFit="1" customWidth="1"/>
    <col min="694" max="694" width="8.140625" bestFit="1" customWidth="1"/>
    <col min="695" max="695" width="9" bestFit="1" customWidth="1"/>
    <col min="696" max="699" width="8.140625" bestFit="1" customWidth="1"/>
    <col min="700" max="700" width="9" bestFit="1" customWidth="1"/>
    <col min="701" max="703" width="8.140625" bestFit="1" customWidth="1"/>
    <col min="704" max="704" width="9" bestFit="1" customWidth="1"/>
    <col min="705" max="720" width="8.140625" bestFit="1" customWidth="1"/>
    <col min="721" max="721" width="9" bestFit="1" customWidth="1"/>
    <col min="722" max="722" width="8.140625" bestFit="1" customWidth="1"/>
    <col min="723" max="723" width="9" bestFit="1" customWidth="1"/>
    <col min="724" max="730" width="8.140625" bestFit="1" customWidth="1"/>
    <col min="731" max="732" width="9" bestFit="1" customWidth="1"/>
    <col min="733" max="743" width="8.140625" bestFit="1" customWidth="1"/>
    <col min="744" max="744" width="9" bestFit="1" customWidth="1"/>
    <col min="745" max="753" width="8.140625" bestFit="1" customWidth="1"/>
    <col min="754" max="754" width="9" bestFit="1" customWidth="1"/>
    <col min="755" max="775" width="8.140625" bestFit="1" customWidth="1"/>
    <col min="776" max="776" width="9" bestFit="1" customWidth="1"/>
    <col min="777" max="778" width="8.140625" bestFit="1" customWidth="1"/>
    <col min="779" max="779" width="9" bestFit="1" customWidth="1"/>
    <col min="780" max="784" width="8.140625" bestFit="1" customWidth="1"/>
    <col min="785" max="785" width="9" bestFit="1" customWidth="1"/>
    <col min="786" max="788" width="8.140625" bestFit="1" customWidth="1"/>
    <col min="789" max="790" width="9" bestFit="1" customWidth="1"/>
    <col min="791" max="792" width="8.140625" bestFit="1" customWidth="1"/>
    <col min="793" max="793" width="9" bestFit="1" customWidth="1"/>
    <col min="794" max="801" width="8.140625" bestFit="1" customWidth="1"/>
    <col min="802" max="802" width="9" bestFit="1" customWidth="1"/>
    <col min="803" max="803" width="12.42578125" bestFit="1" customWidth="1"/>
    <col min="804" max="804" width="9.140625" bestFit="1" customWidth="1"/>
    <col min="805" max="805" width="12.140625" bestFit="1" customWidth="1"/>
    <col min="806" max="806" width="11.28515625" bestFit="1" customWidth="1"/>
    <col min="807" max="807" width="10" bestFit="1" customWidth="1"/>
    <col min="808" max="808" width="13.140625" bestFit="1" customWidth="1"/>
    <col min="809" max="809" width="10" bestFit="1" customWidth="1"/>
    <col min="810" max="810" width="13.140625" bestFit="1" customWidth="1"/>
    <col min="811" max="811" width="10" bestFit="1" customWidth="1"/>
    <col min="812" max="812" width="13.140625" bestFit="1" customWidth="1"/>
    <col min="813" max="816" width="10" bestFit="1" customWidth="1"/>
    <col min="817" max="817" width="13.140625" bestFit="1" customWidth="1"/>
    <col min="818" max="818" width="10" bestFit="1" customWidth="1"/>
    <col min="819" max="819" width="13.140625" bestFit="1" customWidth="1"/>
    <col min="820" max="821" width="10" bestFit="1" customWidth="1"/>
    <col min="822" max="822" width="13.140625" bestFit="1" customWidth="1"/>
    <col min="823" max="823" width="10" bestFit="1" customWidth="1"/>
    <col min="824" max="824" width="13.140625" bestFit="1" customWidth="1"/>
    <col min="825" max="826" width="10" bestFit="1" customWidth="1"/>
    <col min="827" max="827" width="13.140625" bestFit="1" customWidth="1"/>
    <col min="828" max="829" width="10" bestFit="1" customWidth="1"/>
    <col min="830" max="830" width="13.140625" bestFit="1" customWidth="1"/>
    <col min="831" max="833" width="10" bestFit="1" customWidth="1"/>
    <col min="834" max="834" width="13.140625" bestFit="1" customWidth="1"/>
    <col min="835" max="835" width="10" bestFit="1" customWidth="1"/>
    <col min="836" max="836" width="13.140625" bestFit="1" customWidth="1"/>
    <col min="837" max="838" width="10" bestFit="1" customWidth="1"/>
    <col min="839" max="839" width="13.140625" bestFit="1" customWidth="1"/>
    <col min="840" max="841" width="10" bestFit="1" customWidth="1"/>
    <col min="842" max="842" width="13.140625" bestFit="1" customWidth="1"/>
    <col min="843" max="845" width="10" bestFit="1" customWidth="1"/>
    <col min="846" max="846" width="13.140625" bestFit="1" customWidth="1"/>
    <col min="847" max="847" width="10" bestFit="1" customWidth="1"/>
    <col min="848" max="848" width="13.140625" bestFit="1" customWidth="1"/>
    <col min="849" max="851" width="10" bestFit="1" customWidth="1"/>
    <col min="852" max="852" width="13.140625" bestFit="1" customWidth="1"/>
    <col min="853" max="853" width="10" bestFit="1" customWidth="1"/>
    <col min="854" max="854" width="13.140625" bestFit="1" customWidth="1"/>
    <col min="855" max="855" width="10" bestFit="1" customWidth="1"/>
    <col min="856" max="856" width="13.140625" bestFit="1" customWidth="1"/>
    <col min="857" max="857" width="10" bestFit="1" customWidth="1"/>
    <col min="858" max="858" width="13.140625" bestFit="1" customWidth="1"/>
    <col min="859" max="860" width="10" bestFit="1" customWidth="1"/>
    <col min="861" max="861" width="13.140625" bestFit="1" customWidth="1"/>
    <col min="862" max="862" width="10" bestFit="1" customWidth="1"/>
    <col min="863" max="863" width="13.140625" bestFit="1" customWidth="1"/>
    <col min="864" max="864" width="10" bestFit="1" customWidth="1"/>
    <col min="865" max="865" width="13.140625" bestFit="1" customWidth="1"/>
    <col min="866" max="866" width="10" bestFit="1" customWidth="1"/>
    <col min="867" max="867" width="13.140625" bestFit="1" customWidth="1"/>
    <col min="868" max="869" width="10" bestFit="1" customWidth="1"/>
    <col min="870" max="870" width="13.140625" bestFit="1" customWidth="1"/>
    <col min="871" max="871" width="10" bestFit="1" customWidth="1"/>
    <col min="872" max="872" width="13.140625" bestFit="1" customWidth="1"/>
    <col min="873" max="874" width="10" bestFit="1" customWidth="1"/>
    <col min="875" max="875" width="13.140625" bestFit="1" customWidth="1"/>
    <col min="876" max="876" width="10" bestFit="1" customWidth="1"/>
    <col min="877" max="877" width="13.140625" bestFit="1" customWidth="1"/>
    <col min="878" max="879" width="10" bestFit="1" customWidth="1"/>
    <col min="880" max="880" width="13.140625" bestFit="1" customWidth="1"/>
    <col min="881" max="881" width="10" bestFit="1" customWidth="1"/>
    <col min="882" max="882" width="13.140625" bestFit="1" customWidth="1"/>
    <col min="883" max="883" width="10" bestFit="1" customWidth="1"/>
    <col min="884" max="884" width="13.140625" bestFit="1" customWidth="1"/>
    <col min="885" max="885" width="10" bestFit="1" customWidth="1"/>
    <col min="886" max="886" width="13.140625" bestFit="1" customWidth="1"/>
    <col min="887" max="887" width="10" bestFit="1" customWidth="1"/>
    <col min="888" max="888" width="13.140625" bestFit="1" customWidth="1"/>
    <col min="889" max="892" width="10" bestFit="1" customWidth="1"/>
    <col min="893" max="893" width="13.140625" bestFit="1" customWidth="1"/>
    <col min="894" max="894" width="10" bestFit="1" customWidth="1"/>
    <col min="895" max="895" width="13.140625" bestFit="1" customWidth="1"/>
    <col min="896" max="897" width="10" bestFit="1" customWidth="1"/>
    <col min="898" max="898" width="13.140625" bestFit="1" customWidth="1"/>
    <col min="899" max="902" width="10" bestFit="1" customWidth="1"/>
    <col min="903" max="903" width="13.140625" bestFit="1" customWidth="1"/>
    <col min="904" max="906" width="10" bestFit="1" customWidth="1"/>
    <col min="907" max="907" width="13.140625" bestFit="1" customWidth="1"/>
    <col min="908" max="908" width="10" bestFit="1" customWidth="1"/>
    <col min="909" max="909" width="13.140625" bestFit="1" customWidth="1"/>
    <col min="910" max="910" width="10" bestFit="1" customWidth="1"/>
    <col min="911" max="911" width="13.140625" bestFit="1" customWidth="1"/>
    <col min="912" max="915" width="10" bestFit="1" customWidth="1"/>
    <col min="916" max="916" width="13.140625" bestFit="1" customWidth="1"/>
    <col min="917" max="918" width="10" bestFit="1" customWidth="1"/>
    <col min="919" max="919" width="13.140625" bestFit="1" customWidth="1"/>
    <col min="920" max="920" width="10" bestFit="1" customWidth="1"/>
    <col min="921" max="921" width="13.140625" bestFit="1" customWidth="1"/>
    <col min="922" max="922" width="10" bestFit="1" customWidth="1"/>
    <col min="923" max="923" width="13.140625" bestFit="1" customWidth="1"/>
    <col min="924" max="924" width="10" bestFit="1" customWidth="1"/>
    <col min="925" max="925" width="13.140625" bestFit="1" customWidth="1"/>
    <col min="926" max="927" width="10" bestFit="1" customWidth="1"/>
    <col min="928" max="928" width="13.140625" bestFit="1" customWidth="1"/>
    <col min="929" max="929" width="10" bestFit="1" customWidth="1"/>
    <col min="930" max="930" width="13.140625" bestFit="1" customWidth="1"/>
    <col min="931" max="932" width="10" bestFit="1" customWidth="1"/>
    <col min="933" max="933" width="13.140625" bestFit="1" customWidth="1"/>
    <col min="934" max="934" width="10" bestFit="1" customWidth="1"/>
    <col min="935" max="935" width="13.140625" bestFit="1" customWidth="1"/>
    <col min="936" max="937" width="10" bestFit="1" customWidth="1"/>
    <col min="938" max="938" width="13.140625" bestFit="1" customWidth="1"/>
    <col min="939" max="940" width="10" bestFit="1" customWidth="1"/>
    <col min="941" max="941" width="13.140625" bestFit="1" customWidth="1"/>
    <col min="942" max="943" width="10" bestFit="1" customWidth="1"/>
    <col min="944" max="944" width="13.140625" bestFit="1" customWidth="1"/>
    <col min="945" max="946" width="10" bestFit="1" customWidth="1"/>
    <col min="947" max="947" width="13.140625" bestFit="1" customWidth="1"/>
    <col min="948" max="949" width="10" bestFit="1" customWidth="1"/>
    <col min="950" max="950" width="13.140625" bestFit="1" customWidth="1"/>
    <col min="951" max="952" width="10" bestFit="1" customWidth="1"/>
    <col min="953" max="953" width="13.140625" bestFit="1" customWidth="1"/>
    <col min="954" max="955" width="10" bestFit="1" customWidth="1"/>
    <col min="956" max="956" width="13.140625" bestFit="1" customWidth="1"/>
    <col min="957" max="958" width="10" bestFit="1" customWidth="1"/>
    <col min="959" max="959" width="13.140625" bestFit="1" customWidth="1"/>
    <col min="960" max="961" width="10" bestFit="1" customWidth="1"/>
    <col min="962" max="962" width="13.140625" bestFit="1" customWidth="1"/>
    <col min="963" max="964" width="10" bestFit="1" customWidth="1"/>
    <col min="965" max="965" width="13.140625" bestFit="1" customWidth="1"/>
    <col min="966" max="966" width="10" bestFit="1" customWidth="1"/>
    <col min="967" max="967" width="13.140625" bestFit="1" customWidth="1"/>
    <col min="968" max="968" width="10" bestFit="1" customWidth="1"/>
    <col min="969" max="969" width="13.140625" bestFit="1" customWidth="1"/>
    <col min="970" max="971" width="10" bestFit="1" customWidth="1"/>
    <col min="972" max="972" width="13.140625" bestFit="1" customWidth="1"/>
    <col min="973" max="973" width="10" bestFit="1" customWidth="1"/>
    <col min="974" max="974" width="13.140625" bestFit="1" customWidth="1"/>
    <col min="975" max="976" width="10" bestFit="1" customWidth="1"/>
    <col min="977" max="977" width="13.140625" bestFit="1" customWidth="1"/>
    <col min="978" max="978" width="10" bestFit="1" customWidth="1"/>
    <col min="979" max="979" width="13.140625" bestFit="1" customWidth="1"/>
    <col min="980" max="980" width="10" bestFit="1" customWidth="1"/>
    <col min="981" max="981" width="13.140625" bestFit="1" customWidth="1"/>
    <col min="982" max="982" width="10" bestFit="1" customWidth="1"/>
    <col min="983" max="983" width="13.140625" bestFit="1" customWidth="1"/>
    <col min="984" max="984" width="10" bestFit="1" customWidth="1"/>
    <col min="985" max="985" width="13.140625" bestFit="1" customWidth="1"/>
    <col min="986" max="987" width="10" bestFit="1" customWidth="1"/>
    <col min="988" max="988" width="13.140625" bestFit="1" customWidth="1"/>
    <col min="989" max="990" width="10" bestFit="1" customWidth="1"/>
    <col min="991" max="991" width="13.140625" bestFit="1" customWidth="1"/>
    <col min="992" max="994" width="10" bestFit="1" customWidth="1"/>
    <col min="995" max="995" width="13.140625" bestFit="1" customWidth="1"/>
    <col min="996" max="996" width="10" bestFit="1" customWidth="1"/>
    <col min="997" max="997" width="13.140625" bestFit="1" customWidth="1"/>
    <col min="998" max="999" width="10" bestFit="1" customWidth="1"/>
    <col min="1000" max="1000" width="13.140625" bestFit="1" customWidth="1"/>
    <col min="1001" max="1001" width="10" bestFit="1" customWidth="1"/>
    <col min="1002" max="1002" width="13.140625" bestFit="1" customWidth="1"/>
    <col min="1003" max="1003" width="10" bestFit="1" customWidth="1"/>
    <col min="1004" max="1004" width="13.140625" bestFit="1" customWidth="1"/>
    <col min="1005" max="1005" width="10" bestFit="1" customWidth="1"/>
    <col min="1006" max="1006" width="13.140625" bestFit="1" customWidth="1"/>
    <col min="1007" max="1007" width="10" bestFit="1" customWidth="1"/>
    <col min="1008" max="1008" width="13.140625" bestFit="1" customWidth="1"/>
    <col min="1009" max="1009" width="10" bestFit="1" customWidth="1"/>
    <col min="1010" max="1010" width="13.140625" bestFit="1" customWidth="1"/>
    <col min="1011" max="1013" width="10" bestFit="1" customWidth="1"/>
    <col min="1014" max="1014" width="13.140625" bestFit="1" customWidth="1"/>
    <col min="1015" max="1018" width="10" bestFit="1" customWidth="1"/>
    <col min="1019" max="1019" width="13.140625" bestFit="1" customWidth="1"/>
    <col min="1020" max="1020" width="10" bestFit="1" customWidth="1"/>
    <col min="1021" max="1021" width="13.140625" bestFit="1" customWidth="1"/>
    <col min="1022" max="1023" width="10" bestFit="1" customWidth="1"/>
    <col min="1024" max="1024" width="13.140625" bestFit="1" customWidth="1"/>
    <col min="1025" max="1025" width="10" bestFit="1" customWidth="1"/>
    <col min="1026" max="1026" width="13.140625" bestFit="1" customWidth="1"/>
    <col min="1027" max="1029" width="10" bestFit="1" customWidth="1"/>
    <col min="1030" max="1030" width="13.140625" bestFit="1" customWidth="1"/>
    <col min="1031" max="1032" width="10" bestFit="1" customWidth="1"/>
    <col min="1033" max="1033" width="13.140625" bestFit="1" customWidth="1"/>
    <col min="1034" max="1035" width="10" bestFit="1" customWidth="1"/>
    <col min="1036" max="1036" width="13.140625" bestFit="1" customWidth="1"/>
    <col min="1037" max="1038" width="10" bestFit="1" customWidth="1"/>
    <col min="1039" max="1039" width="13.140625" bestFit="1" customWidth="1"/>
    <col min="1040" max="1040" width="10" bestFit="1" customWidth="1"/>
    <col min="1041" max="1041" width="13.140625" bestFit="1" customWidth="1"/>
    <col min="1042" max="1042" width="10" bestFit="1" customWidth="1"/>
    <col min="1043" max="1043" width="13.140625" bestFit="1" customWidth="1"/>
    <col min="1044" max="1044" width="10" bestFit="1" customWidth="1"/>
    <col min="1045" max="1045" width="13.140625" bestFit="1" customWidth="1"/>
    <col min="1046" max="1050" width="10" bestFit="1" customWidth="1"/>
    <col min="1051" max="1051" width="13.140625" bestFit="1" customWidth="1"/>
    <col min="1052" max="1052" width="10" bestFit="1" customWidth="1"/>
    <col min="1053" max="1053" width="13.140625" bestFit="1" customWidth="1"/>
    <col min="1054" max="1059" width="10" bestFit="1" customWidth="1"/>
    <col min="1060" max="1060" width="13.140625" bestFit="1" customWidth="1"/>
    <col min="1061" max="1062" width="10" bestFit="1" customWidth="1"/>
    <col min="1063" max="1063" width="13.140625" bestFit="1" customWidth="1"/>
    <col min="1064" max="1065" width="10" bestFit="1" customWidth="1"/>
    <col min="1066" max="1066" width="13.140625" bestFit="1" customWidth="1"/>
    <col min="1067" max="1067" width="10" bestFit="1" customWidth="1"/>
    <col min="1068" max="1068" width="13.140625" bestFit="1" customWidth="1"/>
    <col min="1069" max="1069" width="10" bestFit="1" customWidth="1"/>
    <col min="1070" max="1070" width="13.140625" bestFit="1" customWidth="1"/>
    <col min="1071" max="1072" width="10" bestFit="1" customWidth="1"/>
    <col min="1073" max="1073" width="13.140625" bestFit="1" customWidth="1"/>
    <col min="1074" max="1074" width="10" bestFit="1" customWidth="1"/>
    <col min="1075" max="1075" width="13.140625" bestFit="1" customWidth="1"/>
    <col min="1076" max="1077" width="10" bestFit="1" customWidth="1"/>
    <col min="1078" max="1078" width="13.140625" bestFit="1" customWidth="1"/>
    <col min="1079" max="1079" width="10" bestFit="1" customWidth="1"/>
    <col min="1080" max="1080" width="13.140625" bestFit="1" customWidth="1"/>
    <col min="1081" max="1081" width="10" bestFit="1" customWidth="1"/>
    <col min="1082" max="1082" width="13.140625" bestFit="1" customWidth="1"/>
    <col min="1083" max="1084" width="10" bestFit="1" customWidth="1"/>
    <col min="1085" max="1085" width="13.140625" bestFit="1" customWidth="1"/>
    <col min="1086" max="1087" width="10" bestFit="1" customWidth="1"/>
    <col min="1088" max="1088" width="13.140625" bestFit="1" customWidth="1"/>
    <col min="1089" max="1089" width="10" bestFit="1" customWidth="1"/>
    <col min="1090" max="1090" width="13.140625" bestFit="1" customWidth="1"/>
    <col min="1091" max="1092" width="10" bestFit="1" customWidth="1"/>
    <col min="1093" max="1093" width="13.140625" bestFit="1" customWidth="1"/>
    <col min="1094" max="1096" width="10" bestFit="1" customWidth="1"/>
    <col min="1097" max="1097" width="13.140625" bestFit="1" customWidth="1"/>
    <col min="1098" max="1099" width="10" bestFit="1" customWidth="1"/>
    <col min="1100" max="1100" width="13.140625" bestFit="1" customWidth="1"/>
    <col min="1101" max="1102" width="10" bestFit="1" customWidth="1"/>
    <col min="1103" max="1103" width="13.140625" bestFit="1" customWidth="1"/>
    <col min="1104" max="1105" width="10" bestFit="1" customWidth="1"/>
    <col min="1106" max="1106" width="13.140625" bestFit="1" customWidth="1"/>
    <col min="1107" max="1110" width="10" bestFit="1" customWidth="1"/>
    <col min="1111" max="1111" width="13.140625" bestFit="1" customWidth="1"/>
    <col min="1112" max="1113" width="10" bestFit="1" customWidth="1"/>
    <col min="1114" max="1114" width="13.140625" bestFit="1" customWidth="1"/>
    <col min="1115" max="1115" width="10" bestFit="1" customWidth="1"/>
    <col min="1116" max="1116" width="13.140625" bestFit="1" customWidth="1"/>
    <col min="1117" max="1119" width="10" bestFit="1" customWidth="1"/>
    <col min="1120" max="1120" width="13.140625" bestFit="1" customWidth="1"/>
    <col min="1121" max="1121" width="10" bestFit="1" customWidth="1"/>
    <col min="1122" max="1122" width="13.140625" bestFit="1" customWidth="1"/>
    <col min="1123" max="1125" width="10" bestFit="1" customWidth="1"/>
    <col min="1126" max="1126" width="13.140625" bestFit="1" customWidth="1"/>
    <col min="1127" max="1128" width="10" bestFit="1" customWidth="1"/>
    <col min="1129" max="1129" width="13.140625" bestFit="1" customWidth="1"/>
    <col min="1130" max="1132" width="10" bestFit="1" customWidth="1"/>
    <col min="1133" max="1133" width="13.140625" bestFit="1" customWidth="1"/>
    <col min="1134" max="1134" width="10" bestFit="1" customWidth="1"/>
    <col min="1135" max="1135" width="13.140625" bestFit="1" customWidth="1"/>
    <col min="1136" max="1139" width="10" bestFit="1" customWidth="1"/>
    <col min="1140" max="1140" width="13.140625" bestFit="1" customWidth="1"/>
    <col min="1141" max="1142" width="10" bestFit="1" customWidth="1"/>
    <col min="1143" max="1143" width="13.140625" bestFit="1" customWidth="1"/>
    <col min="1144" max="1145" width="10" bestFit="1" customWidth="1"/>
    <col min="1146" max="1146" width="13.140625" bestFit="1" customWidth="1"/>
    <col min="1147" max="1147" width="10" bestFit="1" customWidth="1"/>
    <col min="1148" max="1148" width="13.140625" bestFit="1" customWidth="1"/>
    <col min="1149" max="1152" width="10" bestFit="1" customWidth="1"/>
    <col min="1153" max="1153" width="13.140625" bestFit="1" customWidth="1"/>
    <col min="1154" max="1154" width="10" bestFit="1" customWidth="1"/>
    <col min="1155" max="1155" width="13.140625" bestFit="1" customWidth="1"/>
    <col min="1156" max="1156" width="10" bestFit="1" customWidth="1"/>
    <col min="1157" max="1157" width="13.140625" bestFit="1" customWidth="1"/>
    <col min="1158" max="1160" width="10" bestFit="1" customWidth="1"/>
    <col min="1161" max="1161" width="13.140625" bestFit="1" customWidth="1"/>
    <col min="1162" max="1163" width="10" bestFit="1" customWidth="1"/>
    <col min="1164" max="1164" width="13.140625" bestFit="1" customWidth="1"/>
    <col min="1165" max="1166" width="10" bestFit="1" customWidth="1"/>
    <col min="1167" max="1167" width="13.140625" bestFit="1" customWidth="1"/>
    <col min="1168" max="1169" width="10" bestFit="1" customWidth="1"/>
    <col min="1170" max="1170" width="13.140625" bestFit="1" customWidth="1"/>
    <col min="1171" max="1173" width="10" bestFit="1" customWidth="1"/>
    <col min="1174" max="1174" width="13.140625" bestFit="1" customWidth="1"/>
    <col min="1175" max="1176" width="10" bestFit="1" customWidth="1"/>
    <col min="1177" max="1177" width="13.140625" bestFit="1" customWidth="1"/>
    <col min="1178" max="1179" width="10" bestFit="1" customWidth="1"/>
    <col min="1180" max="1180" width="13.140625" bestFit="1" customWidth="1"/>
    <col min="1181" max="1182" width="10" bestFit="1" customWidth="1"/>
    <col min="1183" max="1183" width="13.140625" bestFit="1" customWidth="1"/>
    <col min="1184" max="1184" width="10" bestFit="1" customWidth="1"/>
    <col min="1185" max="1185" width="13.140625" bestFit="1" customWidth="1"/>
    <col min="1186" max="1189" width="10" bestFit="1" customWidth="1"/>
    <col min="1190" max="1190" width="13.140625" bestFit="1" customWidth="1"/>
    <col min="1191" max="1191" width="10" bestFit="1" customWidth="1"/>
    <col min="1192" max="1192" width="13.140625" bestFit="1" customWidth="1"/>
    <col min="1193" max="1193" width="10" bestFit="1" customWidth="1"/>
    <col min="1194" max="1194" width="13.140625" bestFit="1" customWidth="1"/>
    <col min="1195" max="1195" width="10" bestFit="1" customWidth="1"/>
    <col min="1196" max="1196" width="13.140625" bestFit="1" customWidth="1"/>
    <col min="1197" max="1200" width="10" bestFit="1" customWidth="1"/>
    <col min="1201" max="1201" width="13.140625" bestFit="1" customWidth="1"/>
    <col min="1202" max="1203" width="10" bestFit="1" customWidth="1"/>
    <col min="1204" max="1204" width="13.140625" bestFit="1" customWidth="1"/>
    <col min="1205" max="1208" width="10" bestFit="1" customWidth="1"/>
    <col min="1209" max="1209" width="13.140625" bestFit="1" customWidth="1"/>
    <col min="1210" max="1210" width="10" bestFit="1" customWidth="1"/>
    <col min="1211" max="1211" width="13.140625" bestFit="1" customWidth="1"/>
    <col min="1212" max="1213" width="10" bestFit="1" customWidth="1"/>
    <col min="1214" max="1214" width="13.140625" bestFit="1" customWidth="1"/>
    <col min="1215" max="1216" width="10" bestFit="1" customWidth="1"/>
    <col min="1217" max="1217" width="13.140625" bestFit="1" customWidth="1"/>
    <col min="1218" max="1219" width="10" bestFit="1" customWidth="1"/>
    <col min="1220" max="1220" width="13.140625" bestFit="1" customWidth="1"/>
    <col min="1221" max="1221" width="10" bestFit="1" customWidth="1"/>
    <col min="1222" max="1222" width="13.140625" bestFit="1" customWidth="1"/>
    <col min="1223" max="1223" width="10" bestFit="1" customWidth="1"/>
    <col min="1224" max="1224" width="13.140625" bestFit="1" customWidth="1"/>
    <col min="1225" max="1225" width="10" bestFit="1" customWidth="1"/>
    <col min="1226" max="1226" width="13.140625" bestFit="1" customWidth="1"/>
    <col min="1227" max="1229" width="10" bestFit="1" customWidth="1"/>
    <col min="1230" max="1230" width="13.140625" bestFit="1" customWidth="1"/>
    <col min="1231" max="1232" width="10" bestFit="1" customWidth="1"/>
    <col min="1233" max="1233" width="13.140625" bestFit="1" customWidth="1"/>
    <col min="1234" max="1234" width="10" bestFit="1" customWidth="1"/>
    <col min="1235" max="1235" width="13.140625" bestFit="1" customWidth="1"/>
    <col min="1236" max="1239" width="10" bestFit="1" customWidth="1"/>
    <col min="1240" max="1240" width="13.140625" bestFit="1" customWidth="1"/>
    <col min="1241" max="1241" width="10" bestFit="1" customWidth="1"/>
    <col min="1242" max="1242" width="13.140625" bestFit="1" customWidth="1"/>
    <col min="1243" max="1243" width="10" bestFit="1" customWidth="1"/>
    <col min="1244" max="1244" width="13.140625" bestFit="1" customWidth="1"/>
    <col min="1245" max="1248" width="10" bestFit="1" customWidth="1"/>
    <col min="1249" max="1249" width="13.140625" bestFit="1" customWidth="1"/>
    <col min="1250" max="1252" width="10" bestFit="1" customWidth="1"/>
    <col min="1253" max="1253" width="13.140625" bestFit="1" customWidth="1"/>
    <col min="1254" max="1255" width="10" bestFit="1" customWidth="1"/>
    <col min="1256" max="1256" width="13.140625" bestFit="1" customWidth="1"/>
    <col min="1257" max="1259" width="10" bestFit="1" customWidth="1"/>
    <col min="1260" max="1260" width="13.140625" bestFit="1" customWidth="1"/>
    <col min="1261" max="1262" width="10" bestFit="1" customWidth="1"/>
    <col min="1263" max="1263" width="13.140625" bestFit="1" customWidth="1"/>
    <col min="1264" max="1264" width="10" bestFit="1" customWidth="1"/>
    <col min="1265" max="1265" width="13.140625" bestFit="1" customWidth="1"/>
    <col min="1266" max="1267" width="10" bestFit="1" customWidth="1"/>
    <col min="1268" max="1268" width="13.140625" bestFit="1" customWidth="1"/>
    <col min="1269" max="1269" width="10" bestFit="1" customWidth="1"/>
    <col min="1270" max="1270" width="13.140625" bestFit="1" customWidth="1"/>
    <col min="1271" max="1272" width="10" bestFit="1" customWidth="1"/>
    <col min="1273" max="1273" width="13.140625" bestFit="1" customWidth="1"/>
    <col min="1274" max="1277" width="10" bestFit="1" customWidth="1"/>
    <col min="1278" max="1278" width="13.140625" bestFit="1" customWidth="1"/>
    <col min="1279" max="1279" width="10" bestFit="1" customWidth="1"/>
    <col min="1280" max="1280" width="13.140625" bestFit="1" customWidth="1"/>
    <col min="1281" max="1285" width="10" bestFit="1" customWidth="1"/>
    <col min="1286" max="1286" width="13.140625" bestFit="1" customWidth="1"/>
    <col min="1287" max="1287" width="10" bestFit="1" customWidth="1"/>
    <col min="1288" max="1288" width="13.140625" bestFit="1" customWidth="1"/>
    <col min="1289" max="1289" width="10" bestFit="1" customWidth="1"/>
    <col min="1290" max="1290" width="13.140625" bestFit="1" customWidth="1"/>
    <col min="1291" max="1293" width="10" bestFit="1" customWidth="1"/>
    <col min="1294" max="1294" width="13.140625" bestFit="1" customWidth="1"/>
    <col min="1295" max="1296" width="10" bestFit="1" customWidth="1"/>
    <col min="1297" max="1297" width="13.140625" bestFit="1" customWidth="1"/>
    <col min="1298" max="1299" width="10" bestFit="1" customWidth="1"/>
    <col min="1300" max="1300" width="13.140625" bestFit="1" customWidth="1"/>
    <col min="1301" max="1303" width="10" bestFit="1" customWidth="1"/>
    <col min="1304" max="1304" width="13.140625" bestFit="1" customWidth="1"/>
    <col min="1305" max="1305" width="10" bestFit="1" customWidth="1"/>
    <col min="1306" max="1306" width="13.140625" bestFit="1" customWidth="1"/>
    <col min="1307" max="1311" width="10" bestFit="1" customWidth="1"/>
    <col min="1312" max="1312" width="13.140625" bestFit="1" customWidth="1"/>
    <col min="1313" max="1313" width="10" bestFit="1" customWidth="1"/>
    <col min="1314" max="1314" width="13.140625" bestFit="1" customWidth="1"/>
    <col min="1315" max="1316" width="10" bestFit="1" customWidth="1"/>
    <col min="1317" max="1317" width="13.140625" bestFit="1" customWidth="1"/>
    <col min="1318" max="1319" width="10" bestFit="1" customWidth="1"/>
    <col min="1320" max="1320" width="13.140625" bestFit="1" customWidth="1"/>
    <col min="1321" max="1321" width="10" bestFit="1" customWidth="1"/>
    <col min="1322" max="1322" width="13.140625" bestFit="1" customWidth="1"/>
    <col min="1323" max="1325" width="10" bestFit="1" customWidth="1"/>
    <col min="1326" max="1326" width="13.140625" bestFit="1" customWidth="1"/>
    <col min="1327" max="1331" width="10" bestFit="1" customWidth="1"/>
    <col min="1332" max="1332" width="13.140625" bestFit="1" customWidth="1"/>
    <col min="1333" max="1335" width="10" bestFit="1" customWidth="1"/>
    <col min="1336" max="1336" width="13.140625" bestFit="1" customWidth="1"/>
    <col min="1337" max="1337" width="10" bestFit="1" customWidth="1"/>
    <col min="1338" max="1338" width="13.140625" bestFit="1" customWidth="1"/>
    <col min="1339" max="1342" width="10" bestFit="1" customWidth="1"/>
    <col min="1343" max="1343" width="13.140625" bestFit="1" customWidth="1"/>
    <col min="1344" max="1345" width="10" bestFit="1" customWidth="1"/>
    <col min="1346" max="1346" width="13.140625" bestFit="1" customWidth="1"/>
    <col min="1347" max="1351" width="10" bestFit="1" customWidth="1"/>
    <col min="1352" max="1352" width="13.140625" bestFit="1" customWidth="1"/>
    <col min="1353" max="1353" width="10" bestFit="1" customWidth="1"/>
    <col min="1354" max="1354" width="13.140625" bestFit="1" customWidth="1"/>
    <col min="1355" max="1356" width="10" bestFit="1" customWidth="1"/>
    <col min="1357" max="1357" width="13.140625" bestFit="1" customWidth="1"/>
    <col min="1358" max="1358" width="10" bestFit="1" customWidth="1"/>
    <col min="1359" max="1359" width="13.140625" bestFit="1" customWidth="1"/>
    <col min="1360" max="1366" width="10" bestFit="1" customWidth="1"/>
    <col min="1367" max="1367" width="13.140625" bestFit="1" customWidth="1"/>
    <col min="1368" max="1369" width="10" bestFit="1" customWidth="1"/>
    <col min="1370" max="1370" width="13.140625" bestFit="1" customWidth="1"/>
    <col min="1371" max="1371" width="10" bestFit="1" customWidth="1"/>
    <col min="1372" max="1372" width="13.140625" bestFit="1" customWidth="1"/>
    <col min="1373" max="1373" width="10" bestFit="1" customWidth="1"/>
    <col min="1374" max="1374" width="13.140625" bestFit="1" customWidth="1"/>
    <col min="1375" max="1375" width="10" bestFit="1" customWidth="1"/>
    <col min="1376" max="1376" width="13.140625" bestFit="1" customWidth="1"/>
    <col min="1377" max="1378" width="10" bestFit="1" customWidth="1"/>
    <col min="1379" max="1379" width="13.140625" bestFit="1" customWidth="1"/>
    <col min="1380" max="1381" width="10" bestFit="1" customWidth="1"/>
    <col min="1382" max="1382" width="13.140625" bestFit="1" customWidth="1"/>
    <col min="1383" max="1384" width="10" bestFit="1" customWidth="1"/>
    <col min="1385" max="1385" width="13.140625" bestFit="1" customWidth="1"/>
    <col min="1386" max="1386" width="10" bestFit="1" customWidth="1"/>
    <col min="1387" max="1387" width="13.140625" bestFit="1" customWidth="1"/>
    <col min="1388" max="1391" width="10" bestFit="1" customWidth="1"/>
    <col min="1392" max="1392" width="13.140625" bestFit="1" customWidth="1"/>
    <col min="1393" max="1393" width="10" bestFit="1" customWidth="1"/>
    <col min="1394" max="1394" width="13.140625" bestFit="1" customWidth="1"/>
    <col min="1395" max="1395" width="10" bestFit="1" customWidth="1"/>
    <col min="1396" max="1396" width="13.140625" bestFit="1" customWidth="1"/>
    <col min="1397" max="1397" width="10" bestFit="1" customWidth="1"/>
    <col min="1398" max="1398" width="13.140625" bestFit="1" customWidth="1"/>
    <col min="1399" max="1401" width="10" bestFit="1" customWidth="1"/>
    <col min="1402" max="1402" width="13.140625" bestFit="1" customWidth="1"/>
    <col min="1403" max="1403" width="10" bestFit="1" customWidth="1"/>
    <col min="1404" max="1404" width="13.140625" bestFit="1" customWidth="1"/>
    <col min="1405" max="1405" width="10" bestFit="1" customWidth="1"/>
    <col min="1406" max="1406" width="13.140625" bestFit="1" customWidth="1"/>
    <col min="1407" max="1407" width="10" bestFit="1" customWidth="1"/>
    <col min="1408" max="1408" width="13.140625" bestFit="1" customWidth="1"/>
    <col min="1409" max="1410" width="10" bestFit="1" customWidth="1"/>
    <col min="1411" max="1411" width="13.140625" bestFit="1" customWidth="1"/>
    <col min="1412" max="1413" width="10" bestFit="1" customWidth="1"/>
    <col min="1414" max="1414" width="13.140625" bestFit="1" customWidth="1"/>
    <col min="1415" max="1415" width="10" bestFit="1" customWidth="1"/>
    <col min="1416" max="1416" width="13.140625" bestFit="1" customWidth="1"/>
    <col min="1417" max="1418" width="10" bestFit="1" customWidth="1"/>
    <col min="1419" max="1419" width="13.140625" bestFit="1" customWidth="1"/>
    <col min="1420" max="1421" width="10" bestFit="1" customWidth="1"/>
    <col min="1422" max="1422" width="13.140625" bestFit="1" customWidth="1"/>
    <col min="1423" max="1423" width="10" bestFit="1" customWidth="1"/>
    <col min="1424" max="1424" width="13.140625" bestFit="1" customWidth="1"/>
    <col min="1425" max="1426" width="10" bestFit="1" customWidth="1"/>
    <col min="1427" max="1427" width="13.140625" bestFit="1" customWidth="1"/>
    <col min="1428" max="1429" width="10" bestFit="1" customWidth="1"/>
    <col min="1430" max="1430" width="13.140625" bestFit="1" customWidth="1"/>
    <col min="1431" max="1432" width="10" bestFit="1" customWidth="1"/>
    <col min="1433" max="1433" width="13.140625" bestFit="1" customWidth="1"/>
    <col min="1434" max="1435" width="10" bestFit="1" customWidth="1"/>
    <col min="1436" max="1436" width="13.140625" bestFit="1" customWidth="1"/>
    <col min="1437" max="1440" width="10" bestFit="1" customWidth="1"/>
    <col min="1441" max="1441" width="13.140625" bestFit="1" customWidth="1"/>
    <col min="1442" max="1443" width="10" bestFit="1" customWidth="1"/>
    <col min="1444" max="1444" width="13.140625" bestFit="1" customWidth="1"/>
    <col min="1445" max="1448" width="10" bestFit="1" customWidth="1"/>
    <col min="1449" max="1449" width="13.140625" bestFit="1" customWidth="1"/>
    <col min="1450" max="1450" width="10" bestFit="1" customWidth="1"/>
    <col min="1451" max="1451" width="13.140625" bestFit="1" customWidth="1"/>
    <col min="1452" max="1454" width="10" bestFit="1" customWidth="1"/>
    <col min="1455" max="1455" width="13.140625" bestFit="1" customWidth="1"/>
    <col min="1456" max="1456" width="10" bestFit="1" customWidth="1"/>
    <col min="1457" max="1457" width="13.140625" bestFit="1" customWidth="1"/>
    <col min="1458" max="1458" width="10" bestFit="1" customWidth="1"/>
    <col min="1459" max="1459" width="13.140625" bestFit="1" customWidth="1"/>
    <col min="1460" max="1460" width="10" bestFit="1" customWidth="1"/>
    <col min="1461" max="1461" width="13.140625" bestFit="1" customWidth="1"/>
    <col min="1462" max="1464" width="10" bestFit="1" customWidth="1"/>
    <col min="1465" max="1465" width="13.140625" bestFit="1" customWidth="1"/>
    <col min="1466" max="1467" width="10" bestFit="1" customWidth="1"/>
    <col min="1468" max="1468" width="13.140625" bestFit="1" customWidth="1"/>
    <col min="1469" max="1471" width="10" bestFit="1" customWidth="1"/>
    <col min="1472" max="1472" width="13.140625" bestFit="1" customWidth="1"/>
    <col min="1473" max="1474" width="10" bestFit="1" customWidth="1"/>
    <col min="1475" max="1475" width="13.140625" bestFit="1" customWidth="1"/>
    <col min="1476" max="1476" width="10" bestFit="1" customWidth="1"/>
    <col min="1477" max="1477" width="13.140625" bestFit="1" customWidth="1"/>
    <col min="1478" max="1478" width="10" bestFit="1" customWidth="1"/>
    <col min="1479" max="1479" width="13.140625" bestFit="1" customWidth="1"/>
    <col min="1480" max="1480" width="10" bestFit="1" customWidth="1"/>
    <col min="1481" max="1481" width="13.140625" bestFit="1" customWidth="1"/>
    <col min="1482" max="1483" width="10" bestFit="1" customWidth="1"/>
    <col min="1484" max="1484" width="13.140625" bestFit="1" customWidth="1"/>
    <col min="1485" max="1485" width="10" bestFit="1" customWidth="1"/>
    <col min="1486" max="1486" width="13.140625" bestFit="1" customWidth="1"/>
    <col min="1487" max="1488" width="10" bestFit="1" customWidth="1"/>
    <col min="1489" max="1489" width="13.140625" bestFit="1" customWidth="1"/>
    <col min="1490" max="1490" width="10" bestFit="1" customWidth="1"/>
    <col min="1491" max="1491" width="13.140625" bestFit="1" customWidth="1"/>
    <col min="1492" max="1493" width="10" bestFit="1" customWidth="1"/>
    <col min="1494" max="1494" width="13.140625" bestFit="1" customWidth="1"/>
    <col min="1495" max="1495" width="10" bestFit="1" customWidth="1"/>
    <col min="1496" max="1496" width="13.140625" bestFit="1" customWidth="1"/>
    <col min="1497" max="1498" width="10" bestFit="1" customWidth="1"/>
    <col min="1499" max="1499" width="13.140625" bestFit="1" customWidth="1"/>
    <col min="1500" max="1500" width="10" bestFit="1" customWidth="1"/>
    <col min="1501" max="1501" width="13.140625" bestFit="1" customWidth="1"/>
    <col min="1502" max="1503" width="10" bestFit="1" customWidth="1"/>
    <col min="1504" max="1504" width="13.140625" bestFit="1" customWidth="1"/>
    <col min="1505" max="1505" width="10" bestFit="1" customWidth="1"/>
    <col min="1506" max="1506" width="13.140625" bestFit="1" customWidth="1"/>
    <col min="1507" max="1507" width="10" bestFit="1" customWidth="1"/>
    <col min="1508" max="1508" width="13.140625" bestFit="1" customWidth="1"/>
    <col min="1509" max="1510" width="10" bestFit="1" customWidth="1"/>
    <col min="1511" max="1511" width="13.140625" bestFit="1" customWidth="1"/>
    <col min="1512" max="1512" width="11.28515625" bestFit="1" customWidth="1"/>
  </cols>
  <sheetData>
    <row r="2" spans="5:14" x14ac:dyDescent="0.25">
      <c r="E2" s="22" t="s">
        <v>1037</v>
      </c>
      <c r="F2" s="22" t="s">
        <v>1038</v>
      </c>
    </row>
    <row r="3" spans="5:14" x14ac:dyDescent="0.25">
      <c r="E3" s="22" t="s">
        <v>1035</v>
      </c>
      <c r="F3" t="s">
        <v>37</v>
      </c>
      <c r="G3" t="s">
        <v>1034</v>
      </c>
      <c r="H3" t="s">
        <v>14</v>
      </c>
      <c r="I3" t="s">
        <v>1036</v>
      </c>
    </row>
    <row r="4" spans="5:14" x14ac:dyDescent="0.25">
      <c r="E4" s="1" t="s">
        <v>22</v>
      </c>
      <c r="F4" s="24">
        <v>17051.443499999998</v>
      </c>
      <c r="G4" s="24">
        <v>18968.9745</v>
      </c>
      <c r="H4" s="24">
        <v>18317.113500000003</v>
      </c>
      <c r="I4" s="24">
        <v>54337.531499999997</v>
      </c>
      <c r="M4" s="22" t="s">
        <v>1035</v>
      </c>
      <c r="N4" t="s">
        <v>1037</v>
      </c>
    </row>
    <row r="5" spans="5:14" x14ac:dyDescent="0.25">
      <c r="E5" s="1" t="s">
        <v>40</v>
      </c>
      <c r="F5" s="24">
        <v>16413.316499999997</v>
      </c>
      <c r="G5" s="24">
        <v>21560.069999999996</v>
      </c>
      <c r="H5" s="24">
        <v>16332.508499999996</v>
      </c>
      <c r="I5" s="24">
        <v>54305.89499999999</v>
      </c>
      <c r="M5" s="1" t="s">
        <v>23</v>
      </c>
      <c r="N5">
        <v>112206.56999999995</v>
      </c>
    </row>
    <row r="6" spans="5:14" x14ac:dyDescent="0.25">
      <c r="E6" s="1" t="s">
        <v>38</v>
      </c>
      <c r="F6" s="24">
        <v>15214.888500000001</v>
      </c>
      <c r="G6" s="24">
        <v>23766.854999999992</v>
      </c>
      <c r="H6" s="24">
        <v>17163.1005</v>
      </c>
      <c r="I6" s="24">
        <v>56144.843999999997</v>
      </c>
      <c r="M6" s="1" t="s">
        <v>27</v>
      </c>
      <c r="N6">
        <v>100767.07200000006</v>
      </c>
    </row>
    <row r="7" spans="5:14" x14ac:dyDescent="0.25">
      <c r="E7" s="1" t="s">
        <v>17</v>
      </c>
      <c r="F7" s="24">
        <v>19980.659999999996</v>
      </c>
      <c r="G7" s="24">
        <v>16615.326000000001</v>
      </c>
      <c r="H7" s="24">
        <v>12597.752999999995</v>
      </c>
      <c r="I7" s="24">
        <v>49193.738999999994</v>
      </c>
      <c r="M7" s="1" t="s">
        <v>18</v>
      </c>
      <c r="N7">
        <v>109993.107</v>
      </c>
    </row>
    <row r="8" spans="5:14" x14ac:dyDescent="0.25">
      <c r="E8" s="1" t="s">
        <v>26</v>
      </c>
      <c r="F8" s="24">
        <v>17549.164499999999</v>
      </c>
      <c r="G8" s="24">
        <v>13895.553</v>
      </c>
      <c r="H8" s="24">
        <v>22417.195499999998</v>
      </c>
      <c r="I8" s="24">
        <v>53861.913</v>
      </c>
      <c r="M8" s="1" t="s">
        <v>1036</v>
      </c>
      <c r="N8">
        <v>322966.74900000001</v>
      </c>
    </row>
    <row r="9" spans="5:14" x14ac:dyDescent="0.25">
      <c r="E9" s="1" t="s">
        <v>30</v>
      </c>
      <c r="F9" s="24">
        <v>19988.198999999997</v>
      </c>
      <c r="G9" s="24">
        <v>15761.928000000002</v>
      </c>
      <c r="H9" s="24">
        <v>19372.699500000002</v>
      </c>
      <c r="I9" s="24">
        <v>55122.826500000003</v>
      </c>
    </row>
    <row r="10" spans="5:14" x14ac:dyDescent="0.25">
      <c r="E10" s="1" t="s">
        <v>1036</v>
      </c>
      <c r="F10">
        <v>106197.67199999998</v>
      </c>
      <c r="G10">
        <v>110568.70649999999</v>
      </c>
      <c r="H10">
        <v>106200.3705</v>
      </c>
      <c r="I10">
        <v>322966.74900000001</v>
      </c>
    </row>
    <row r="12" spans="5:14" x14ac:dyDescent="0.25">
      <c r="E12" s="22" t="s">
        <v>1035</v>
      </c>
      <c r="F12" t="s">
        <v>1037</v>
      </c>
    </row>
    <row r="13" spans="5:14" x14ac:dyDescent="0.25">
      <c r="E13" s="1" t="s">
        <v>1047</v>
      </c>
      <c r="F13">
        <v>31421.481000000011</v>
      </c>
    </row>
    <row r="14" spans="5:14" x14ac:dyDescent="0.25">
      <c r="E14" s="1" t="s">
        <v>1048</v>
      </c>
      <c r="F14">
        <v>30377.329499999996</v>
      </c>
    </row>
    <row r="15" spans="5:14" x14ac:dyDescent="0.25">
      <c r="E15" s="1" t="s">
        <v>1049</v>
      </c>
      <c r="F15">
        <v>26065.882499999996</v>
      </c>
    </row>
    <row r="16" spans="5:14" x14ac:dyDescent="0.25">
      <c r="E16" s="1" t="s">
        <v>1050</v>
      </c>
      <c r="F16">
        <v>34723.227000000014</v>
      </c>
    </row>
    <row r="17" spans="5:6" x14ac:dyDescent="0.25">
      <c r="E17" s="1" t="s">
        <v>1051</v>
      </c>
      <c r="F17">
        <v>30828.399000000001</v>
      </c>
    </row>
    <row r="18" spans="5:6" x14ac:dyDescent="0.25">
      <c r="E18" s="1" t="s">
        <v>1052</v>
      </c>
      <c r="F18">
        <v>31179.508499999996</v>
      </c>
    </row>
    <row r="19" spans="5:6" x14ac:dyDescent="0.25">
      <c r="E19" s="1" t="s">
        <v>1053</v>
      </c>
      <c r="F19">
        <v>25226.323499999995</v>
      </c>
    </row>
    <row r="20" spans="5:6" x14ac:dyDescent="0.25">
      <c r="E20" s="1" t="s">
        <v>1054</v>
      </c>
      <c r="F20">
        <v>24445.218000000001</v>
      </c>
    </row>
    <row r="21" spans="5:6" x14ac:dyDescent="0.25">
      <c r="E21" s="1" t="s">
        <v>1055</v>
      </c>
      <c r="F21">
        <v>26030.339999999986</v>
      </c>
    </row>
    <row r="22" spans="5:6" x14ac:dyDescent="0.25">
      <c r="E22" s="1" t="s">
        <v>1056</v>
      </c>
      <c r="F22">
        <v>39699.513000000021</v>
      </c>
    </row>
    <row r="23" spans="5:6" x14ac:dyDescent="0.25">
      <c r="E23" s="1" t="s">
        <v>1057</v>
      </c>
      <c r="F23">
        <v>22969.527000000002</v>
      </c>
    </row>
    <row r="24" spans="5:6" x14ac:dyDescent="0.25">
      <c r="E24" s="1" t="s">
        <v>1036</v>
      </c>
      <c r="F24">
        <v>322966.74900000001</v>
      </c>
    </row>
  </sheetData>
  <conditionalFormatting sqref="E4:H9">
    <cfRule type="iconSet" priority="5">
      <iconSet iconSet="4Arrows">
        <cfvo type="percent" val="0"/>
        <cfvo type="percent" val="25"/>
        <cfvo type="percent" val="50"/>
        <cfvo type="percent" val="75"/>
      </iconSet>
    </cfRule>
  </conditionalFormatting>
  <conditionalFormatting pivot="1" sqref="I4:I10">
    <cfRule type="iconSet" priority="4">
      <iconSet iconSet="4Arrows">
        <cfvo type="percent" val="0"/>
        <cfvo type="percent" val="25"/>
        <cfvo type="percent" val="50"/>
        <cfvo type="percent" val="75"/>
      </iconSet>
    </cfRule>
  </conditionalFormatting>
  <conditionalFormatting pivot="1" sqref="F4:I9">
    <cfRule type="iconSet" priority="3">
      <iconSet iconSet="4Arrows">
        <cfvo type="percent" val="0"/>
        <cfvo type="percent" val="25"/>
        <cfvo type="percent" val="50"/>
        <cfvo type="percent" val="75"/>
      </iconSet>
    </cfRule>
  </conditionalFormatting>
  <conditionalFormatting pivot="1" sqref="F4:H9">
    <cfRule type="iconSet" priority="2">
      <iconSet iconSet="4Arrows">
        <cfvo type="percent" val="0"/>
        <cfvo type="percent" val="25"/>
        <cfvo type="percent" val="50"/>
        <cfvo type="percent" val="75"/>
      </iconSet>
    </cfRule>
  </conditionalFormatting>
  <conditionalFormatting pivot="1" sqref="F4:H9">
    <cfRule type="iconSet" priority="1">
      <iconSet iconSet="4Arrows">
        <cfvo type="percent" val="0"/>
        <cfvo type="percent" val="25"/>
        <cfvo type="percent" val="50"/>
        <cfvo type="percent" val="75"/>
      </iconSet>
    </cfRule>
  </conditionalFormatting>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Sourse Data</vt:lpstr>
      <vt:lpstr>DashBoard</vt:lpstr>
      <vt:lpstr>Executive Summary</vt:lpstr>
      <vt:lpstr>Sales Performance Anlaysis</vt:lpstr>
      <vt:lpstr>Customer Insights</vt:lpstr>
      <vt:lpstr>Product And Pricing Analysis</vt:lpstr>
      <vt:lpstr>Payment And Time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Dhineshbabu s</dc:creator>
  <cp:lastModifiedBy>Dhineshbabu s</cp:lastModifiedBy>
  <cp:lastPrinted>2026-01-08T15:53:13Z</cp:lastPrinted>
  <dcterms:created xsi:type="dcterms:W3CDTF">2025-12-29T13:44:50Z</dcterms:created>
  <dcterms:modified xsi:type="dcterms:W3CDTF">2026-01-08T16:00:00Z</dcterms:modified>
</cp:coreProperties>
</file>